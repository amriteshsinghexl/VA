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Policy_Summary" sheetId="1" state="visible" r:id="rId1"/>
    <sheet name="01_Time_Axis" sheetId="2" state="visible" r:id="rId2"/>
    <sheet name="02_Mortality" sheetId="3" state="visible" r:id="rId3"/>
    <sheet name="03_Lapse" sheetId="4" state="visible" r:id="rId4"/>
    <sheet name="04_Lives" sheetId="5" state="visible" r:id="rId5"/>
    <sheet name="05_Interest_Rates" sheetId="6" state="visible" r:id="rId6"/>
    <sheet name="06_Fund_Mechanics" sheetId="7" state="visible" r:id="rId7"/>
    <sheet name="07_Sep_Acct" sheetId="8" state="visible" r:id="rId8"/>
    <sheet name="08_i4L_Rider" sheetId="9" state="visible" r:id="rId9"/>
    <sheet name="09_Cashflow_Engine" sheetId="10" state="visible" r:id="rId10"/>
    <sheet name="10_Dec_Cashflows" sheetId="11" state="visible" r:id="rId11"/>
    <sheet name="11_StdScn_ANR" sheetId="12" state="visible" r:id="rId12"/>
    <sheet name="12_CARVM" sheetId="13" state="visible" r:id="rId13"/>
    <sheet name="13_DAC" sheetId="14" state="visible" r:id="rId14"/>
    <sheet name="14_Reserve_Summary" sheetId="15" state="visible" r:id="rId15"/>
    <sheet name="Formula Reference" sheetId="16" state="visible" r:id="rId16"/>
    <sheet name="Warnings" sheetId="17" state="visible" r:id="rId17"/>
  </sheets>
  <definedNames>
    <definedName name="_xlnm._FilterDatabase" localSheetId="1" hidden="1">'01_Time_Axis'!$A$1:$H$1</definedName>
    <definedName name="_xlnm._FilterDatabase" localSheetId="2" hidden="1">'02_Mortality'!$A$1:$P$1</definedName>
    <definedName name="_xlnm._FilterDatabase" localSheetId="3" hidden="1">'03_Lapse'!$A$1:$M$1</definedName>
    <definedName name="_xlnm._FilterDatabase" localSheetId="4" hidden="1">'04_Lives'!$A$1:$L$1</definedName>
    <definedName name="_xlnm._FilterDatabase" localSheetId="5" hidden="1">'05_Interest_Rates'!$A$1:$O$1</definedName>
    <definedName name="_xlnm._FilterDatabase" localSheetId="6" hidden="1">'06_Fund_Mechanics'!$A$1:$N$1</definedName>
    <definedName name="_xlnm._FilterDatabase" localSheetId="7" hidden="1">'07_Sep_Acct'!$A$1:$AQ$1</definedName>
    <definedName name="_xlnm._FilterDatabase" localSheetId="8" hidden="1">'08_i4L_Rider'!$A$1:$AF$1</definedName>
    <definedName name="_xlnm._FilterDatabase" localSheetId="9" hidden="1">'09_Cashflow_Engine'!$A$1:$AB$1</definedName>
    <definedName name="_xlnm._FilterDatabase" localSheetId="10" hidden="1">'10_Dec_Cashflows'!$A$1:$AC$1</definedName>
    <definedName name="_xlnm._FilterDatabase" localSheetId="11" hidden="1">'11_StdScn_ANR'!$A$1:$U$1</definedName>
    <definedName name="_xlnm._FilterDatabase" localSheetId="12" hidden="1">'12_CARVM'!$A$1:$P$1</definedName>
    <definedName name="_xlnm._FilterDatabase" localSheetId="13" hidden="1">'13_DAC'!$A$1:$O$1</definedName>
    <definedName name="_xlnm._FilterDatabase" localSheetId="14" hidden="1">'14_Reserve_Summary'!$A$1:$M$1</definedName>
    <definedName name="_xlnm._FilterDatabase" localSheetId="15" hidden="1">'Formula Reference'!$A$1:$F$1</definedName>
    <definedName name="_xlnm._FilterDatabase" localSheetId="16" hidden="1">'Warnings'!$A$1:$B$1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1"/>
    </font>
    <font>
      <b val="1"/>
      <sz val="10"/>
    </font>
    <font>
      <color rgb="001F4E79"/>
      <sz val="9"/>
    </font>
    <font>
      <sz val="9"/>
    </font>
    <font>
      <b val="1"/>
      <color rgb="00000000"/>
      <sz val="10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7F7F7"/>
      </patternFill>
    </fill>
    <fill>
      <patternFill patternType="solid">
        <fgColor rgb="00FCE4D6"/>
      </patternFill>
    </fill>
    <fill>
      <patternFill patternType="solid">
        <fgColor rgb="00E8DAEF"/>
      </patternFill>
    </fill>
    <fill>
      <patternFill patternType="solid">
        <fgColor rgb="00FFCCCC"/>
      </patternFill>
    </fill>
    <fill>
      <patternFill patternType="solid">
        <fgColor rgb="00D6E4F0"/>
      </patternFill>
    </fill>
    <fill>
      <patternFill patternType="solid">
        <fgColor rgb="00F0F7FF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thin">
        <color rgb="00CCCCCC"/>
      </left>
      <right/>
      <top style="thin">
        <color rgb="00CCCCCC"/>
      </top>
      <bottom/>
    </border>
    <border>
      <left/>
      <right style="thin">
        <color rgb="00CCCCCC"/>
      </right>
      <top style="thin">
        <color rgb="00CCCCCC"/>
      </top>
      <bottom/>
    </border>
    <border>
      <left style="thin">
        <color rgb="00CCCCCC"/>
      </left>
      <right/>
      <top/>
      <bottom/>
    </border>
    <border>
      <left/>
      <right style="thin">
        <color rgb="00CCCCCC"/>
      </right>
      <top/>
      <bottom/>
    </border>
    <border>
      <left style="thin">
        <color rgb="00CCCCCC"/>
      </left>
      <right/>
      <top/>
      <bottom style="thin">
        <color rgb="00CCCCCC"/>
      </bottom>
    </border>
    <border>
      <left/>
      <right style="thin">
        <color rgb="00CCCCCC"/>
      </right>
      <top/>
      <bottom style="thin">
        <color rgb="00CCCCCC"/>
      </bottom>
    </border>
    <border>
      <bottom style="medium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0" fillId="2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3" borderId="3" applyAlignment="1" pivotButton="0" quotePrefix="0" xfId="0">
      <alignment horizontal="left"/>
    </xf>
    <xf numFmtId="0" fontId="2" fillId="3" borderId="4" applyAlignment="1" pivotButton="0" quotePrefix="0" xfId="0">
      <alignment horizontal="left"/>
    </xf>
    <xf numFmtId="0" fontId="3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4" fontId="0" fillId="0" borderId="4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5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5" fillId="0" borderId="6" applyAlignment="1" pivotButton="0" quotePrefix="0" xfId="0">
      <alignment horizontal="left"/>
    </xf>
    <xf numFmtId="0" fontId="6" fillId="4" borderId="7" applyAlignment="1" pivotButton="0" quotePrefix="0" xfId="0">
      <alignment horizontal="center" vertical="center" wrapText="1"/>
    </xf>
    <xf numFmtId="1" fontId="0" fillId="5" borderId="0" applyAlignment="1" pivotButton="0" quotePrefix="0" xfId="0">
      <alignment horizontal="right" vertical="center"/>
    </xf>
    <xf numFmtId="165" fontId="0" fillId="5" borderId="0" applyAlignment="1" pivotButton="0" quotePrefix="0" xfId="0">
      <alignment horizontal="left" vertical="center"/>
    </xf>
    <xf numFmtId="1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left" vertical="center"/>
    </xf>
    <xf numFmtId="166" fontId="0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  <xf numFmtId="0" fontId="6" fillId="6" borderId="7" applyAlignment="1" pivotButton="0" quotePrefix="0" xfId="0">
      <alignment horizontal="center" vertical="center" wrapText="1"/>
    </xf>
    <xf numFmtId="4" fontId="0" fillId="5" borderId="0" applyAlignment="1" pivotButton="0" quotePrefix="0" xfId="0">
      <alignment horizontal="right" vertical="center"/>
    </xf>
    <xf numFmtId="4" fontId="0" fillId="0" borderId="0" applyAlignment="1" pivotButton="0" quotePrefix="0" xfId="0">
      <alignment horizontal="right" vertical="center"/>
    </xf>
    <xf numFmtId="0" fontId="6" fillId="7" borderId="7" applyAlignment="1" pivotButton="0" quotePrefix="0" xfId="0">
      <alignment horizontal="center" vertical="center" wrapText="1"/>
    </xf>
    <xf numFmtId="0" fontId="6" fillId="8" borderId="7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5" fillId="1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1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VA Model</author>
  </authors>
  <commentList>
    <comment ref="P1" authorId="0" shapeId="0">
      <text>
        <t>Monthly UDD mortality rate: 1-(1-q_annual)^(1/12)
Formula: =1 - (1 - [q_annual])^(1/12)
Source: decrements/mortality.py</t>
      </text>
    </comment>
  </commentList>
</comments>
</file>

<file path=xl/comments/comment2.xml><?xml version="1.0" encoding="utf-8"?>
<comments xmlns="http://schemas.openxmlformats.org/spreadsheetml/2006/main">
  <authors>
    <author>VA Model</author>
  </authors>
  <commentList>
    <comment ref="M1" authorId="0" shapeId="0">
      <text>
        <t>Monthly lapse rate: 1-(1-q_annual)^(1/12)
Formula: =1 - (1 - [q_lapse_annual])^(1/12)
Source: decrements/lapse.py</t>
      </text>
    </comment>
  </commentList>
</comments>
</file>

<file path=xl/comments/comment3.xml><?xml version="1.0" encoding="utf-8"?>
<comments xmlns="http://schemas.openxmlformats.org/spreadsheetml/2006/main">
  <authors>
    <author>VA Model</author>
  </authors>
  <commentList>
    <comment ref="K1" authorId="0" shapeId="0">
      <text>
        <t>Lives at BOP: seed=1.0; lives_bop[t]=lives_eop[t-1]
Formula: =1
Source: decrements/lives.py</t>
      </text>
    </comment>
    <comment ref="L1" authorId="0" shapeId="0">
      <text>
        <t>Lives at EOP: BOP × (1-q_mort) × (1-q_lapse)
Formula: =[lives_bop] * (1 - [q_mort_monthly]) * (1 - [q_lapse_monthly])
Source: decrements/lives.py</t>
      </text>
    </comment>
  </commentList>
</comments>
</file>

<file path=xl/comments/comment4.xml><?xml version="1.0" encoding="utf-8"?>
<comments xmlns="http://schemas.openxmlformats.org/spreadsheetml/2006/main">
  <authors>
    <author>VA Model</author>
  </authors>
  <commentList>
    <comment ref="J1" authorId="0" shapeId="0">
      <text>
        <t>Annual Effective Yield: (1+BEY/2)^2-1  (semi-annual BEY conversion)
Formula: =(1 + [i_bey_pct] / 100 / 2)^2 - 1
Source: cashflows/interest.py</t>
      </text>
    </comment>
    <comment ref="K1" authorId="0" shapeId="0">
      <text>
        <t>Monthly effective rate: (1+AEY)^(1/12)-1
Formula: =(1 + [i_aey])^(1/12) - 1
Source: cashflows/interest.py</t>
      </text>
    </comment>
    <comment ref="L1" authorId="0" shapeId="0">
      <text>
        <t>Running discount factor: df[t]=df[t-1]/(1+i_monthly[t]); seed=1.0
Formula: =1 / (1 + [i_monthly])
Source: cashflows/interest.py</t>
      </text>
    </comment>
    <comment ref="M1" authorId="0" shapeId="0">
      <text>
        <t>Shocked AEY = AEY + 100bps (VM21PA Standard Scenario)
Formula: =[i_aey] + 0.01
Source: cashflows/interest.py</t>
      </text>
    </comment>
    <comment ref="N1" authorId="0" shapeId="0">
      <text>
        <t>Monthly effective rate for +100bps shocked scenario
Formula: =(1 + [i_aey_shock])^(1/12) - 1
Source: cashflows/interest.py</t>
      </text>
    </comment>
    <comment ref="O1" authorId="0" shapeId="0">
      <text>
        <t>Running discount factor for shocked (+100bps) rates
Formula: =1 / (1 + [i_monthly_shock])
Source: cashflows/interest.py</t>
      </text>
    </comment>
  </commentList>
</comments>
</file>

<file path=xl/comments/comment5.xml><?xml version="1.0" encoding="utf-8"?>
<comments xmlns="http://schemas.openxmlformats.org/spreadsheetml/2006/main">
  <authors>
    <author>VA Model</author>
  </authors>
  <commentList>
    <comment ref="I1" authorId="0" shapeId="0">
      <text>
        <t>Fund 1 monthly growth factor: (1+r_annual)^(1/12)-1
Formula: =(1 + ([eq_growth_f1] + [eq_income_f1]) / 100)^(1/12) - 1
Source: cashflows/fund_mechanics.py</t>
      </text>
    </comment>
    <comment ref="J1" authorId="0" shapeId="0">
      <text>
        <t>Fund 2 monthly growth factor: (1+r_annual)^(1/12)-1
Formula: =(1 + ([eq_growth_f2] + [eq_income_f2]) / 100)^(1/12) - 1
Source: cashflows/fund_mechanics.py</t>
      </text>
    </comment>
    <comment ref="K1" authorId="0" shapeId="0">
      <text>
        <t>Fund 3 monthly growth factor: (1+r_annual)^(1/12)-1
Formula: =(1 + ([eq_growth_f3] + [eq_income_f3]) / 100)^(1/12) - 1
Source: cashflows/fund_mechanics.py</t>
      </text>
    </comment>
    <comment ref="L1" authorId="0" shapeId="0">
      <text>
        <t>Fund 4 monthly growth factor: (1+r_annual)^(1/12)-1
Formula: =(1 + ([eq_growth_f4] + [eq_income_f4]) / 100)^(1/12) - 1
Source: cashflows/fund_mechanics.py</t>
      </text>
    </comment>
    <comment ref="M1" authorId="0" shapeId="0">
      <text>
        <t>Fund 5 monthly growth factor: (1+r_annual)^(1/12)-1
Formula: =(1 + ([eq_growth_f5] + [eq_income_f5]) / 100)^(1/12) - 1
Source: cashflows/fund_mechanics.py</t>
      </text>
    </comment>
    <comment ref="N1" authorId="0" shapeId="0">
      <text>
        <t>Fund 6 monthly growth factor: (1+r_annual)^(1/12)-1
Formula: =(1 + ([eq_growth_f6] + [eq_income_f6]) / 100)^(1/12) - 1
Source: cashflows/fund_mechanics.py</t>
      </text>
    </comment>
  </commentList>
</comments>
</file>

<file path=xl/comments/comment6.xml><?xml version="1.0" encoding="utf-8"?>
<comments xmlns="http://schemas.openxmlformats.org/spreadsheetml/2006/main">
  <authors>
    <author>VA Model</author>
  </authors>
  <commentList>
    <comment ref="J1" authorId="0" shapeId="0">
      <text>
        <t>M&amp;E charge = BOP_AV × me_rate/12  (me_rate=0.010000)
Formula: =[av_bop_sa] * (0.01000000 / 12)
Source: cashflows/cashflow_engine.py</t>
      </text>
    </comment>
    <comment ref="K1" authorId="0" shapeId="0">
      <text>
        <t>IMF charge = (BOP-ME) × imf_rate/12 × suppressor  (imf_rate=0.006648, suppressor=1.0)
Formula: =([av_bop_sa] - [me_sa]) * (0.00664805 / 12) * 1.0
Source: cashflows/cashflow_engine.py</t>
      </text>
    </comment>
    <comment ref="M1" authorId="0" shapeId="0">
      <text>
        <t>AV at charge-moment-end: (BOP-ME) - IMF + Growth
Formula: =([av_bop_sa] - [me_sa]) - [imf_sa] + [growth_sa]
Source: cashflows/cashflow_engine.py</t>
      </text>
    </comment>
    <comment ref="N1" authorId="0" shapeId="0">
      <text>
        <t>GIB net charge = at-CME_AV × gib_net_rate/12  (gib_net_rate=0.004000)
Formula: =[av_at_cme_sa] * (0.00400000 / 12) * 1.0
Source: cashflows/cashflow_engine.py</t>
      </text>
    </comment>
    <comment ref="O1" authorId="0" shapeId="0">
      <text>
        <t>i4L charge = at-CME_AV × i4l_ap_rate/12  (i4l_ap_rate=0.005000)
Formula: =[av_at_cme_sa] * (0.00500000 / 12) * 1.0
Source: cashflows/cashflow_engine.py</t>
      </text>
    </comment>
    <comment ref="P1" authorId="0" shapeId="0">
      <text>
        <t>Guaranteed income withdrawal = monthly_payment
Formula: =[monthly_payment]
Source: cashflows/cashflow_engine.py</t>
      </text>
    </comment>
    <comment ref="Q1" authorId="0" shapeId="0">
      <text>
        <t>AV at EOP: MAX(0, at-CME - GIB - i4L - withdrawal)
Formula: =MAX(0, [av_at_cme_sa] - [gib_charge] - [i4l_charge] - [withdrawal])
Source: cashflows/cashflow_engine.py</t>
      </text>
    </comment>
    <comment ref="Y1" authorId="0" shapeId="0">
      <text>
        <t>Monthly guaranteed income payment = annual_payment / 12
Formula: =[current_payment] / 12
Source: cashflows/cashflow_engine.py</t>
      </text>
    </comment>
    <comment ref="AA1" authorId="0" shapeId="0">
      <text>
        <t>Total BOP AV = SA AV (fixed account = 0 for this policy)
Formula: =[av_bop_sa]
Source: cashflows/cashflow_engine.py</t>
      </text>
    </comment>
    <comment ref="AB1" authorId="0" shapeId="0">
      <text>
        <t>Total EOP AV = SA AV (fixed account = 0 for this policy)
Formula: =[av_eop_sa]
Source: cashflows/cashflow_engine.py</t>
      </text>
    </comment>
  </commentList>
</comments>
</file>

<file path=xl/comments/comment7.xml><?xml version="1.0" encoding="utf-8"?>
<comments xmlns="http://schemas.openxmlformats.org/spreadsheetml/2006/main">
  <authors>
    <author>VA Model</author>
  </authors>
  <commentList>
    <comment ref="I1" authorId="0" shapeId="0">
      <text>
        <t>Decremented: per-unit av_bop_sa × lives_eop
Formula: =[av_bop_sa] * [lives_eop]
Source: reserve/decremented_cf.py</t>
      </text>
    </comment>
    <comment ref="J1" authorId="0" shapeId="0">
      <text>
        <t>Decremented: per-unit me_sa × lives_eop
Formula: =[me_sa] * [lives_eop]
Source: reserve/decremented_cf.py</t>
      </text>
    </comment>
    <comment ref="K1" authorId="0" shapeId="0">
      <text>
        <t>Decremented: per-unit imf_sa × lives_eop
Formula: =[imf_sa] * [lives_eop]
Source: reserve/decremented_cf.py</t>
      </text>
    </comment>
    <comment ref="L1" authorId="0" shapeId="0">
      <text>
        <t>Decremented: per-unit growth_sa × lives_eop
Formula: =[growth_sa] * [lives_eop]
Source: reserve/decremented_cf.py</t>
      </text>
    </comment>
    <comment ref="M1" authorId="0" shapeId="0">
      <text>
        <t>Decremented: per-unit av_at_cme_sa × lives_eop
Formula: =[av_at_cme_sa] * [lives_eop]
Source: reserve/decremented_cf.py</t>
      </text>
    </comment>
    <comment ref="N1" authorId="0" shapeId="0">
      <text>
        <t>Decremented: per-unit gib_charge × lives_eop
Formula: =[gib_charge] * [lives_eop]
Source: reserve/decremented_cf.py</t>
      </text>
    </comment>
    <comment ref="O1" authorId="0" shapeId="0">
      <text>
        <t>Decremented: per-unit i4l_charge × lives_eop
Formula: =[i4l_charge] * [lives_eop]
Source: reserve/decremented_cf.py</t>
      </text>
    </comment>
    <comment ref="P1" authorId="0" shapeId="0">
      <text>
        <t>Decremented: per-unit withdrawal × lives_eop
Formula: =[withdrawal] * [lives_eop]
Source: reserve/decremented_cf.py</t>
      </text>
    </comment>
    <comment ref="Q1" authorId="0" shapeId="0">
      <text>
        <t>Decremented: per-unit av_eop_sa × lives_eop
Formula: =[av_eop_sa] * [lives_eop]
Source: reserve/decremented_cf.py</t>
      </text>
    </comment>
    <comment ref="R1" authorId="0" shapeId="0">
      <text>
        <t>Decremented: per-unit av_eop_f1 × lives_eop
Formula: =[av_eop_f1] * [lives_eop]
Source: reserve/decremented_cf.py</t>
      </text>
    </comment>
    <comment ref="S1" authorId="0" shapeId="0">
      <text>
        <t>Decremented: per-unit av_eop_f2 × lives_eop
Formula: =[av_eop_f2] * [lives_eop]
Source: reserve/decremented_cf.py</t>
      </text>
    </comment>
    <comment ref="T1" authorId="0" shapeId="0">
      <text>
        <t>Decremented: per-unit av_eop_f3 × lives_eop
Formula: =[av_eop_f3] * [lives_eop]
Source: reserve/decremented_cf.py</t>
      </text>
    </comment>
    <comment ref="U1" authorId="0" shapeId="0">
      <text>
        <t>Decremented: per-unit av_eop_f4 × lives_eop
Formula: =[av_eop_f4] * [lives_eop]
Source: reserve/decremented_cf.py</t>
      </text>
    </comment>
    <comment ref="V1" authorId="0" shapeId="0">
      <text>
        <t>Decremented: per-unit av_eop_f5 × lives_eop
Formula: =[av_eop_f5] * [lives_eop]
Source: reserve/decremented_cf.py</t>
      </text>
    </comment>
    <comment ref="W1" authorId="0" shapeId="0">
      <text>
        <t>Decremented: per-unit av_eop_f6 × lives_eop
Formula: =[av_eop_f6] * [lives_eop]
Source: reserve/decremented_cf.py</t>
      </text>
    </comment>
    <comment ref="X1" authorId="0" shapeId="0">
      <text>
        <t>Decremented: per-unit current_payment × lives_eop
Formula: =[current_payment] * [lives_eop]
Source: reserve/decremented_cf.py</t>
      </text>
    </comment>
    <comment ref="Y1" authorId="0" shapeId="0">
      <text>
        <t>Decremented: per-unit monthly_payment × lives_eop
Formula: =[monthly_payment] * [lives_eop]
Source: reserve/decremented_cf.py</t>
      </text>
    </comment>
    <comment ref="AA1" authorId="0" shapeId="0">
      <text>
        <t>Decremented: per-unit av_bop_total × lives_eop
Formula: =[av_bop_total] * [lives_eop]
Source: reserve/decremented_cf.py</t>
      </text>
    </comment>
    <comment ref="AB1" authorId="0" shapeId="0">
      <text>
        <t>Decremented: per-unit av_eop_total × lives_eop
Formula: =[av_eop_total] * [lives_eop]
Source: reserve/decremented_cf.py</t>
      </text>
    </comment>
  </commentList>
</comments>
</file>

<file path=xl/comments/comment8.xml><?xml version="1.0" encoding="utf-8"?>
<comments xmlns="http://schemas.openxmlformats.org/spreadsheetml/2006/main">
  <authors>
    <author>VA Model</author>
  </authors>
  <commentList>
    <comment ref="K1" authorId="0" shapeId="0">
      <text>
        <t>Accumulation factor M[t] = 1 / disc_factor_shock[t]
Formula: =1 / [disc_factor_shock]
Source: reserve/std_scn_anr.py</t>
      </text>
    </comment>
    <comment ref="L1" authorId="0" shapeId="0">
      <text>
        <t>Accumulated fund = std_scn_fund × accum_factor
Formula: =[std_scn_fund] * [accum_factor]
Source: reserve/std_scn_anr.py</t>
      </text>
    </comment>
    <comment ref="M1" authorId="0" shapeId="0">
      <text>
        <t>M&amp;E charge on decremented fund  (me_rate=0.010000)
Formula: =[std_scn_fund] * (0.01000000 / 12)
Source: reserve/std_scn_anr.py</t>
      </text>
    </comment>
    <comment ref="N1" authorId="0" shapeId="0">
      <text>
        <t>IMF charge on decremented fund  (imf_rate=0.006648)
Formula: =[std_scn_fund] * (0.00664805 / 12) * 1.0
Source: reserve/std_scn_anr.py</t>
      </text>
    </comment>
    <comment ref="O1" authorId="0" shapeId="0">
      <text>
        <t>GIB charge on decremented fund  (gib_net_rate=0.004000)
Formula: =[std_scn_fund] * (0.00400000 / 12) * 1.0
Source: reserve/std_scn_anr.py</t>
      </text>
    </comment>
    <comment ref="P1" authorId="0" shapeId="0">
      <text>
        <t>i4L charge on decremented fund  (i4l_ap_rate=0.005000)
Formula: =[std_scn_fund] * (0.00500000 / 12) * 1.0
Source: reserve/std_scn_anr.py</t>
      </text>
    </comment>
    <comment ref="Q1" authorId="0" shapeId="0">
      <text>
        <t>Accumulated M&amp;E: Z[t]=Z[t-1]×(1+i_shock)+P[t]
Formula: =[me_charge]
Source: reserve/std_scn_anr.py</t>
      </text>
    </comment>
    <comment ref="R1" authorId="0" shapeId="0">
      <text>
        <t>Accumulated IMF: running sum with shocked interest
Formula: =[imf_charge]
Source: reserve/std_scn_anr.py</t>
      </text>
    </comment>
    <comment ref="S1" authorId="0" shapeId="0">
      <text>
        <t>Accumulated LB charges (GIB+i4L): running sum with shocked interest
Formula: =[gib_charge] + [i4l_charge]
Source: reserve/std_scn_anr.py</t>
      </text>
    </comment>
    <comment ref="T1" authorId="0" shapeId="0">
      <text>
        <t>Net Revenue CF = accum_ME + accum_IMF + accum_LB (minus benefit costs; =0 for option-A policy)
Formula: =[accum_me] + [accum_imf] + [accum_lb]
Source: reserve/std_scn_anr.py</t>
      </text>
    </comment>
    <comment ref="U1" authorId="0" shapeId="0">
      <text>
        <t>ANR = MAX(0, -net_rev_cf); reserve required if net revenue is negative
Formula: =MAX(0, -[net_rev_cf])
Source: reserve/std_scn_anr.py</t>
      </text>
    </comment>
  </commentList>
</comments>
</file>

<file path=xl/comments/comment9.xml><?xml version="1.0" encoding="utf-8"?>
<comments xmlns="http://schemas.openxmlformats.org/spreadsheetml/2006/main">
  <authors>
    <author>VA Model</author>
  </authors>
  <commentList>
    <comment ref="M1" authorId="0" shapeId="0">
      <text>
        <t>PV of CSV: csv_at_me × disc_factor (unshocked rates)
Formula: =[csv_at_me] * [disc_factor]
Source: reserve/carvm.py</t>
      </text>
    </comment>
    <comment ref="N1" authorId="0" shapeId="0">
      <text>
        <t>PV of annuity benefit (0 for AV-only DB option A)
Formula: =0
Source: reserve/carvm.py</t>
      </text>
    </comment>
    <comment ref="O1" authorId="0" shapeId="0">
      <text>
        <t>Max PV benefit at period t: MAX(PV_CSV, PV_annuity)
Formula: =MAX([pv_csv], [pv_annuity])
Source: reserve/carvm.py</t>
      </text>
    </comment>
    <comment ref="P1" authorId="0" shapeId="0">
      <text>
        <t>CARVM reserve = running MAX of pv_max from t to end (backward)
Formula: =MAX([pv_max], [next:carvm_reserve])
Source: reserve/carvm.py</t>
      </text>
    </comment>
  </commentList>
</comments>
</file>

<file path=xl/comments/comment10.xml><?xml version="1.0" encoding="utf-8"?>
<comments xmlns="http://schemas.openxmlformats.org/spreadsheetml/2006/main">
  <authors>
    <author>VA Model</author>
  </authors>
  <commentList>
    <comment ref="I1" authorId="0" shapeId="0">
      <text>
        <t>Standard Scenario ANR (from 11_StdScn_ANR)
Formula: =[anr]
Source: reserve/reserve_aggregator.py</t>
      </text>
    </comment>
    <comment ref="M1" authorId="0" shapeId="0">
      <text>
        <t>Final reserve = MAX(0, ANR) for VM21PA basis
Formula: =MAX(0, [anr])
Source: reserve/reserve_aggregator.py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1" t="inlineStr">
        <is>
          <t>Abc_corp VA Python Valuation Model</t>
        </is>
      </c>
      <c r="B1" s="2" t="inlineStr"/>
    </row>
    <row r="2">
      <c r="A2" s="3" t="inlineStr"/>
      <c r="B2" s="4" t="inlineStr"/>
    </row>
    <row r="3">
      <c r="A3" s="5" t="inlineStr">
        <is>
          <t>Policy</t>
        </is>
      </c>
      <c r="B3" s="6" t="inlineStr"/>
    </row>
    <row r="4">
      <c r="A4" s="7" t="inlineStr">
        <is>
          <t>Policy number</t>
        </is>
      </c>
      <c r="B4" s="8" t="inlineStr">
        <is>
          <t>842612365</t>
        </is>
      </c>
    </row>
    <row r="5">
      <c r="A5" s="7" t="inlineStr">
        <is>
          <t>Plan</t>
        </is>
      </c>
      <c r="B5" s="8" t="inlineStr">
        <is>
          <t>LMFR5</t>
        </is>
      </c>
    </row>
    <row r="6">
      <c r="A6" s="7" t="inlineStr">
        <is>
          <t>Issue date</t>
        </is>
      </c>
      <c r="B6" s="8" t="inlineStr">
        <is>
          <t>2007-08-27</t>
        </is>
      </c>
    </row>
    <row r="7">
      <c r="A7" s="7" t="inlineStr">
        <is>
          <t>Issue age</t>
        </is>
      </c>
      <c r="B7" s="8" t="n">
        <v>58</v>
      </c>
    </row>
    <row r="8">
      <c r="A8" s="7" t="inlineStr">
        <is>
          <t>Gender</t>
        </is>
      </c>
      <c r="B8" s="8" t="inlineStr">
        <is>
          <t>M</t>
        </is>
      </c>
    </row>
    <row r="9">
      <c r="A9" s="7" t="inlineStr">
        <is>
          <t>i4L indicator</t>
        </is>
      </c>
      <c r="B9" s="8" t="inlineStr">
        <is>
          <t>i4L</t>
        </is>
      </c>
    </row>
    <row r="10">
      <c r="A10" s="7" t="inlineStr">
        <is>
          <t>DB option</t>
        </is>
      </c>
      <c r="B10" s="8" t="inlineStr">
        <is>
          <t>A</t>
        </is>
      </c>
    </row>
    <row r="11">
      <c r="A11" s="3" t="inlineStr"/>
      <c r="B11" s="4" t="inlineStr"/>
    </row>
    <row r="12">
      <c r="A12" s="5" t="inlineStr">
        <is>
          <t>Values at Valuation Date</t>
        </is>
      </c>
      <c r="B12" s="6" t="inlineStr"/>
    </row>
    <row r="13">
      <c r="A13" s="7" t="inlineStr">
        <is>
          <t>Total account value</t>
        </is>
      </c>
      <c r="B13" s="9" t="n">
        <v>1579907.85</v>
      </c>
    </row>
    <row r="14">
      <c r="A14" s="7" t="inlineStr">
        <is>
          <t>Cash surrender value</t>
        </is>
      </c>
      <c r="B14" s="9" t="n">
        <v>1579387.62</v>
      </c>
    </row>
    <row r="15">
      <c r="A15" s="7" t="inlineStr">
        <is>
          <t>i4L income base</t>
        </is>
      </c>
      <c r="B15" s="9" t="n">
        <v>1126138.35</v>
      </c>
    </row>
    <row r="16">
      <c r="A16" s="3" t="inlineStr"/>
      <c r="B16" s="4" t="inlineStr"/>
    </row>
    <row r="17">
      <c r="A17" s="5" t="inlineStr">
        <is>
          <t>Run Configuration</t>
        </is>
      </c>
      <c r="B17" s="6" t="inlineStr"/>
    </row>
    <row r="18">
      <c r="A18" s="7" t="inlineStr">
        <is>
          <t>Reserve basis</t>
        </is>
      </c>
      <c r="B18" s="8" t="inlineStr">
        <is>
          <t>VM21PA</t>
        </is>
      </c>
    </row>
    <row r="19">
      <c r="A19" s="7" t="inlineStr">
        <is>
          <t>Reserve method</t>
        </is>
      </c>
      <c r="B19" s="8" t="inlineStr">
        <is>
          <t>StdScn</t>
        </is>
      </c>
    </row>
    <row r="20">
      <c r="A20" s="7" t="inlineStr">
        <is>
          <t>Projection months</t>
        </is>
      </c>
      <c r="B20" s="8" t="n">
        <v>480</v>
      </c>
    </row>
    <row r="21">
      <c r="A21" s="7" t="inlineStr">
        <is>
          <t>Run date</t>
        </is>
      </c>
      <c r="B21" s="8" t="inlineStr">
        <is>
          <t>2026-06-16</t>
        </is>
      </c>
    </row>
    <row r="22">
      <c r="A22" s="3" t="inlineStr"/>
      <c r="B22" s="4" t="inlineStr"/>
    </row>
    <row r="23">
      <c r="A23" s="5" t="inlineStr">
        <is>
          <t>Results</t>
        </is>
      </c>
      <c r="B23" s="6" t="inlineStr"/>
    </row>
    <row r="24">
      <c r="A24" s="7" t="inlineStr">
        <is>
          <t>FINAL RESERVE (t=0)</t>
        </is>
      </c>
      <c r="B24" s="9" t="n">
        <v>0</v>
      </c>
    </row>
    <row r="25">
      <c r="A25" s="7" t="inlineStr">
        <is>
          <t>StdScn ANR (t=0)</t>
        </is>
      </c>
      <c r="B25" s="9" t="n">
        <v>0</v>
      </c>
    </row>
    <row r="26">
      <c r="A26" s="3" t="inlineStr"/>
      <c r="B26" s="4" t="inlineStr"/>
    </row>
    <row r="27">
      <c r="A27" s="5" t="inlineStr">
        <is>
          <t>Output Sheets</t>
        </is>
      </c>
      <c r="B27" s="6" t="inlineStr"/>
    </row>
    <row r="28">
      <c r="A28" s="10" t="inlineStr">
        <is>
          <t>00_Policy_Summary</t>
        </is>
      </c>
      <c r="B28" s="11" t="inlineStr">
        <is>
          <t>This sheet â€” key fields and final reserve</t>
        </is>
      </c>
    </row>
    <row r="29">
      <c r="A29" s="10" t="inlineStr">
        <is>
          <t>01_Time_Axis</t>
        </is>
      </c>
      <c r="B29" s="11" t="inlineStr">
        <is>
          <t>Projection time spine (480 periods)</t>
        </is>
      </c>
    </row>
    <row r="30">
      <c r="A30" s="10" t="inlineStr">
        <is>
          <t>02_Mortality</t>
        </is>
      </c>
      <c r="B30" s="11" t="inlineStr">
        <is>
          <t>Monthly q, improvement multiplier, q_monthly</t>
        </is>
      </c>
    </row>
    <row r="31">
      <c r="A31" s="10" t="inlineStr">
        <is>
          <t>03_Lapse</t>
        </is>
      </c>
      <c r="B31" s="11" t="inlineStr">
        <is>
          <t>ITM bucket, SC flag, q_lapse_annual/monthly</t>
        </is>
      </c>
    </row>
    <row r="32">
      <c r="A32" s="10" t="inlineStr">
        <is>
          <t>04_Lives</t>
        </is>
      </c>
      <c r="B32" s="11" t="inlineStr">
        <is>
          <t>lives_bop, lives_eop (decrement spine)</t>
        </is>
      </c>
    </row>
    <row r="33">
      <c r="A33" s="10" t="inlineStr">
        <is>
          <t>05_Interest_Rates</t>
        </is>
      </c>
      <c r="B33" s="11" t="inlineStr">
        <is>
          <t>BEY, AEY, disc_factor (unshocked + shocked)</t>
        </is>
      </c>
    </row>
    <row r="34">
      <c r="A34" s="10" t="inlineStr">
        <is>
          <t>06_Fund_Mechanics</t>
        </is>
      </c>
      <c r="B34" s="11" t="inlineStr">
        <is>
          <t>Monthly growth factors per fund (f1â€“f6)</t>
        </is>
      </c>
    </row>
    <row r="35">
      <c r="A35" s="10" t="inlineStr">
        <is>
          <t>07_Sep_Acct</t>
        </is>
      </c>
      <c r="B35" s="11" t="inlineStr">
        <is>
          <t>Sep account AV waterfall â€” per fund + aggregate</t>
        </is>
      </c>
    </row>
    <row r="36">
      <c r="A36" s="10" t="inlineStr">
        <is>
          <t>08_i4L_Rider</t>
        </is>
      </c>
      <c r="B36" s="11" t="inlineStr">
        <is>
          <t>AP timing, discount U, annuity V/W, charges</t>
        </is>
      </c>
    </row>
    <row r="37">
      <c r="A37" s="10" t="inlineStr">
        <is>
          <t>09_Cashflow_Engine</t>
        </is>
      </c>
      <c r="B37" s="11" t="inlineStr">
        <is>
          <t>Integrated AV loop: at_cme, charges, EOP</t>
        </is>
      </c>
    </row>
    <row r="38">
      <c r="A38" s="10" t="inlineStr">
        <is>
          <t>10_Dec_Cashflows</t>
        </is>
      </c>
      <c r="B38" s="11" t="inlineStr">
        <is>
          <t>Lives-weighted cashflows (dec_cf = cf Ã— lives)</t>
        </is>
      </c>
    </row>
    <row r="39">
      <c r="A39" s="10" t="inlineStr">
        <is>
          <t>11_StdScn_ANR</t>
        </is>
      </c>
      <c r="B39" s="11" t="inlineStr">
        <is>
          <t>Accumulated fund/charges, net revenue, ANR</t>
        </is>
      </c>
    </row>
    <row r="40">
      <c r="A40" s="10" t="inlineStr">
        <is>
          <t>12_CARVM</t>
        </is>
      </c>
      <c r="B40" s="11" t="inlineStr">
        <is>
          <t>PV(CSV), PV(annuity), CARVM reserve per period</t>
        </is>
      </c>
    </row>
    <row r="41">
      <c r="A41" s="10" t="inlineStr">
        <is>
          <t>13_DAC</t>
        </is>
      </c>
      <c r="B41" s="11" t="inlineStr">
        <is>
          <t>Lives progression + DAC balance</t>
        </is>
      </c>
    </row>
    <row r="42">
      <c r="A42" s="10" t="inlineStr">
        <is>
          <t>14_Reserve_Summary</t>
        </is>
      </c>
      <c r="B42" s="11" t="inlineStr">
        <is>
          <t>Final binding reserve per period</t>
        </is>
      </c>
    </row>
    <row r="43">
      <c r="A43" s="12" t="inlineStr">
        <is>
          <t>Warnings</t>
        </is>
      </c>
      <c r="B43" s="13" t="inlineStr">
        <is>
          <t>All ModelWarnings raised during the run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H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P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3" customWidth="1" min="9" max="9"/>
    <col width="8" customWidth="1" min="10" max="10"/>
    <col width="11" customWidth="1" min="11" max="11"/>
    <col width="11" customWidth="1" min="12" max="12"/>
    <col width="24" customWidth="1" min="13" max="13"/>
    <col width="10" customWidth="1" min="14" max="14"/>
    <col width="24" customWidth="1" min="15" max="15"/>
    <col width="24" customWidth="1" min="16" max="16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  <c r="I1" s="14" t="inlineStr">
        <is>
          <t>q_annual</t>
        </is>
      </c>
      <c r="J1" s="14" t="inlineStr">
        <is>
          <t>pad</t>
        </is>
      </c>
      <c r="K1" s="14" t="inlineStr">
        <is>
          <t>imp_scale</t>
        </is>
      </c>
      <c r="L1" s="14" t="inlineStr">
        <is>
          <t>years_imp</t>
        </is>
      </c>
      <c r="M1" s="14" t="inlineStr">
        <is>
          <t>imp_mult</t>
        </is>
      </c>
      <c r="N1" s="14" t="inlineStr">
        <is>
          <t>add_mult</t>
        </is>
      </c>
      <c r="O1" s="14" t="inlineStr">
        <is>
          <t>final_ann</t>
        </is>
      </c>
      <c r="P1" s="14" t="inlineStr">
        <is>
          <t>q_monthly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0.438069724</v>
      </c>
      <c r="J2" s="20" t="n">
        <v>1</v>
      </c>
      <c r="K2" s="20" t="n">
        <v>0.377125</v>
      </c>
      <c r="L2" s="15" t="n">
        <v>13</v>
      </c>
      <c r="M2" s="20" t="n">
        <v>0.00212427971662413</v>
      </c>
      <c r="N2" s="20" t="n">
        <v>44</v>
      </c>
      <c r="O2" s="20" t="n">
        <v>0.04094563568305454</v>
      </c>
      <c r="P2" s="19">
        <f>1 - (1 - I2)^(1/12)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0.438069724</v>
      </c>
      <c r="J3" s="22" t="n">
        <v>1</v>
      </c>
      <c r="K3" s="22" t="n">
        <v>0.377125</v>
      </c>
      <c r="L3" s="17" t="n">
        <v>13</v>
      </c>
      <c r="M3" s="22" t="n">
        <v>0.00212427971662413</v>
      </c>
      <c r="N3" s="22" t="n">
        <v>44</v>
      </c>
      <c r="O3" s="22" t="n">
        <v>0.04094563568305454</v>
      </c>
      <c r="P3" s="21">
        <f>1 - (1 - I3)^(1/12)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0.782937743</v>
      </c>
      <c r="J4" s="20" t="n">
        <v>1</v>
      </c>
      <c r="K4" s="20" t="n">
        <v>0.581327</v>
      </c>
      <c r="L4" s="15" t="n">
        <v>13</v>
      </c>
      <c r="M4" s="20" t="n">
        <v>1.214435368442189e-05</v>
      </c>
      <c r="N4" s="20" t="n">
        <v>58</v>
      </c>
      <c r="O4" s="20" t="n">
        <v>0.0005514798261047505</v>
      </c>
      <c r="P4" s="19">
        <f>1 - (1 - I4)^(1/12)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0.782937743</v>
      </c>
      <c r="J5" s="22" t="n">
        <v>1</v>
      </c>
      <c r="K5" s="22" t="n">
        <v>0.581327</v>
      </c>
      <c r="L5" s="17" t="n">
        <v>13</v>
      </c>
      <c r="M5" s="22" t="n">
        <v>1.214435368442189e-05</v>
      </c>
      <c r="N5" s="22" t="n">
        <v>58</v>
      </c>
      <c r="O5" s="22" t="n">
        <v>0.0005514798261047505</v>
      </c>
      <c r="P5" s="21">
        <f>1 - (1 - I5)^(1/12)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0.782937743</v>
      </c>
      <c r="J6" s="20" t="n">
        <v>1</v>
      </c>
      <c r="K6" s="20" t="n">
        <v>0.581327</v>
      </c>
      <c r="L6" s="15" t="n">
        <v>13</v>
      </c>
      <c r="M6" s="20" t="n">
        <v>1.214435368442189e-05</v>
      </c>
      <c r="N6" s="20" t="n">
        <v>58</v>
      </c>
      <c r="O6" s="20" t="n">
        <v>0.0005514798261047505</v>
      </c>
      <c r="P6" s="19">
        <f>1 - (1 - I6)^(1/12)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0.782937743</v>
      </c>
      <c r="J7" s="22" t="n">
        <v>1</v>
      </c>
      <c r="K7" s="22" t="n">
        <v>0.581327</v>
      </c>
      <c r="L7" s="17" t="n">
        <v>13</v>
      </c>
      <c r="M7" s="22" t="n">
        <v>1.214435368442189e-05</v>
      </c>
      <c r="N7" s="22" t="n">
        <v>58</v>
      </c>
      <c r="O7" s="22" t="n">
        <v>0.0005514798261047505</v>
      </c>
      <c r="P7" s="21">
        <f>1 - (1 - I7)^(1/12)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0.782937743</v>
      </c>
      <c r="J8" s="20" t="n">
        <v>1</v>
      </c>
      <c r="K8" s="20" t="n">
        <v>0.581327</v>
      </c>
      <c r="L8" s="15" t="n">
        <v>13</v>
      </c>
      <c r="M8" s="20" t="n">
        <v>1.214435368442189e-05</v>
      </c>
      <c r="N8" s="20" t="n">
        <v>58</v>
      </c>
      <c r="O8" s="20" t="n">
        <v>0.0005514798261047505</v>
      </c>
      <c r="P8" s="19">
        <f>1 - (1 - I8)^(1/12)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0.782937743</v>
      </c>
      <c r="J9" s="22" t="n">
        <v>1</v>
      </c>
      <c r="K9" s="22" t="n">
        <v>0.581327</v>
      </c>
      <c r="L9" s="17" t="n">
        <v>14</v>
      </c>
      <c r="M9" s="22" t="n">
        <v>5.084512990117966e-06</v>
      </c>
      <c r="N9" s="22" t="n">
        <v>58</v>
      </c>
      <c r="O9" s="22" t="n">
        <v>0.0002308897132347542</v>
      </c>
      <c r="P9" s="21">
        <f>1 - (1 - I9)^(1/12)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0.782937743</v>
      </c>
      <c r="J10" s="20" t="n">
        <v>1</v>
      </c>
      <c r="K10" s="20" t="n">
        <v>0.581327</v>
      </c>
      <c r="L10" s="15" t="n">
        <v>14</v>
      </c>
      <c r="M10" s="20" t="n">
        <v>5.084512990117966e-06</v>
      </c>
      <c r="N10" s="20" t="n">
        <v>58</v>
      </c>
      <c r="O10" s="20" t="n">
        <v>0.0002308897132347542</v>
      </c>
      <c r="P10" s="19">
        <f>1 - (1 - I10)^(1/12)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0.782937743</v>
      </c>
      <c r="J11" s="22" t="n">
        <v>1</v>
      </c>
      <c r="K11" s="22" t="n">
        <v>0.581327</v>
      </c>
      <c r="L11" s="17" t="n">
        <v>14</v>
      </c>
      <c r="M11" s="22" t="n">
        <v>5.084512990117966e-06</v>
      </c>
      <c r="N11" s="22" t="n">
        <v>58</v>
      </c>
      <c r="O11" s="22" t="n">
        <v>0.0002308897132347542</v>
      </c>
      <c r="P11" s="21">
        <f>1 - (1 - I11)^(1/12)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0.782937743</v>
      </c>
      <c r="J12" s="20" t="n">
        <v>1</v>
      </c>
      <c r="K12" s="20" t="n">
        <v>0.581327</v>
      </c>
      <c r="L12" s="15" t="n">
        <v>14</v>
      </c>
      <c r="M12" s="20" t="n">
        <v>5.084512990117966e-06</v>
      </c>
      <c r="N12" s="20" t="n">
        <v>58</v>
      </c>
      <c r="O12" s="20" t="n">
        <v>0.0002308897132347542</v>
      </c>
      <c r="P12" s="19">
        <f>1 - (1 - I12)^(1/12)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0.782937743</v>
      </c>
      <c r="J13" s="22" t="n">
        <v>1</v>
      </c>
      <c r="K13" s="22" t="n">
        <v>0.581327</v>
      </c>
      <c r="L13" s="17" t="n">
        <v>14</v>
      </c>
      <c r="M13" s="22" t="n">
        <v>5.084512990117966e-06</v>
      </c>
      <c r="N13" s="22" t="n">
        <v>58</v>
      </c>
      <c r="O13" s="22" t="n">
        <v>0.0002308897132347542</v>
      </c>
      <c r="P13" s="21">
        <f>1 - (1 - I13)^(1/12)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0.782937743</v>
      </c>
      <c r="J14" s="20" t="n">
        <v>1</v>
      </c>
      <c r="K14" s="20" t="n">
        <v>0.581327</v>
      </c>
      <c r="L14" s="15" t="n">
        <v>14</v>
      </c>
      <c r="M14" s="20" t="n">
        <v>5.084512990117966e-06</v>
      </c>
      <c r="N14" s="20" t="n">
        <v>58</v>
      </c>
      <c r="O14" s="20" t="n">
        <v>0.0002308897132347542</v>
      </c>
      <c r="P14" s="19">
        <f>1 - (1 - I14)^(1/12)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0.782937743</v>
      </c>
      <c r="J15" s="22" t="n">
        <v>1</v>
      </c>
      <c r="K15" s="22" t="n">
        <v>0.581327</v>
      </c>
      <c r="L15" s="17" t="n">
        <v>14</v>
      </c>
      <c r="M15" s="22" t="n">
        <v>5.084512990117966e-06</v>
      </c>
      <c r="N15" s="22" t="n">
        <v>58</v>
      </c>
      <c r="O15" s="22" t="n">
        <v>0.0002308897132347542</v>
      </c>
      <c r="P15" s="21">
        <f>1 - (1 - I15)^(1/12)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0.647851286</v>
      </c>
      <c r="J16" s="20" t="n">
        <v>1</v>
      </c>
      <c r="K16" s="20" t="n">
        <v>0.931787</v>
      </c>
      <c r="L16" s="15" t="n">
        <v>14</v>
      </c>
      <c r="M16" s="20" t="n">
        <v>4.722153523072532e-17</v>
      </c>
      <c r="N16" s="20" t="n">
        <v>122</v>
      </c>
      <c r="O16" s="20" t="n">
        <v>3.732288943786604e-15</v>
      </c>
      <c r="P16" s="19">
        <f>1 - (1 - I16)^(1/12)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0.647851286</v>
      </c>
      <c r="J17" s="22" t="n">
        <v>1</v>
      </c>
      <c r="K17" s="22" t="n">
        <v>0.931787</v>
      </c>
      <c r="L17" s="17" t="n">
        <v>14</v>
      </c>
      <c r="M17" s="22" t="n">
        <v>4.722153523072532e-17</v>
      </c>
      <c r="N17" s="22" t="n">
        <v>122</v>
      </c>
      <c r="O17" s="22" t="n">
        <v>3.732288943786604e-15</v>
      </c>
      <c r="P17" s="21">
        <f>1 - (1 - I17)^(1/12)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0.647851286</v>
      </c>
      <c r="J18" s="20" t="n">
        <v>1</v>
      </c>
      <c r="K18" s="20" t="n">
        <v>0.931787</v>
      </c>
      <c r="L18" s="15" t="n">
        <v>14</v>
      </c>
      <c r="M18" s="20" t="n">
        <v>4.722153523072532e-17</v>
      </c>
      <c r="N18" s="20" t="n">
        <v>122</v>
      </c>
      <c r="O18" s="20" t="n">
        <v>3.732288943786604e-15</v>
      </c>
      <c r="P18" s="19">
        <f>1 - (1 - I18)^(1/12)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0.647851286</v>
      </c>
      <c r="J19" s="22" t="n">
        <v>1</v>
      </c>
      <c r="K19" s="22" t="n">
        <v>0.931787</v>
      </c>
      <c r="L19" s="17" t="n">
        <v>14</v>
      </c>
      <c r="M19" s="22" t="n">
        <v>4.722153523072532e-17</v>
      </c>
      <c r="N19" s="22" t="n">
        <v>122</v>
      </c>
      <c r="O19" s="22" t="n">
        <v>3.732288943786604e-15</v>
      </c>
      <c r="P19" s="21">
        <f>1 - (1 - I19)^(1/12)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0.647851286</v>
      </c>
      <c r="J20" s="20" t="n">
        <v>1</v>
      </c>
      <c r="K20" s="20" t="n">
        <v>0.931787</v>
      </c>
      <c r="L20" s="15" t="n">
        <v>14</v>
      </c>
      <c r="M20" s="20" t="n">
        <v>4.722153523072532e-17</v>
      </c>
      <c r="N20" s="20" t="n">
        <v>122</v>
      </c>
      <c r="O20" s="20" t="n">
        <v>3.732288943786604e-15</v>
      </c>
      <c r="P20" s="19">
        <f>1 - (1 - I20)^(1/12)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0.647851286</v>
      </c>
      <c r="J21" s="22" t="n">
        <v>1</v>
      </c>
      <c r="K21" s="22" t="n">
        <v>0.931787</v>
      </c>
      <c r="L21" s="17" t="n">
        <v>15</v>
      </c>
      <c r="M21" s="22" t="n">
        <v>3.221122582693465e-18</v>
      </c>
      <c r="N21" s="22" t="n">
        <v>122</v>
      </c>
      <c r="O21" s="22" t="n">
        <v>2.545906257225155e-16</v>
      </c>
      <c r="P21" s="21">
        <f>1 - (1 - I21)^(1/12)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0.647851286</v>
      </c>
      <c r="J22" s="20" t="n">
        <v>1</v>
      </c>
      <c r="K22" s="20" t="n">
        <v>0.931787</v>
      </c>
      <c r="L22" s="15" t="n">
        <v>15</v>
      </c>
      <c r="M22" s="20" t="n">
        <v>3.221122582693465e-18</v>
      </c>
      <c r="N22" s="20" t="n">
        <v>122</v>
      </c>
      <c r="O22" s="20" t="n">
        <v>2.545906257225155e-16</v>
      </c>
      <c r="P22" s="19">
        <f>1 - (1 - I22)^(1/12)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0.647851286</v>
      </c>
      <c r="J23" s="22" t="n">
        <v>1</v>
      </c>
      <c r="K23" s="22" t="n">
        <v>0.931787</v>
      </c>
      <c r="L23" s="17" t="n">
        <v>15</v>
      </c>
      <c r="M23" s="22" t="n">
        <v>3.221122582693465e-18</v>
      </c>
      <c r="N23" s="22" t="n">
        <v>122</v>
      </c>
      <c r="O23" s="22" t="n">
        <v>2.545906257225155e-16</v>
      </c>
      <c r="P23" s="21">
        <f>1 - (1 - I23)^(1/12)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0.647851286</v>
      </c>
      <c r="J24" s="20" t="n">
        <v>1</v>
      </c>
      <c r="K24" s="20" t="n">
        <v>0.931787</v>
      </c>
      <c r="L24" s="15" t="n">
        <v>15</v>
      </c>
      <c r="M24" s="20" t="n">
        <v>3.221122582693465e-18</v>
      </c>
      <c r="N24" s="20" t="n">
        <v>122</v>
      </c>
      <c r="O24" s="20" t="n">
        <v>2.545906257225155e-16</v>
      </c>
      <c r="P24" s="19">
        <f>1 - (1 - I24)^(1/12)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0.647851286</v>
      </c>
      <c r="J25" s="22" t="n">
        <v>1</v>
      </c>
      <c r="K25" s="22" t="n">
        <v>0.931787</v>
      </c>
      <c r="L25" s="17" t="n">
        <v>15</v>
      </c>
      <c r="M25" s="22" t="n">
        <v>3.221122582693465e-18</v>
      </c>
      <c r="N25" s="22" t="n">
        <v>122</v>
      </c>
      <c r="O25" s="22" t="n">
        <v>2.545906257225155e-16</v>
      </c>
      <c r="P25" s="21">
        <f>1 - (1 - I25)^(1/12)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0.647851286</v>
      </c>
      <c r="J26" s="20" t="n">
        <v>1</v>
      </c>
      <c r="K26" s="20" t="n">
        <v>0.931787</v>
      </c>
      <c r="L26" s="15" t="n">
        <v>15</v>
      </c>
      <c r="M26" s="20" t="n">
        <v>3.221122582693465e-18</v>
      </c>
      <c r="N26" s="20" t="n">
        <v>122</v>
      </c>
      <c r="O26" s="20" t="n">
        <v>2.545906257225155e-16</v>
      </c>
      <c r="P26" s="19">
        <f>1 - (1 - I26)^(1/12)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0.647851286</v>
      </c>
      <c r="J27" s="22" t="n">
        <v>1</v>
      </c>
      <c r="K27" s="22" t="n">
        <v>0.931787</v>
      </c>
      <c r="L27" s="17" t="n">
        <v>15</v>
      </c>
      <c r="M27" s="22" t="n">
        <v>3.221122582693465e-18</v>
      </c>
      <c r="N27" s="22" t="n">
        <v>122</v>
      </c>
      <c r="O27" s="22" t="n">
        <v>2.545906257225155e-16</v>
      </c>
      <c r="P27" s="21">
        <f>1 - (1 - I27)^(1/12)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0.983617765</v>
      </c>
      <c r="J28" s="20" t="n">
        <v>1</v>
      </c>
      <c r="K28" s="20" t="n">
        <v>0.789233</v>
      </c>
      <c r="L28" s="15" t="n">
        <v>15</v>
      </c>
      <c r="M28" s="20" t="n">
        <v>7.195139344810242e-11</v>
      </c>
      <c r="N28" s="20" t="n">
        <v>94</v>
      </c>
      <c r="O28" s="20" t="n">
        <v>6.652630868333466e-09</v>
      </c>
      <c r="P28" s="19">
        <f>1 - (1 - I28)^(1/12)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0.983617765</v>
      </c>
      <c r="J29" s="22" t="n">
        <v>1</v>
      </c>
      <c r="K29" s="22" t="n">
        <v>0.789233</v>
      </c>
      <c r="L29" s="17" t="n">
        <v>15</v>
      </c>
      <c r="M29" s="22" t="n">
        <v>7.195139344810242e-11</v>
      </c>
      <c r="N29" s="22" t="n">
        <v>94</v>
      </c>
      <c r="O29" s="22" t="n">
        <v>6.652630868333466e-09</v>
      </c>
      <c r="P29" s="21">
        <f>1 - (1 - I29)^(1/12)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0.983617765</v>
      </c>
      <c r="J30" s="20" t="n">
        <v>1</v>
      </c>
      <c r="K30" s="20" t="n">
        <v>0.789233</v>
      </c>
      <c r="L30" s="15" t="n">
        <v>15</v>
      </c>
      <c r="M30" s="20" t="n">
        <v>7.195139344810242e-11</v>
      </c>
      <c r="N30" s="20" t="n">
        <v>94</v>
      </c>
      <c r="O30" s="20" t="n">
        <v>6.652630868333466e-09</v>
      </c>
      <c r="P30" s="19">
        <f>1 - (1 - I30)^(1/12)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0.983617765</v>
      </c>
      <c r="J31" s="22" t="n">
        <v>1</v>
      </c>
      <c r="K31" s="22" t="n">
        <v>0.789233</v>
      </c>
      <c r="L31" s="17" t="n">
        <v>15</v>
      </c>
      <c r="M31" s="22" t="n">
        <v>7.195139344810242e-11</v>
      </c>
      <c r="N31" s="22" t="n">
        <v>94</v>
      </c>
      <c r="O31" s="22" t="n">
        <v>6.652630868333466e-09</v>
      </c>
      <c r="P31" s="21">
        <f>1 - (1 - I31)^(1/12)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0.983617765</v>
      </c>
      <c r="J32" s="20" t="n">
        <v>1</v>
      </c>
      <c r="K32" s="20" t="n">
        <v>0.789233</v>
      </c>
      <c r="L32" s="15" t="n">
        <v>15</v>
      </c>
      <c r="M32" s="20" t="n">
        <v>7.195139344810242e-11</v>
      </c>
      <c r="N32" s="20" t="n">
        <v>94</v>
      </c>
      <c r="O32" s="20" t="n">
        <v>6.652630868333466e-09</v>
      </c>
      <c r="P32" s="19">
        <f>1 - (1 - I32)^(1/12)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0.983617765</v>
      </c>
      <c r="J33" s="22" t="n">
        <v>1</v>
      </c>
      <c r="K33" s="22" t="n">
        <v>0.789233</v>
      </c>
      <c r="L33" s="17" t="n">
        <v>16</v>
      </c>
      <c r="M33" s="22" t="n">
        <v>1.51649793428762e-11</v>
      </c>
      <c r="N33" s="22" t="n">
        <v>94</v>
      </c>
      <c r="O33" s="22" t="n">
        <v>1.40215505022604e-09</v>
      </c>
      <c r="P33" s="21">
        <f>1 - (1 - I33)^(1/12)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0.983617765</v>
      </c>
      <c r="J34" s="20" t="n">
        <v>1</v>
      </c>
      <c r="K34" s="20" t="n">
        <v>0.789233</v>
      </c>
      <c r="L34" s="15" t="n">
        <v>16</v>
      </c>
      <c r="M34" s="20" t="n">
        <v>1.51649793428762e-11</v>
      </c>
      <c r="N34" s="20" t="n">
        <v>94</v>
      </c>
      <c r="O34" s="20" t="n">
        <v>1.40215505022604e-09</v>
      </c>
      <c r="P34" s="19">
        <f>1 - (1 - I34)^(1/12)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0.983617765</v>
      </c>
      <c r="J35" s="22" t="n">
        <v>1</v>
      </c>
      <c r="K35" s="22" t="n">
        <v>0.789233</v>
      </c>
      <c r="L35" s="17" t="n">
        <v>16</v>
      </c>
      <c r="M35" s="22" t="n">
        <v>1.51649793428762e-11</v>
      </c>
      <c r="N35" s="22" t="n">
        <v>94</v>
      </c>
      <c r="O35" s="22" t="n">
        <v>1.40215505022604e-09</v>
      </c>
      <c r="P35" s="21">
        <f>1 - (1 - I35)^(1/12)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0.983617765</v>
      </c>
      <c r="J36" s="20" t="n">
        <v>1</v>
      </c>
      <c r="K36" s="20" t="n">
        <v>0.789233</v>
      </c>
      <c r="L36" s="15" t="n">
        <v>16</v>
      </c>
      <c r="M36" s="20" t="n">
        <v>1.51649793428762e-11</v>
      </c>
      <c r="N36" s="20" t="n">
        <v>94</v>
      </c>
      <c r="O36" s="20" t="n">
        <v>1.40215505022604e-09</v>
      </c>
      <c r="P36" s="19">
        <f>1 - (1 - I36)^(1/12)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0.983617765</v>
      </c>
      <c r="J37" s="22" t="n">
        <v>1</v>
      </c>
      <c r="K37" s="22" t="n">
        <v>0.789233</v>
      </c>
      <c r="L37" s="17" t="n">
        <v>16</v>
      </c>
      <c r="M37" s="22" t="n">
        <v>1.51649793428762e-11</v>
      </c>
      <c r="N37" s="22" t="n">
        <v>94</v>
      </c>
      <c r="O37" s="22" t="n">
        <v>1.40215505022604e-09</v>
      </c>
      <c r="P37" s="21">
        <f>1 - (1 - I37)^(1/12)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0.983617765</v>
      </c>
      <c r="J38" s="20" t="n">
        <v>1</v>
      </c>
      <c r="K38" s="20" t="n">
        <v>0.789233</v>
      </c>
      <c r="L38" s="15" t="n">
        <v>16</v>
      </c>
      <c r="M38" s="20" t="n">
        <v>1.51649793428762e-11</v>
      </c>
      <c r="N38" s="20" t="n">
        <v>94</v>
      </c>
      <c r="O38" s="20" t="n">
        <v>1.40215505022604e-09</v>
      </c>
      <c r="P38" s="19">
        <f>1 - (1 - I38)^(1/12)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0.983617765</v>
      </c>
      <c r="J39" s="22" t="n">
        <v>1</v>
      </c>
      <c r="K39" s="22" t="n">
        <v>0.789233</v>
      </c>
      <c r="L39" s="17" t="n">
        <v>16</v>
      </c>
      <c r="M39" s="22" t="n">
        <v>1.51649793428762e-11</v>
      </c>
      <c r="N39" s="22" t="n">
        <v>94</v>
      </c>
      <c r="O39" s="22" t="n">
        <v>1.40215505022604e-09</v>
      </c>
      <c r="P39" s="21">
        <f>1 - (1 - I39)^(1/12)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0.131982344</v>
      </c>
      <c r="J40" s="20" t="n">
        <v>1</v>
      </c>
      <c r="K40" s="20" t="n">
        <v>0.356162</v>
      </c>
      <c r="L40" s="15" t="n">
        <v>16</v>
      </c>
      <c r="M40" s="20" t="n">
        <v>0.000871817716097173</v>
      </c>
      <c r="N40" s="20" t="n">
        <v>74</v>
      </c>
      <c r="O40" s="20" t="n">
        <v>0.008514776382631125</v>
      </c>
      <c r="P40" s="19">
        <f>1 - (1 - I40)^(1/12)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0.131982344</v>
      </c>
      <c r="J41" s="22" t="n">
        <v>1</v>
      </c>
      <c r="K41" s="22" t="n">
        <v>0.356162</v>
      </c>
      <c r="L41" s="17" t="n">
        <v>16</v>
      </c>
      <c r="M41" s="22" t="n">
        <v>0.000871817716097173</v>
      </c>
      <c r="N41" s="22" t="n">
        <v>74</v>
      </c>
      <c r="O41" s="22" t="n">
        <v>0.008514776382631125</v>
      </c>
      <c r="P41" s="21">
        <f>1 - (1 - I41)^(1/12)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0.131982344</v>
      </c>
      <c r="J42" s="20" t="n">
        <v>1</v>
      </c>
      <c r="K42" s="20" t="n">
        <v>0.356162</v>
      </c>
      <c r="L42" s="15" t="n">
        <v>16</v>
      </c>
      <c r="M42" s="20" t="n">
        <v>0.000871817716097173</v>
      </c>
      <c r="N42" s="20" t="n">
        <v>74</v>
      </c>
      <c r="O42" s="20" t="n">
        <v>0.008514776382631125</v>
      </c>
      <c r="P42" s="19">
        <f>1 - (1 - I42)^(1/12)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0.131982344</v>
      </c>
      <c r="J43" s="22" t="n">
        <v>1</v>
      </c>
      <c r="K43" s="22" t="n">
        <v>0.356162</v>
      </c>
      <c r="L43" s="17" t="n">
        <v>16</v>
      </c>
      <c r="M43" s="22" t="n">
        <v>0.000871817716097173</v>
      </c>
      <c r="N43" s="22" t="n">
        <v>74</v>
      </c>
      <c r="O43" s="22" t="n">
        <v>0.008514776382631125</v>
      </c>
      <c r="P43" s="21">
        <f>1 - (1 - I43)^(1/12)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0.131982344</v>
      </c>
      <c r="J44" s="20" t="n">
        <v>1</v>
      </c>
      <c r="K44" s="20" t="n">
        <v>0.356162</v>
      </c>
      <c r="L44" s="15" t="n">
        <v>16</v>
      </c>
      <c r="M44" s="20" t="n">
        <v>0.000871817716097173</v>
      </c>
      <c r="N44" s="20" t="n">
        <v>74</v>
      </c>
      <c r="O44" s="20" t="n">
        <v>0.008514776382631125</v>
      </c>
      <c r="P44" s="19">
        <f>1 - (1 - I44)^(1/12)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0.131982344</v>
      </c>
      <c r="J45" s="22" t="n">
        <v>1</v>
      </c>
      <c r="K45" s="22" t="n">
        <v>0.356162</v>
      </c>
      <c r="L45" s="17" t="n">
        <v>17</v>
      </c>
      <c r="M45" s="22" t="n">
        <v>0.0005613093746965717</v>
      </c>
      <c r="N45" s="22" t="n">
        <v>74</v>
      </c>
      <c r="O45" s="22" t="n">
        <v>0.005482136596640459</v>
      </c>
      <c r="P45" s="21">
        <f>1 - (1 - I45)^(1/12)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0.131982344</v>
      </c>
      <c r="J46" s="20" t="n">
        <v>1</v>
      </c>
      <c r="K46" s="20" t="n">
        <v>0.356162</v>
      </c>
      <c r="L46" s="15" t="n">
        <v>17</v>
      </c>
      <c r="M46" s="20" t="n">
        <v>0.0005613093746965717</v>
      </c>
      <c r="N46" s="20" t="n">
        <v>74</v>
      </c>
      <c r="O46" s="20" t="n">
        <v>0.005482136596640459</v>
      </c>
      <c r="P46" s="19">
        <f>1 - (1 - I46)^(1/12)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0.131982344</v>
      </c>
      <c r="J47" s="22" t="n">
        <v>1</v>
      </c>
      <c r="K47" s="22" t="n">
        <v>0.356162</v>
      </c>
      <c r="L47" s="17" t="n">
        <v>17</v>
      </c>
      <c r="M47" s="22" t="n">
        <v>0.0005613093746965717</v>
      </c>
      <c r="N47" s="22" t="n">
        <v>74</v>
      </c>
      <c r="O47" s="22" t="n">
        <v>0.005482136596640459</v>
      </c>
      <c r="P47" s="21">
        <f>1 - (1 - I47)^(1/12)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0.131982344</v>
      </c>
      <c r="J48" s="20" t="n">
        <v>1</v>
      </c>
      <c r="K48" s="20" t="n">
        <v>0.356162</v>
      </c>
      <c r="L48" s="15" t="n">
        <v>17</v>
      </c>
      <c r="M48" s="20" t="n">
        <v>0.0005613093746965717</v>
      </c>
      <c r="N48" s="20" t="n">
        <v>74</v>
      </c>
      <c r="O48" s="20" t="n">
        <v>0.005482136596640459</v>
      </c>
      <c r="P48" s="19">
        <f>1 - (1 - I48)^(1/12)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0.131982344</v>
      </c>
      <c r="J49" s="22" t="n">
        <v>1</v>
      </c>
      <c r="K49" s="22" t="n">
        <v>0.356162</v>
      </c>
      <c r="L49" s="17" t="n">
        <v>17</v>
      </c>
      <c r="M49" s="22" t="n">
        <v>0.0005613093746965717</v>
      </c>
      <c r="N49" s="22" t="n">
        <v>74</v>
      </c>
      <c r="O49" s="22" t="n">
        <v>0.005482136596640459</v>
      </c>
      <c r="P49" s="21">
        <f>1 - (1 - I49)^(1/12)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0.131982344</v>
      </c>
      <c r="J50" s="20" t="n">
        <v>1</v>
      </c>
      <c r="K50" s="20" t="n">
        <v>0.356162</v>
      </c>
      <c r="L50" s="15" t="n">
        <v>17</v>
      </c>
      <c r="M50" s="20" t="n">
        <v>0.0005613093746965717</v>
      </c>
      <c r="N50" s="20" t="n">
        <v>74</v>
      </c>
      <c r="O50" s="20" t="n">
        <v>0.005482136596640459</v>
      </c>
      <c r="P50" s="19">
        <f>1 - (1 - I50)^(1/12)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0.131982344</v>
      </c>
      <c r="J51" s="22" t="n">
        <v>1</v>
      </c>
      <c r="K51" s="22" t="n">
        <v>0.356162</v>
      </c>
      <c r="L51" s="17" t="n">
        <v>17</v>
      </c>
      <c r="M51" s="22" t="n">
        <v>0.0005613093746965717</v>
      </c>
      <c r="N51" s="22" t="n">
        <v>74</v>
      </c>
      <c r="O51" s="22" t="n">
        <v>0.005482136596640459</v>
      </c>
      <c r="P51" s="21">
        <f>1 - (1 - I51)^(1/12)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0.488219664</v>
      </c>
      <c r="J52" s="20" t="n">
        <v>1</v>
      </c>
      <c r="K52" s="20" t="n">
        <v>0.427317</v>
      </c>
      <c r="L52" s="15" t="n">
        <v>17</v>
      </c>
      <c r="M52" s="20" t="n">
        <v>7.665543506496912e-05</v>
      </c>
      <c r="N52" s="20" t="n">
        <v>8</v>
      </c>
      <c r="O52" s="20" t="n">
        <v>0.0002993975260095443</v>
      </c>
      <c r="P52" s="19">
        <f>1 - (1 - I52)^(1/12)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0.488219664</v>
      </c>
      <c r="J53" s="22" t="n">
        <v>1</v>
      </c>
      <c r="K53" s="22" t="n">
        <v>0.427317</v>
      </c>
      <c r="L53" s="17" t="n">
        <v>17</v>
      </c>
      <c r="M53" s="22" t="n">
        <v>7.665543506496912e-05</v>
      </c>
      <c r="N53" s="22" t="n">
        <v>8</v>
      </c>
      <c r="O53" s="22" t="n">
        <v>0.0002993975260095443</v>
      </c>
      <c r="P53" s="21">
        <f>1 - (1 - I53)^(1/12)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0.488219664</v>
      </c>
      <c r="J54" s="20" t="n">
        <v>1</v>
      </c>
      <c r="K54" s="20" t="n">
        <v>0.427317</v>
      </c>
      <c r="L54" s="15" t="n">
        <v>17</v>
      </c>
      <c r="M54" s="20" t="n">
        <v>7.665543506496912e-05</v>
      </c>
      <c r="N54" s="20" t="n">
        <v>8</v>
      </c>
      <c r="O54" s="20" t="n">
        <v>0.0002993975260095443</v>
      </c>
      <c r="P54" s="19">
        <f>1 - (1 - I54)^(1/12)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0.488219664</v>
      </c>
      <c r="J55" s="22" t="n">
        <v>1</v>
      </c>
      <c r="K55" s="22" t="n">
        <v>0.427317</v>
      </c>
      <c r="L55" s="17" t="n">
        <v>17</v>
      </c>
      <c r="M55" s="22" t="n">
        <v>7.665543506496912e-05</v>
      </c>
      <c r="N55" s="22" t="n">
        <v>8</v>
      </c>
      <c r="O55" s="22" t="n">
        <v>0.0002993975260095443</v>
      </c>
      <c r="P55" s="21">
        <f>1 - (1 - I55)^(1/12)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0.488219664</v>
      </c>
      <c r="J56" s="20" t="n">
        <v>1</v>
      </c>
      <c r="K56" s="20" t="n">
        <v>0.427317</v>
      </c>
      <c r="L56" s="15" t="n">
        <v>17</v>
      </c>
      <c r="M56" s="20" t="n">
        <v>7.665543506496912e-05</v>
      </c>
      <c r="N56" s="20" t="n">
        <v>8</v>
      </c>
      <c r="O56" s="20" t="n">
        <v>0.0002993975260095443</v>
      </c>
      <c r="P56" s="19">
        <f>1 - (1 - I56)^(1/12)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0.488219664</v>
      </c>
      <c r="J57" s="22" t="n">
        <v>1</v>
      </c>
      <c r="K57" s="22" t="n">
        <v>0.427317</v>
      </c>
      <c r="L57" s="17" t="n">
        <v>18</v>
      </c>
      <c r="M57" s="22" t="n">
        <v>4.389926451931172e-05</v>
      </c>
      <c r="N57" s="22" t="n">
        <v>8</v>
      </c>
      <c r="O57" s="22" t="n">
        <v>0.0001714598733877239</v>
      </c>
      <c r="P57" s="21">
        <f>1 - (1 - I57)^(1/12)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0.488219664</v>
      </c>
      <c r="J58" s="20" t="n">
        <v>1</v>
      </c>
      <c r="K58" s="20" t="n">
        <v>0.427317</v>
      </c>
      <c r="L58" s="15" t="n">
        <v>18</v>
      </c>
      <c r="M58" s="20" t="n">
        <v>4.389926451931172e-05</v>
      </c>
      <c r="N58" s="20" t="n">
        <v>8</v>
      </c>
      <c r="O58" s="20" t="n">
        <v>0.0001714598733877239</v>
      </c>
      <c r="P58" s="19">
        <f>1 - (1 - I58)^(1/12)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0.488219664</v>
      </c>
      <c r="J59" s="22" t="n">
        <v>1</v>
      </c>
      <c r="K59" s="22" t="n">
        <v>0.427317</v>
      </c>
      <c r="L59" s="17" t="n">
        <v>18</v>
      </c>
      <c r="M59" s="22" t="n">
        <v>4.389926451931172e-05</v>
      </c>
      <c r="N59" s="22" t="n">
        <v>8</v>
      </c>
      <c r="O59" s="22" t="n">
        <v>0.0001714598733877239</v>
      </c>
      <c r="P59" s="21">
        <f>1 - (1 - I59)^(1/12)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0.488219664</v>
      </c>
      <c r="J60" s="20" t="n">
        <v>1</v>
      </c>
      <c r="K60" s="20" t="n">
        <v>0.427317</v>
      </c>
      <c r="L60" s="15" t="n">
        <v>18</v>
      </c>
      <c r="M60" s="20" t="n">
        <v>4.389926451931172e-05</v>
      </c>
      <c r="N60" s="20" t="n">
        <v>8</v>
      </c>
      <c r="O60" s="20" t="n">
        <v>0.0001714598733877239</v>
      </c>
      <c r="P60" s="19">
        <f>1 - (1 - I60)^(1/12)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0.488219664</v>
      </c>
      <c r="J61" s="22" t="n">
        <v>1</v>
      </c>
      <c r="K61" s="22" t="n">
        <v>0.427317</v>
      </c>
      <c r="L61" s="17" t="n">
        <v>18</v>
      </c>
      <c r="M61" s="22" t="n">
        <v>4.389926451931172e-05</v>
      </c>
      <c r="N61" s="22" t="n">
        <v>8</v>
      </c>
      <c r="O61" s="22" t="n">
        <v>0.0001714598733877239</v>
      </c>
      <c r="P61" s="21">
        <f>1 - (1 - I61)^(1/12)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0.488219664</v>
      </c>
      <c r="J62" s="20" t="n">
        <v>1</v>
      </c>
      <c r="K62" s="20" t="n">
        <v>0.427317</v>
      </c>
      <c r="L62" s="15" t="n">
        <v>18</v>
      </c>
      <c r="M62" s="20" t="n">
        <v>4.389926451931172e-05</v>
      </c>
      <c r="N62" s="20" t="n">
        <v>8</v>
      </c>
      <c r="O62" s="20" t="n">
        <v>0.0001714598733877239</v>
      </c>
      <c r="P62" s="19">
        <f>1 - (1 - I62)^(1/12)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0.488219664</v>
      </c>
      <c r="J63" s="22" t="n">
        <v>1</v>
      </c>
      <c r="K63" s="22" t="n">
        <v>0.427317</v>
      </c>
      <c r="L63" s="17" t="n">
        <v>18</v>
      </c>
      <c r="M63" s="22" t="n">
        <v>4.389926451931172e-05</v>
      </c>
      <c r="N63" s="22" t="n">
        <v>8</v>
      </c>
      <c r="O63" s="22" t="n">
        <v>0.0001714598733877239</v>
      </c>
      <c r="P63" s="21">
        <f>1 - (1 - I63)^(1/12)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0.425341487</v>
      </c>
      <c r="J64" s="20" t="n">
        <v>1</v>
      </c>
      <c r="K64" s="20" t="n">
        <v>0.640588</v>
      </c>
      <c r="L64" s="15" t="n">
        <v>18</v>
      </c>
      <c r="M64" s="20" t="n">
        <v>1.001535429767466e-08</v>
      </c>
      <c r="N64" s="20" t="n">
        <v>62</v>
      </c>
      <c r="O64" s="20" t="n">
        <v>2.641166327678965e-07</v>
      </c>
      <c r="P64" s="19">
        <f>1 - (1 - I64)^(1/12)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0.425341487</v>
      </c>
      <c r="J65" s="22" t="n">
        <v>1</v>
      </c>
      <c r="K65" s="22" t="n">
        <v>0.640588</v>
      </c>
      <c r="L65" s="17" t="n">
        <v>18</v>
      </c>
      <c r="M65" s="22" t="n">
        <v>1.001535429767466e-08</v>
      </c>
      <c r="N65" s="22" t="n">
        <v>62</v>
      </c>
      <c r="O65" s="22" t="n">
        <v>2.641166327678965e-07</v>
      </c>
      <c r="P65" s="21">
        <f>1 - (1 - I65)^(1/12)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0.425341487</v>
      </c>
      <c r="J66" s="20" t="n">
        <v>1</v>
      </c>
      <c r="K66" s="20" t="n">
        <v>0.640588</v>
      </c>
      <c r="L66" s="15" t="n">
        <v>18</v>
      </c>
      <c r="M66" s="20" t="n">
        <v>1.001535429767466e-08</v>
      </c>
      <c r="N66" s="20" t="n">
        <v>62</v>
      </c>
      <c r="O66" s="20" t="n">
        <v>2.641166327678965e-07</v>
      </c>
      <c r="P66" s="19">
        <f>1 - (1 - I66)^(1/12)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0.425341487</v>
      </c>
      <c r="J67" s="22" t="n">
        <v>1</v>
      </c>
      <c r="K67" s="22" t="n">
        <v>0.640588</v>
      </c>
      <c r="L67" s="17" t="n">
        <v>18</v>
      </c>
      <c r="M67" s="22" t="n">
        <v>1.001535429767466e-08</v>
      </c>
      <c r="N67" s="22" t="n">
        <v>62</v>
      </c>
      <c r="O67" s="22" t="n">
        <v>2.641166327678965e-07</v>
      </c>
      <c r="P67" s="21">
        <f>1 - (1 - I67)^(1/12)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0.425341487</v>
      </c>
      <c r="J68" s="20" t="n">
        <v>1</v>
      </c>
      <c r="K68" s="20" t="n">
        <v>0.640588</v>
      </c>
      <c r="L68" s="15" t="n">
        <v>18</v>
      </c>
      <c r="M68" s="20" t="n">
        <v>1.001535429767466e-08</v>
      </c>
      <c r="N68" s="20" t="n">
        <v>62</v>
      </c>
      <c r="O68" s="20" t="n">
        <v>2.641166327678965e-07</v>
      </c>
      <c r="P68" s="19">
        <f>1 - (1 - I68)^(1/12)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0.425341487</v>
      </c>
      <c r="J69" s="22" t="n">
        <v>1</v>
      </c>
      <c r="K69" s="22" t="n">
        <v>0.640588</v>
      </c>
      <c r="L69" s="17" t="n">
        <v>19</v>
      </c>
      <c r="M69" s="22" t="n">
        <v>3.599638518835845e-09</v>
      </c>
      <c r="N69" s="22" t="n">
        <v>62</v>
      </c>
      <c r="O69" s="22" t="n">
        <v>9.492668721637519e-08</v>
      </c>
      <c r="P69" s="21">
        <f>1 - (1 - I69)^(1/12)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0.425341487</v>
      </c>
      <c r="J70" s="20" t="n">
        <v>1</v>
      </c>
      <c r="K70" s="20" t="n">
        <v>0.640588</v>
      </c>
      <c r="L70" s="15" t="n">
        <v>19</v>
      </c>
      <c r="M70" s="20" t="n">
        <v>3.599638518835845e-09</v>
      </c>
      <c r="N70" s="20" t="n">
        <v>62</v>
      </c>
      <c r="O70" s="20" t="n">
        <v>9.492668721637519e-08</v>
      </c>
      <c r="P70" s="19">
        <f>1 - (1 - I70)^(1/12)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0.425341487</v>
      </c>
      <c r="J71" s="22" t="n">
        <v>1</v>
      </c>
      <c r="K71" s="22" t="n">
        <v>0.640588</v>
      </c>
      <c r="L71" s="17" t="n">
        <v>19</v>
      </c>
      <c r="M71" s="22" t="n">
        <v>3.599638518835845e-09</v>
      </c>
      <c r="N71" s="22" t="n">
        <v>62</v>
      </c>
      <c r="O71" s="22" t="n">
        <v>9.492668721637519e-08</v>
      </c>
      <c r="P71" s="21">
        <f>1 - (1 - I71)^(1/12)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0.425341487</v>
      </c>
      <c r="J72" s="20" t="n">
        <v>1</v>
      </c>
      <c r="K72" s="20" t="n">
        <v>0.640588</v>
      </c>
      <c r="L72" s="15" t="n">
        <v>19</v>
      </c>
      <c r="M72" s="20" t="n">
        <v>3.599638518835845e-09</v>
      </c>
      <c r="N72" s="20" t="n">
        <v>62</v>
      </c>
      <c r="O72" s="20" t="n">
        <v>9.492668721637519e-08</v>
      </c>
      <c r="P72" s="19">
        <f>1 - (1 - I72)^(1/12)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0.425341487</v>
      </c>
      <c r="J73" s="22" t="n">
        <v>1</v>
      </c>
      <c r="K73" s="22" t="n">
        <v>0.640588</v>
      </c>
      <c r="L73" s="17" t="n">
        <v>19</v>
      </c>
      <c r="M73" s="22" t="n">
        <v>3.599638518835845e-09</v>
      </c>
      <c r="N73" s="22" t="n">
        <v>62</v>
      </c>
      <c r="O73" s="22" t="n">
        <v>9.492668721637519e-08</v>
      </c>
      <c r="P73" s="21">
        <f>1 - (1 - I73)^(1/12)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0.425341487</v>
      </c>
      <c r="J74" s="20" t="n">
        <v>1</v>
      </c>
      <c r="K74" s="20" t="n">
        <v>0.640588</v>
      </c>
      <c r="L74" s="15" t="n">
        <v>19</v>
      </c>
      <c r="M74" s="20" t="n">
        <v>3.599638518835845e-09</v>
      </c>
      <c r="N74" s="20" t="n">
        <v>62</v>
      </c>
      <c r="O74" s="20" t="n">
        <v>9.492668721637519e-08</v>
      </c>
      <c r="P74" s="19">
        <f>1 - (1 - I74)^(1/12)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0.425341487</v>
      </c>
      <c r="J75" s="22" t="n">
        <v>1</v>
      </c>
      <c r="K75" s="22" t="n">
        <v>0.640588</v>
      </c>
      <c r="L75" s="17" t="n">
        <v>19</v>
      </c>
      <c r="M75" s="22" t="n">
        <v>3.599638518835845e-09</v>
      </c>
      <c r="N75" s="22" t="n">
        <v>62</v>
      </c>
      <c r="O75" s="22" t="n">
        <v>9.492668721637519e-08</v>
      </c>
      <c r="P75" s="21">
        <f>1 - (1 - I75)^(1/12)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0.41319345</v>
      </c>
      <c r="J76" s="20" t="n">
        <v>1</v>
      </c>
      <c r="K76" s="20" t="n">
        <v>0.876513</v>
      </c>
      <c r="L76" s="15" t="n">
        <v>19</v>
      </c>
      <c r="M76" s="20" t="n">
        <v>5.505586110452413e-18</v>
      </c>
      <c r="N76" s="20" t="n">
        <v>65</v>
      </c>
      <c r="O76" s="20" t="n">
        <v>1.478666877512444e-16</v>
      </c>
      <c r="P76" s="19">
        <f>1 - (1 - I76)^(1/12)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0.41319345</v>
      </c>
      <c r="J77" s="22" t="n">
        <v>1</v>
      </c>
      <c r="K77" s="22" t="n">
        <v>0.876513</v>
      </c>
      <c r="L77" s="17" t="n">
        <v>19</v>
      </c>
      <c r="M77" s="22" t="n">
        <v>5.505586110452413e-18</v>
      </c>
      <c r="N77" s="22" t="n">
        <v>65</v>
      </c>
      <c r="O77" s="22" t="n">
        <v>1.478666877512444e-16</v>
      </c>
      <c r="P77" s="21">
        <f>1 - (1 - I77)^(1/12)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0.41319345</v>
      </c>
      <c r="J78" s="20" t="n">
        <v>1</v>
      </c>
      <c r="K78" s="20" t="n">
        <v>0.876513</v>
      </c>
      <c r="L78" s="15" t="n">
        <v>19</v>
      </c>
      <c r="M78" s="20" t="n">
        <v>5.505586110452413e-18</v>
      </c>
      <c r="N78" s="20" t="n">
        <v>65</v>
      </c>
      <c r="O78" s="20" t="n">
        <v>1.478666877512444e-16</v>
      </c>
      <c r="P78" s="19">
        <f>1 - (1 - I78)^(1/12)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0.41319345</v>
      </c>
      <c r="J79" s="22" t="n">
        <v>1</v>
      </c>
      <c r="K79" s="22" t="n">
        <v>0.876513</v>
      </c>
      <c r="L79" s="17" t="n">
        <v>19</v>
      </c>
      <c r="M79" s="22" t="n">
        <v>5.505586110452413e-18</v>
      </c>
      <c r="N79" s="22" t="n">
        <v>65</v>
      </c>
      <c r="O79" s="22" t="n">
        <v>1.478666877512444e-16</v>
      </c>
      <c r="P79" s="21">
        <f>1 - (1 - I79)^(1/12)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0.41319345</v>
      </c>
      <c r="J80" s="20" t="n">
        <v>1</v>
      </c>
      <c r="K80" s="20" t="n">
        <v>0.876513</v>
      </c>
      <c r="L80" s="15" t="n">
        <v>19</v>
      </c>
      <c r="M80" s="20" t="n">
        <v>5.505586110452413e-18</v>
      </c>
      <c r="N80" s="20" t="n">
        <v>65</v>
      </c>
      <c r="O80" s="20" t="n">
        <v>1.478666877512444e-16</v>
      </c>
      <c r="P80" s="19">
        <f>1 - (1 - I80)^(1/12)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0.41319345</v>
      </c>
      <c r="J81" s="22" t="n">
        <v>1</v>
      </c>
      <c r="K81" s="22" t="n">
        <v>0.876513</v>
      </c>
      <c r="L81" s="17" t="n">
        <v>20</v>
      </c>
      <c r="M81" s="22" t="n">
        <v>6.798683120214372e-19</v>
      </c>
      <c r="N81" s="22" t="n">
        <v>65</v>
      </c>
      <c r="O81" s="22" t="n">
        <v>1.825961367033792e-17</v>
      </c>
      <c r="P81" s="21">
        <f>1 - (1 - I81)^(1/12)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0.41319345</v>
      </c>
      <c r="J82" s="20" t="n">
        <v>1</v>
      </c>
      <c r="K82" s="20" t="n">
        <v>0.876513</v>
      </c>
      <c r="L82" s="15" t="n">
        <v>20</v>
      </c>
      <c r="M82" s="20" t="n">
        <v>6.798683120214372e-19</v>
      </c>
      <c r="N82" s="20" t="n">
        <v>65</v>
      </c>
      <c r="O82" s="20" t="n">
        <v>1.825961367033792e-17</v>
      </c>
      <c r="P82" s="19">
        <f>1 - (1 - I82)^(1/12)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0.41319345</v>
      </c>
      <c r="J83" s="22" t="n">
        <v>1</v>
      </c>
      <c r="K83" s="22" t="n">
        <v>0.876513</v>
      </c>
      <c r="L83" s="17" t="n">
        <v>20</v>
      </c>
      <c r="M83" s="22" t="n">
        <v>6.798683120214372e-19</v>
      </c>
      <c r="N83" s="22" t="n">
        <v>65</v>
      </c>
      <c r="O83" s="22" t="n">
        <v>1.825961367033792e-17</v>
      </c>
      <c r="P83" s="21">
        <f>1 - (1 - I83)^(1/12)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0.41319345</v>
      </c>
      <c r="J84" s="20" t="n">
        <v>1</v>
      </c>
      <c r="K84" s="20" t="n">
        <v>0.876513</v>
      </c>
      <c r="L84" s="15" t="n">
        <v>20</v>
      </c>
      <c r="M84" s="20" t="n">
        <v>6.798683120214372e-19</v>
      </c>
      <c r="N84" s="20" t="n">
        <v>65</v>
      </c>
      <c r="O84" s="20" t="n">
        <v>1.825961367033792e-17</v>
      </c>
      <c r="P84" s="19">
        <f>1 - (1 - I84)^(1/12)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0.41319345</v>
      </c>
      <c r="J85" s="22" t="n">
        <v>1</v>
      </c>
      <c r="K85" s="22" t="n">
        <v>0.876513</v>
      </c>
      <c r="L85" s="17" t="n">
        <v>20</v>
      </c>
      <c r="M85" s="22" t="n">
        <v>6.798683120214372e-19</v>
      </c>
      <c r="N85" s="22" t="n">
        <v>65</v>
      </c>
      <c r="O85" s="22" t="n">
        <v>1.825961367033792e-17</v>
      </c>
      <c r="P85" s="21">
        <f>1 - (1 - I85)^(1/12)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0.41319345</v>
      </c>
      <c r="J86" s="20" t="n">
        <v>1</v>
      </c>
      <c r="K86" s="20" t="n">
        <v>0.876513</v>
      </c>
      <c r="L86" s="15" t="n">
        <v>20</v>
      </c>
      <c r="M86" s="20" t="n">
        <v>6.798683120214372e-19</v>
      </c>
      <c r="N86" s="20" t="n">
        <v>65</v>
      </c>
      <c r="O86" s="20" t="n">
        <v>1.825961367033792e-17</v>
      </c>
      <c r="P86" s="19">
        <f>1 - (1 - I86)^(1/12)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0.41319345</v>
      </c>
      <c r="J87" s="22" t="n">
        <v>1</v>
      </c>
      <c r="K87" s="22" t="n">
        <v>0.876513</v>
      </c>
      <c r="L87" s="17" t="n">
        <v>20</v>
      </c>
      <c r="M87" s="22" t="n">
        <v>6.798683120214372e-19</v>
      </c>
      <c r="N87" s="22" t="n">
        <v>65</v>
      </c>
      <c r="O87" s="22" t="n">
        <v>1.825961367033792e-17</v>
      </c>
      <c r="P87" s="21">
        <f>1 - (1 - I87)^(1/12)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>0.442772659</v>
      </c>
      <c r="J88" s="20" t="n">
        <v>1</v>
      </c>
      <c r="K88" s="20" t="n">
        <v>0.047752</v>
      </c>
      <c r="L88" s="15" t="n">
        <v>20</v>
      </c>
      <c r="M88" s="20" t="n">
        <v>0.3758386017963018</v>
      </c>
      <c r="N88" s="20" t="n">
        <v>169</v>
      </c>
      <c r="O88" s="20" t="n">
        <v>28.12346864520023</v>
      </c>
      <c r="P88" s="19">
        <f>1 - (1 - I88)^(1/12)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>0.442772659</v>
      </c>
      <c r="J89" s="22" t="n">
        <v>1</v>
      </c>
      <c r="K89" s="22" t="n">
        <v>0.047752</v>
      </c>
      <c r="L89" s="17" t="n">
        <v>20</v>
      </c>
      <c r="M89" s="22" t="n">
        <v>0.3758386017963018</v>
      </c>
      <c r="N89" s="22" t="n">
        <v>169</v>
      </c>
      <c r="O89" s="22" t="n">
        <v>28.12346864520023</v>
      </c>
      <c r="P89" s="21">
        <f>1 - (1 - I89)^(1/12)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>0.442772659</v>
      </c>
      <c r="J90" s="20" t="n">
        <v>1</v>
      </c>
      <c r="K90" s="20" t="n">
        <v>0.047752</v>
      </c>
      <c r="L90" s="15" t="n">
        <v>20</v>
      </c>
      <c r="M90" s="20" t="n">
        <v>0.3758386017963018</v>
      </c>
      <c r="N90" s="20" t="n">
        <v>169</v>
      </c>
      <c r="O90" s="20" t="n">
        <v>28.12346864520023</v>
      </c>
      <c r="P90" s="19">
        <f>1 - (1 - I90)^(1/12)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>0.442772659</v>
      </c>
      <c r="J91" s="22" t="n">
        <v>1</v>
      </c>
      <c r="K91" s="22" t="n">
        <v>0.047752</v>
      </c>
      <c r="L91" s="17" t="n">
        <v>20</v>
      </c>
      <c r="M91" s="22" t="n">
        <v>0.3758386017963018</v>
      </c>
      <c r="N91" s="22" t="n">
        <v>169</v>
      </c>
      <c r="O91" s="22" t="n">
        <v>28.12346864520023</v>
      </c>
      <c r="P91" s="21">
        <f>1 - (1 - I91)^(1/12)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>0.442772659</v>
      </c>
      <c r="J92" s="20" t="n">
        <v>1</v>
      </c>
      <c r="K92" s="20" t="n">
        <v>0.047752</v>
      </c>
      <c r="L92" s="15" t="n">
        <v>20</v>
      </c>
      <c r="M92" s="20" t="n">
        <v>0.3758386017963018</v>
      </c>
      <c r="N92" s="20" t="n">
        <v>169</v>
      </c>
      <c r="O92" s="20" t="n">
        <v>28.12346864520023</v>
      </c>
      <c r="P92" s="19">
        <f>1 - (1 - I92)^(1/12)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>0.442772659</v>
      </c>
      <c r="J93" s="22" t="n">
        <v>1</v>
      </c>
      <c r="K93" s="22" t="n">
        <v>0.047752</v>
      </c>
      <c r="L93" s="17" t="n">
        <v>21</v>
      </c>
      <c r="M93" s="22" t="n">
        <v>0.3578915568833248</v>
      </c>
      <c r="N93" s="22" t="n">
        <v>169</v>
      </c>
      <c r="O93" s="22" t="n">
        <v>26.78051677045464</v>
      </c>
      <c r="P93" s="21">
        <f>1 - (1 - I93)^(1/12)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>0.442772659</v>
      </c>
      <c r="J94" s="20" t="n">
        <v>1</v>
      </c>
      <c r="K94" s="20" t="n">
        <v>0.047752</v>
      </c>
      <c r="L94" s="15" t="n">
        <v>21</v>
      </c>
      <c r="M94" s="20" t="n">
        <v>0.3578915568833248</v>
      </c>
      <c r="N94" s="20" t="n">
        <v>169</v>
      </c>
      <c r="O94" s="20" t="n">
        <v>26.78051677045464</v>
      </c>
      <c r="P94" s="19">
        <f>1 - (1 - I94)^(1/12)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>0.442772659</v>
      </c>
      <c r="J95" s="22" t="n">
        <v>1</v>
      </c>
      <c r="K95" s="22" t="n">
        <v>0.047752</v>
      </c>
      <c r="L95" s="17" t="n">
        <v>21</v>
      </c>
      <c r="M95" s="22" t="n">
        <v>0.3578915568833248</v>
      </c>
      <c r="N95" s="22" t="n">
        <v>169</v>
      </c>
      <c r="O95" s="22" t="n">
        <v>26.78051677045464</v>
      </c>
      <c r="P95" s="21">
        <f>1 - (1 - I95)^(1/12)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>0.442772659</v>
      </c>
      <c r="J96" s="20" t="n">
        <v>1</v>
      </c>
      <c r="K96" s="20" t="n">
        <v>0.047752</v>
      </c>
      <c r="L96" s="15" t="n">
        <v>21</v>
      </c>
      <c r="M96" s="20" t="n">
        <v>0.3578915568833248</v>
      </c>
      <c r="N96" s="20" t="n">
        <v>169</v>
      </c>
      <c r="O96" s="20" t="n">
        <v>26.78051677045464</v>
      </c>
      <c r="P96" s="19">
        <f>1 - (1 - I96)^(1/12)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>0.442772659</v>
      </c>
      <c r="J97" s="22" t="n">
        <v>1</v>
      </c>
      <c r="K97" s="22" t="n">
        <v>0.047752</v>
      </c>
      <c r="L97" s="17" t="n">
        <v>21</v>
      </c>
      <c r="M97" s="22" t="n">
        <v>0.3578915568833248</v>
      </c>
      <c r="N97" s="22" t="n">
        <v>169</v>
      </c>
      <c r="O97" s="22" t="n">
        <v>26.78051677045464</v>
      </c>
      <c r="P97" s="21">
        <f>1 - (1 - I97)^(1/12)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>0.442772659</v>
      </c>
      <c r="J98" s="20" t="n">
        <v>1</v>
      </c>
      <c r="K98" s="20" t="n">
        <v>0.047752</v>
      </c>
      <c r="L98" s="15" t="n">
        <v>21</v>
      </c>
      <c r="M98" s="20" t="n">
        <v>0.3578915568833248</v>
      </c>
      <c r="N98" s="20" t="n">
        <v>169</v>
      </c>
      <c r="O98" s="20" t="n">
        <v>26.78051677045464</v>
      </c>
      <c r="P98" s="19">
        <f>1 - (1 - I98)^(1/12)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>0.442772659</v>
      </c>
      <c r="J99" s="22" t="n">
        <v>1</v>
      </c>
      <c r="K99" s="22" t="n">
        <v>0.047752</v>
      </c>
      <c r="L99" s="17" t="n">
        <v>21</v>
      </c>
      <c r="M99" s="22" t="n">
        <v>0.3578915568833248</v>
      </c>
      <c r="N99" s="22" t="n">
        <v>169</v>
      </c>
      <c r="O99" s="22" t="n">
        <v>26.78051677045464</v>
      </c>
      <c r="P99" s="21">
        <f>1 - (1 - I99)^(1/12)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0.567979778</v>
      </c>
      <c r="J100" s="20" t="n">
        <v>1</v>
      </c>
      <c r="K100" s="20" t="n">
        <v>0.546663</v>
      </c>
      <c r="L100" s="15" t="n">
        <v>21</v>
      </c>
      <c r="M100" s="20" t="n">
        <v>6.093186799724713e-08</v>
      </c>
      <c r="N100" s="20" t="n">
        <v>8</v>
      </c>
      <c r="O100" s="20" t="n">
        <v>2.768645508656138e-07</v>
      </c>
      <c r="P100" s="19">
        <f>1 - (1 - I100)^(1/12)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0.567979778</v>
      </c>
      <c r="J101" s="22" t="n">
        <v>1</v>
      </c>
      <c r="K101" s="22" t="n">
        <v>0.546663</v>
      </c>
      <c r="L101" s="17" t="n">
        <v>21</v>
      </c>
      <c r="M101" s="22" t="n">
        <v>6.093186799724713e-08</v>
      </c>
      <c r="N101" s="22" t="n">
        <v>8</v>
      </c>
      <c r="O101" s="22" t="n">
        <v>2.768645508656138e-07</v>
      </c>
      <c r="P101" s="21">
        <f>1 - (1 - I101)^(1/12)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0.567979778</v>
      </c>
      <c r="J102" s="20" t="n">
        <v>1</v>
      </c>
      <c r="K102" s="20" t="n">
        <v>0.546663</v>
      </c>
      <c r="L102" s="15" t="n">
        <v>21</v>
      </c>
      <c r="M102" s="20" t="n">
        <v>6.093186799724713e-08</v>
      </c>
      <c r="N102" s="20" t="n">
        <v>8</v>
      </c>
      <c r="O102" s="20" t="n">
        <v>2.768645508656138e-07</v>
      </c>
      <c r="P102" s="19">
        <f>1 - (1 - I102)^(1/12)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0.567979778</v>
      </c>
      <c r="J103" s="22" t="n">
        <v>1</v>
      </c>
      <c r="K103" s="22" t="n">
        <v>0.546663</v>
      </c>
      <c r="L103" s="17" t="n">
        <v>21</v>
      </c>
      <c r="M103" s="22" t="n">
        <v>6.093186799724713e-08</v>
      </c>
      <c r="N103" s="22" t="n">
        <v>8</v>
      </c>
      <c r="O103" s="22" t="n">
        <v>2.768645508656138e-07</v>
      </c>
      <c r="P103" s="21">
        <f>1 - (1 - I103)^(1/12)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0.567979778</v>
      </c>
      <c r="J104" s="20" t="n">
        <v>1</v>
      </c>
      <c r="K104" s="20" t="n">
        <v>0.546663</v>
      </c>
      <c r="L104" s="15" t="n">
        <v>21</v>
      </c>
      <c r="M104" s="20" t="n">
        <v>6.093186799724713e-08</v>
      </c>
      <c r="N104" s="20" t="n">
        <v>8</v>
      </c>
      <c r="O104" s="20" t="n">
        <v>2.768645508656138e-07</v>
      </c>
      <c r="P104" s="19">
        <f>1 - (1 - I104)^(1/12)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0.567979778</v>
      </c>
      <c r="J105" s="22" t="n">
        <v>1</v>
      </c>
      <c r="K105" s="22" t="n">
        <v>0.546663</v>
      </c>
      <c r="L105" s="17" t="n">
        <v>22</v>
      </c>
      <c r="M105" s="22" t="n">
        <v>2.762267024226802e-08</v>
      </c>
      <c r="N105" s="22" t="n">
        <v>8</v>
      </c>
      <c r="O105" s="22" t="n">
        <v>1.255129448957648e-07</v>
      </c>
      <c r="P105" s="21">
        <f>1 - (1 - I105)^(1/12)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0.567979778</v>
      </c>
      <c r="J106" s="20" t="n">
        <v>1</v>
      </c>
      <c r="K106" s="20" t="n">
        <v>0.546663</v>
      </c>
      <c r="L106" s="15" t="n">
        <v>22</v>
      </c>
      <c r="M106" s="20" t="n">
        <v>2.762267024226802e-08</v>
      </c>
      <c r="N106" s="20" t="n">
        <v>8</v>
      </c>
      <c r="O106" s="20" t="n">
        <v>1.255129448957648e-07</v>
      </c>
      <c r="P106" s="19">
        <f>1 - (1 - I106)^(1/12)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0.567979778</v>
      </c>
      <c r="J107" s="22" t="n">
        <v>1</v>
      </c>
      <c r="K107" s="22" t="n">
        <v>0.546663</v>
      </c>
      <c r="L107" s="17" t="n">
        <v>22</v>
      </c>
      <c r="M107" s="22" t="n">
        <v>2.762267024226802e-08</v>
      </c>
      <c r="N107" s="22" t="n">
        <v>8</v>
      </c>
      <c r="O107" s="22" t="n">
        <v>1.255129448957648e-07</v>
      </c>
      <c r="P107" s="21">
        <f>1 - (1 - I107)^(1/12)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0.567979778</v>
      </c>
      <c r="J108" s="20" t="n">
        <v>1</v>
      </c>
      <c r="K108" s="20" t="n">
        <v>0.546663</v>
      </c>
      <c r="L108" s="15" t="n">
        <v>22</v>
      </c>
      <c r="M108" s="20" t="n">
        <v>2.762267024226802e-08</v>
      </c>
      <c r="N108" s="20" t="n">
        <v>8</v>
      </c>
      <c r="O108" s="20" t="n">
        <v>1.255129448957648e-07</v>
      </c>
      <c r="P108" s="19">
        <f>1 - (1 - I108)^(1/12)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0.567979778</v>
      </c>
      <c r="J109" s="22" t="n">
        <v>1</v>
      </c>
      <c r="K109" s="22" t="n">
        <v>0.546663</v>
      </c>
      <c r="L109" s="17" t="n">
        <v>22</v>
      </c>
      <c r="M109" s="22" t="n">
        <v>2.762267024226802e-08</v>
      </c>
      <c r="N109" s="22" t="n">
        <v>8</v>
      </c>
      <c r="O109" s="22" t="n">
        <v>1.255129448957648e-07</v>
      </c>
      <c r="P109" s="21">
        <f>1 - (1 - I109)^(1/12)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0.567979778</v>
      </c>
      <c r="J110" s="20" t="n">
        <v>1</v>
      </c>
      <c r="K110" s="20" t="n">
        <v>0.546663</v>
      </c>
      <c r="L110" s="15" t="n">
        <v>22</v>
      </c>
      <c r="M110" s="20" t="n">
        <v>2.762267024226802e-08</v>
      </c>
      <c r="N110" s="20" t="n">
        <v>8</v>
      </c>
      <c r="O110" s="20" t="n">
        <v>1.255129448957648e-07</v>
      </c>
      <c r="P110" s="19">
        <f>1 - (1 - I110)^(1/12)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0.567979778</v>
      </c>
      <c r="J111" s="22" t="n">
        <v>1</v>
      </c>
      <c r="K111" s="22" t="n">
        <v>0.546663</v>
      </c>
      <c r="L111" s="17" t="n">
        <v>22</v>
      </c>
      <c r="M111" s="22" t="n">
        <v>2.762267024226802e-08</v>
      </c>
      <c r="N111" s="22" t="n">
        <v>8</v>
      </c>
      <c r="O111" s="22" t="n">
        <v>1.255129448957648e-07</v>
      </c>
      <c r="P111" s="21">
        <f>1 - (1 - I111)^(1/12)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0.507687841</v>
      </c>
      <c r="J112" s="20" t="n">
        <v>1</v>
      </c>
      <c r="K112" s="20" t="n">
        <v>0.745333</v>
      </c>
      <c r="L112" s="15" t="n">
        <v>22</v>
      </c>
      <c r="M112" s="20" t="n">
        <v>8.538838325315943e-14</v>
      </c>
      <c r="N112" s="20" t="n">
        <v>114</v>
      </c>
      <c r="O112" s="20" t="n">
        <v>4.941973409191585e-12</v>
      </c>
      <c r="P112" s="19">
        <f>1 - (1 - I112)^(1/12)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0.507687841</v>
      </c>
      <c r="J113" s="22" t="n">
        <v>1</v>
      </c>
      <c r="K113" s="22" t="n">
        <v>0.745333</v>
      </c>
      <c r="L113" s="17" t="n">
        <v>22</v>
      </c>
      <c r="M113" s="22" t="n">
        <v>8.538838325315943e-14</v>
      </c>
      <c r="N113" s="22" t="n">
        <v>114</v>
      </c>
      <c r="O113" s="22" t="n">
        <v>4.941973409191585e-12</v>
      </c>
      <c r="P113" s="21">
        <f>1 - (1 - I113)^(1/12)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0.507687841</v>
      </c>
      <c r="J114" s="20" t="n">
        <v>1</v>
      </c>
      <c r="K114" s="20" t="n">
        <v>0.745333</v>
      </c>
      <c r="L114" s="15" t="n">
        <v>22</v>
      </c>
      <c r="M114" s="20" t="n">
        <v>8.538838325315943e-14</v>
      </c>
      <c r="N114" s="20" t="n">
        <v>114</v>
      </c>
      <c r="O114" s="20" t="n">
        <v>4.941973409191585e-12</v>
      </c>
      <c r="P114" s="19">
        <f>1 - (1 - I114)^(1/12)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0.507687841</v>
      </c>
      <c r="J115" s="22" t="n">
        <v>1</v>
      </c>
      <c r="K115" s="22" t="n">
        <v>0.745333</v>
      </c>
      <c r="L115" s="17" t="n">
        <v>22</v>
      </c>
      <c r="M115" s="22" t="n">
        <v>8.538838325315943e-14</v>
      </c>
      <c r="N115" s="22" t="n">
        <v>114</v>
      </c>
      <c r="O115" s="22" t="n">
        <v>4.941973409191585e-12</v>
      </c>
      <c r="P115" s="21">
        <f>1 - (1 - I115)^(1/12)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0.507687841</v>
      </c>
      <c r="J116" s="20" t="n">
        <v>1</v>
      </c>
      <c r="K116" s="20" t="n">
        <v>0.745333</v>
      </c>
      <c r="L116" s="15" t="n">
        <v>22</v>
      </c>
      <c r="M116" s="20" t="n">
        <v>8.538838325315943e-14</v>
      </c>
      <c r="N116" s="20" t="n">
        <v>114</v>
      </c>
      <c r="O116" s="20" t="n">
        <v>4.941973409191585e-12</v>
      </c>
      <c r="P116" s="19">
        <f>1 - (1 - I116)^(1/12)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0.507687841</v>
      </c>
      <c r="J117" s="22" t="n">
        <v>1</v>
      </c>
      <c r="K117" s="22" t="n">
        <v>0.745333</v>
      </c>
      <c r="L117" s="17" t="n">
        <v>23</v>
      </c>
      <c r="M117" s="22" t="n">
        <v>2.174560339793235e-14</v>
      </c>
      <c r="N117" s="22" t="n">
        <v>114</v>
      </c>
      <c r="O117" s="22" t="n">
        <v>1.258557542198593e-12</v>
      </c>
      <c r="P117" s="21">
        <f>1 - (1 - I117)^(1/12)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0.507687841</v>
      </c>
      <c r="J118" s="20" t="n">
        <v>1</v>
      </c>
      <c r="K118" s="20" t="n">
        <v>0.745333</v>
      </c>
      <c r="L118" s="15" t="n">
        <v>23</v>
      </c>
      <c r="M118" s="20" t="n">
        <v>2.174560339793235e-14</v>
      </c>
      <c r="N118" s="20" t="n">
        <v>114</v>
      </c>
      <c r="O118" s="20" t="n">
        <v>1.258557542198593e-12</v>
      </c>
      <c r="P118" s="19">
        <f>1 - (1 - I118)^(1/12)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0.507687841</v>
      </c>
      <c r="J119" s="22" t="n">
        <v>1</v>
      </c>
      <c r="K119" s="22" t="n">
        <v>0.745333</v>
      </c>
      <c r="L119" s="17" t="n">
        <v>23</v>
      </c>
      <c r="M119" s="22" t="n">
        <v>2.174560339793235e-14</v>
      </c>
      <c r="N119" s="22" t="n">
        <v>114</v>
      </c>
      <c r="O119" s="22" t="n">
        <v>1.258557542198593e-12</v>
      </c>
      <c r="P119" s="21">
        <f>1 - (1 - I119)^(1/12)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0.507687841</v>
      </c>
      <c r="J120" s="20" t="n">
        <v>1</v>
      </c>
      <c r="K120" s="20" t="n">
        <v>0.745333</v>
      </c>
      <c r="L120" s="15" t="n">
        <v>23</v>
      </c>
      <c r="M120" s="20" t="n">
        <v>2.174560339793235e-14</v>
      </c>
      <c r="N120" s="20" t="n">
        <v>114</v>
      </c>
      <c r="O120" s="20" t="n">
        <v>1.258557542198593e-12</v>
      </c>
      <c r="P120" s="19">
        <f>1 - (1 - I120)^(1/12)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0.507687841</v>
      </c>
      <c r="J121" s="22" t="n">
        <v>1</v>
      </c>
      <c r="K121" s="22" t="n">
        <v>0.745333</v>
      </c>
      <c r="L121" s="17" t="n">
        <v>23</v>
      </c>
      <c r="M121" s="22" t="n">
        <v>2.174560339793235e-14</v>
      </c>
      <c r="N121" s="22" t="n">
        <v>114</v>
      </c>
      <c r="O121" s="22" t="n">
        <v>1.258557542198593e-12</v>
      </c>
      <c r="P121" s="21">
        <f>1 - (1 - I121)^(1/12)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0.507687841</v>
      </c>
      <c r="J122" s="20" t="n">
        <v>1</v>
      </c>
      <c r="K122" s="20" t="n">
        <v>0.745333</v>
      </c>
      <c r="L122" s="15" t="n">
        <v>23</v>
      </c>
      <c r="M122" s="20" t="n">
        <v>2.174560339793235e-14</v>
      </c>
      <c r="N122" s="20" t="n">
        <v>114</v>
      </c>
      <c r="O122" s="20" t="n">
        <v>1.258557542198593e-12</v>
      </c>
      <c r="P122" s="19">
        <f>1 - (1 - I122)^(1/12)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0.507687841</v>
      </c>
      <c r="J123" s="22" t="n">
        <v>1</v>
      </c>
      <c r="K123" s="22" t="n">
        <v>0.745333</v>
      </c>
      <c r="L123" s="17" t="n">
        <v>23</v>
      </c>
      <c r="M123" s="22" t="n">
        <v>2.174560339793235e-14</v>
      </c>
      <c r="N123" s="22" t="n">
        <v>114</v>
      </c>
      <c r="O123" s="22" t="n">
        <v>1.258557542198593e-12</v>
      </c>
      <c r="P123" s="21">
        <f>1 - (1 - I123)^(1/12)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0.829329565</v>
      </c>
      <c r="J124" s="20" t="n">
        <v>1</v>
      </c>
      <c r="K124" s="20" t="n">
        <v>0.3661</v>
      </c>
      <c r="L124" s="15" t="n">
        <v>23</v>
      </c>
      <c r="M124" s="20" t="n">
        <v>2.795614541163958e-05</v>
      </c>
      <c r="N124" s="20" t="n">
        <v>121</v>
      </c>
      <c r="O124" s="20" t="n">
        <v>0.002805367807510727</v>
      </c>
      <c r="P124" s="19">
        <f>1 - (1 - I124)^(1/12)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0.829329565</v>
      </c>
      <c r="J125" s="22" t="n">
        <v>1</v>
      </c>
      <c r="K125" s="22" t="n">
        <v>0.3661</v>
      </c>
      <c r="L125" s="17" t="n">
        <v>23</v>
      </c>
      <c r="M125" s="22" t="n">
        <v>2.795614541163958e-05</v>
      </c>
      <c r="N125" s="22" t="n">
        <v>121</v>
      </c>
      <c r="O125" s="22" t="n">
        <v>0.002805367807510727</v>
      </c>
      <c r="P125" s="21">
        <f>1 - (1 - I125)^(1/12)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0.829329565</v>
      </c>
      <c r="J126" s="20" t="n">
        <v>1</v>
      </c>
      <c r="K126" s="20" t="n">
        <v>0.3661</v>
      </c>
      <c r="L126" s="15" t="n">
        <v>23</v>
      </c>
      <c r="M126" s="20" t="n">
        <v>2.795614541163958e-05</v>
      </c>
      <c r="N126" s="20" t="n">
        <v>121</v>
      </c>
      <c r="O126" s="20" t="n">
        <v>0.002805367807510727</v>
      </c>
      <c r="P126" s="19">
        <f>1 - (1 - I126)^(1/12)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0.829329565</v>
      </c>
      <c r="J127" s="22" t="n">
        <v>1</v>
      </c>
      <c r="K127" s="22" t="n">
        <v>0.3661</v>
      </c>
      <c r="L127" s="17" t="n">
        <v>23</v>
      </c>
      <c r="M127" s="22" t="n">
        <v>2.795614541163958e-05</v>
      </c>
      <c r="N127" s="22" t="n">
        <v>121</v>
      </c>
      <c r="O127" s="22" t="n">
        <v>0.002805367807510727</v>
      </c>
      <c r="P127" s="21">
        <f>1 - (1 - I127)^(1/12)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0.829329565</v>
      </c>
      <c r="J128" s="20" t="n">
        <v>1</v>
      </c>
      <c r="K128" s="20" t="n">
        <v>0.3661</v>
      </c>
      <c r="L128" s="15" t="n">
        <v>23</v>
      </c>
      <c r="M128" s="20" t="n">
        <v>2.795614541163958e-05</v>
      </c>
      <c r="N128" s="20" t="n">
        <v>121</v>
      </c>
      <c r="O128" s="20" t="n">
        <v>0.002805367807510727</v>
      </c>
      <c r="P128" s="19">
        <f>1 - (1 - I128)^(1/12)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0.829329565</v>
      </c>
      <c r="J129" s="22" t="n">
        <v>1</v>
      </c>
      <c r="K129" s="22" t="n">
        <v>0.3661</v>
      </c>
      <c r="L129" s="17" t="n">
        <v>24</v>
      </c>
      <c r="M129" s="22" t="n">
        <v>1.772140057643833e-05</v>
      </c>
      <c r="N129" s="22" t="n">
        <v>121</v>
      </c>
      <c r="O129" s="22" t="n">
        <v>0.00177832265318105</v>
      </c>
      <c r="P129" s="21">
        <f>1 - (1 - I129)^(1/12)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0.829329565</v>
      </c>
      <c r="J130" s="20" t="n">
        <v>1</v>
      </c>
      <c r="K130" s="20" t="n">
        <v>0.3661</v>
      </c>
      <c r="L130" s="15" t="n">
        <v>24</v>
      </c>
      <c r="M130" s="20" t="n">
        <v>1.772140057643833e-05</v>
      </c>
      <c r="N130" s="20" t="n">
        <v>121</v>
      </c>
      <c r="O130" s="20" t="n">
        <v>0.00177832265318105</v>
      </c>
      <c r="P130" s="19">
        <f>1 - (1 - I130)^(1/12)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0.829329565</v>
      </c>
      <c r="J131" s="22" t="n">
        <v>1</v>
      </c>
      <c r="K131" s="22" t="n">
        <v>0.3661</v>
      </c>
      <c r="L131" s="17" t="n">
        <v>24</v>
      </c>
      <c r="M131" s="22" t="n">
        <v>1.772140057643833e-05</v>
      </c>
      <c r="N131" s="22" t="n">
        <v>121</v>
      </c>
      <c r="O131" s="22" t="n">
        <v>0.00177832265318105</v>
      </c>
      <c r="P131" s="21">
        <f>1 - (1 - I131)^(1/12)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0.829329565</v>
      </c>
      <c r="J132" s="20" t="n">
        <v>1</v>
      </c>
      <c r="K132" s="20" t="n">
        <v>0.3661</v>
      </c>
      <c r="L132" s="15" t="n">
        <v>24</v>
      </c>
      <c r="M132" s="20" t="n">
        <v>1.772140057643833e-05</v>
      </c>
      <c r="N132" s="20" t="n">
        <v>121</v>
      </c>
      <c r="O132" s="20" t="n">
        <v>0.00177832265318105</v>
      </c>
      <c r="P132" s="19">
        <f>1 - (1 - I132)^(1/12)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0.829329565</v>
      </c>
      <c r="J133" s="22" t="n">
        <v>1</v>
      </c>
      <c r="K133" s="22" t="n">
        <v>0.3661</v>
      </c>
      <c r="L133" s="17" t="n">
        <v>24</v>
      </c>
      <c r="M133" s="22" t="n">
        <v>1.772140057643833e-05</v>
      </c>
      <c r="N133" s="22" t="n">
        <v>121</v>
      </c>
      <c r="O133" s="22" t="n">
        <v>0.00177832265318105</v>
      </c>
      <c r="P133" s="21">
        <f>1 - (1 - I133)^(1/12)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0.829329565</v>
      </c>
      <c r="J134" s="20" t="n">
        <v>1</v>
      </c>
      <c r="K134" s="20" t="n">
        <v>0.3661</v>
      </c>
      <c r="L134" s="15" t="n">
        <v>24</v>
      </c>
      <c r="M134" s="20" t="n">
        <v>1.772140057643833e-05</v>
      </c>
      <c r="N134" s="20" t="n">
        <v>121</v>
      </c>
      <c r="O134" s="20" t="n">
        <v>0.00177832265318105</v>
      </c>
      <c r="P134" s="19">
        <f>1 - (1 - I134)^(1/12)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0.829329565</v>
      </c>
      <c r="J135" s="22" t="n">
        <v>1</v>
      </c>
      <c r="K135" s="22" t="n">
        <v>0.3661</v>
      </c>
      <c r="L135" s="17" t="n">
        <v>24</v>
      </c>
      <c r="M135" s="22" t="n">
        <v>1.772140057643833e-05</v>
      </c>
      <c r="N135" s="22" t="n">
        <v>121</v>
      </c>
      <c r="O135" s="22" t="n">
        <v>0.00177832265318105</v>
      </c>
      <c r="P135" s="21">
        <f>1 - (1 - I135)^(1/12)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0.593754</v>
      </c>
      <c r="J136" s="20" t="n">
        <v>1</v>
      </c>
      <c r="K136" s="20" t="n">
        <v>0.643079</v>
      </c>
      <c r="L136" s="15" t="n">
        <v>24</v>
      </c>
      <c r="M136" s="20" t="n">
        <v>1.826965836513697e-11</v>
      </c>
      <c r="N136" s="20" t="n">
        <v>100</v>
      </c>
      <c r="O136" s="20" t="n">
        <v>1.084768273293354e-09</v>
      </c>
      <c r="P136" s="19">
        <f>1 - (1 - I136)^(1/12)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0.593754</v>
      </c>
      <c r="J137" s="22" t="n">
        <v>1</v>
      </c>
      <c r="K137" s="22" t="n">
        <v>0.643079</v>
      </c>
      <c r="L137" s="17" t="n">
        <v>24</v>
      </c>
      <c r="M137" s="22" t="n">
        <v>1.826965836513697e-11</v>
      </c>
      <c r="N137" s="22" t="n">
        <v>100</v>
      </c>
      <c r="O137" s="22" t="n">
        <v>1.084768273293354e-09</v>
      </c>
      <c r="P137" s="21">
        <f>1 - (1 - I137)^(1/12)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0.593754</v>
      </c>
      <c r="J138" s="20" t="n">
        <v>1</v>
      </c>
      <c r="K138" s="20" t="n">
        <v>0.643079</v>
      </c>
      <c r="L138" s="15" t="n">
        <v>24</v>
      </c>
      <c r="M138" s="20" t="n">
        <v>1.826965836513697e-11</v>
      </c>
      <c r="N138" s="20" t="n">
        <v>100</v>
      </c>
      <c r="O138" s="20" t="n">
        <v>1.084768273293354e-09</v>
      </c>
      <c r="P138" s="19">
        <f>1 - (1 - I138)^(1/12)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0.593754</v>
      </c>
      <c r="J139" s="22" t="n">
        <v>1</v>
      </c>
      <c r="K139" s="22" t="n">
        <v>0.643079</v>
      </c>
      <c r="L139" s="17" t="n">
        <v>24</v>
      </c>
      <c r="M139" s="22" t="n">
        <v>1.826965836513697e-11</v>
      </c>
      <c r="N139" s="22" t="n">
        <v>100</v>
      </c>
      <c r="O139" s="22" t="n">
        <v>1.084768273293354e-09</v>
      </c>
      <c r="P139" s="21">
        <f>1 - (1 - I139)^(1/12)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0.593754</v>
      </c>
      <c r="J140" s="20" t="n">
        <v>1</v>
      </c>
      <c r="K140" s="20" t="n">
        <v>0.643079</v>
      </c>
      <c r="L140" s="15" t="n">
        <v>24</v>
      </c>
      <c r="M140" s="20" t="n">
        <v>1.826965836513697e-11</v>
      </c>
      <c r="N140" s="20" t="n">
        <v>100</v>
      </c>
      <c r="O140" s="20" t="n">
        <v>1.084768273293354e-09</v>
      </c>
      <c r="P140" s="19">
        <f>1 - (1 - I140)^(1/12)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0.593754</v>
      </c>
      <c r="J141" s="22" t="n">
        <v>1</v>
      </c>
      <c r="K141" s="22" t="n">
        <v>0.643079</v>
      </c>
      <c r="L141" s="17" t="n">
        <v>25</v>
      </c>
      <c r="M141" s="22" t="n">
        <v>6.520824733343054e-12</v>
      </c>
      <c r="N141" s="22" t="n">
        <v>100</v>
      </c>
      <c r="O141" s="22" t="n">
        <v>3.871765768721372e-10</v>
      </c>
      <c r="P141" s="21">
        <f>1 - (1 - I141)^(1/12)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0.593754</v>
      </c>
      <c r="J142" s="20" t="n">
        <v>1</v>
      </c>
      <c r="K142" s="20" t="n">
        <v>0.643079</v>
      </c>
      <c r="L142" s="15" t="n">
        <v>25</v>
      </c>
      <c r="M142" s="20" t="n">
        <v>6.520824733343054e-12</v>
      </c>
      <c r="N142" s="20" t="n">
        <v>100</v>
      </c>
      <c r="O142" s="20" t="n">
        <v>3.871765768721372e-10</v>
      </c>
      <c r="P142" s="19">
        <f>1 - (1 - I142)^(1/12)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0.593754</v>
      </c>
      <c r="J143" s="22" t="n">
        <v>1</v>
      </c>
      <c r="K143" s="22" t="n">
        <v>0.643079</v>
      </c>
      <c r="L143" s="17" t="n">
        <v>25</v>
      </c>
      <c r="M143" s="22" t="n">
        <v>6.520824733343054e-12</v>
      </c>
      <c r="N143" s="22" t="n">
        <v>100</v>
      </c>
      <c r="O143" s="22" t="n">
        <v>3.871765768721372e-10</v>
      </c>
      <c r="P143" s="21">
        <f>1 - (1 - I143)^(1/12)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0.593754</v>
      </c>
      <c r="J144" s="20" t="n">
        <v>1</v>
      </c>
      <c r="K144" s="20" t="n">
        <v>0.643079</v>
      </c>
      <c r="L144" s="15" t="n">
        <v>25</v>
      </c>
      <c r="M144" s="20" t="n">
        <v>6.520824733343054e-12</v>
      </c>
      <c r="N144" s="20" t="n">
        <v>100</v>
      </c>
      <c r="O144" s="20" t="n">
        <v>3.871765768721372e-10</v>
      </c>
      <c r="P144" s="19">
        <f>1 - (1 - I144)^(1/12)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0.593754</v>
      </c>
      <c r="J145" s="22" t="n">
        <v>1</v>
      </c>
      <c r="K145" s="22" t="n">
        <v>0.643079</v>
      </c>
      <c r="L145" s="17" t="n">
        <v>25</v>
      </c>
      <c r="M145" s="22" t="n">
        <v>6.520824733343054e-12</v>
      </c>
      <c r="N145" s="22" t="n">
        <v>100</v>
      </c>
      <c r="O145" s="22" t="n">
        <v>3.871765768721372e-10</v>
      </c>
      <c r="P145" s="21">
        <f>1 - (1 - I145)^(1/12)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0.593754</v>
      </c>
      <c r="J146" s="20" t="n">
        <v>1</v>
      </c>
      <c r="K146" s="20" t="n">
        <v>0.643079</v>
      </c>
      <c r="L146" s="15" t="n">
        <v>25</v>
      </c>
      <c r="M146" s="20" t="n">
        <v>6.520824733343054e-12</v>
      </c>
      <c r="N146" s="20" t="n">
        <v>100</v>
      </c>
      <c r="O146" s="20" t="n">
        <v>3.871765768721372e-10</v>
      </c>
      <c r="P146" s="19">
        <f>1 - (1 - I146)^(1/12)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0.593754</v>
      </c>
      <c r="J147" s="22" t="n">
        <v>1</v>
      </c>
      <c r="K147" s="22" t="n">
        <v>0.643079</v>
      </c>
      <c r="L147" s="17" t="n">
        <v>25</v>
      </c>
      <c r="M147" s="22" t="n">
        <v>6.520824733343054e-12</v>
      </c>
      <c r="N147" s="22" t="n">
        <v>100</v>
      </c>
      <c r="O147" s="22" t="n">
        <v>3.871765768721372e-10</v>
      </c>
      <c r="P147" s="21">
        <f>1 - (1 - I147)^(1/12)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0.564046283</v>
      </c>
      <c r="J148" s="20" t="n">
        <v>1</v>
      </c>
      <c r="K148" s="20" t="n">
        <v>0.529679</v>
      </c>
      <c r="L148" s="15" t="n">
        <v>25</v>
      </c>
      <c r="M148" s="20" t="n">
        <v>6.454450352308328e-09</v>
      </c>
      <c r="N148" s="20" t="n">
        <v>129</v>
      </c>
      <c r="O148" s="20" t="n">
        <v>4.696385261735543e-07</v>
      </c>
      <c r="P148" s="19">
        <f>1 - (1 - I148)^(1/12)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0.564046283</v>
      </c>
      <c r="J149" s="22" t="n">
        <v>1</v>
      </c>
      <c r="K149" s="22" t="n">
        <v>0.529679</v>
      </c>
      <c r="L149" s="17" t="n">
        <v>25</v>
      </c>
      <c r="M149" s="22" t="n">
        <v>6.454450352308328e-09</v>
      </c>
      <c r="N149" s="22" t="n">
        <v>129</v>
      </c>
      <c r="O149" s="22" t="n">
        <v>4.696385261735543e-07</v>
      </c>
      <c r="P149" s="21">
        <f>1 - (1 - I149)^(1/12)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0.564046283</v>
      </c>
      <c r="J150" s="20" t="n">
        <v>1</v>
      </c>
      <c r="K150" s="20" t="n">
        <v>0.529679</v>
      </c>
      <c r="L150" s="15" t="n">
        <v>25</v>
      </c>
      <c r="M150" s="20" t="n">
        <v>6.454450352308328e-09</v>
      </c>
      <c r="N150" s="20" t="n">
        <v>129</v>
      </c>
      <c r="O150" s="20" t="n">
        <v>4.696385261735543e-07</v>
      </c>
      <c r="P150" s="19">
        <f>1 - (1 - I150)^(1/12)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0.564046283</v>
      </c>
      <c r="J151" s="22" t="n">
        <v>1</v>
      </c>
      <c r="K151" s="22" t="n">
        <v>0.529679</v>
      </c>
      <c r="L151" s="17" t="n">
        <v>25</v>
      </c>
      <c r="M151" s="22" t="n">
        <v>6.454450352308328e-09</v>
      </c>
      <c r="N151" s="22" t="n">
        <v>129</v>
      </c>
      <c r="O151" s="22" t="n">
        <v>4.696385261735543e-07</v>
      </c>
      <c r="P151" s="21">
        <f>1 - (1 - I151)^(1/12)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0.564046283</v>
      </c>
      <c r="J152" s="20" t="n">
        <v>1</v>
      </c>
      <c r="K152" s="20" t="n">
        <v>0.529679</v>
      </c>
      <c r="L152" s="15" t="n">
        <v>25</v>
      </c>
      <c r="M152" s="20" t="n">
        <v>6.454450352308328e-09</v>
      </c>
      <c r="N152" s="20" t="n">
        <v>129</v>
      </c>
      <c r="O152" s="20" t="n">
        <v>4.696385261735543e-07</v>
      </c>
      <c r="P152" s="19">
        <f>1 - (1 - I152)^(1/12)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0.564046283</v>
      </c>
      <c r="J153" s="22" t="n">
        <v>1</v>
      </c>
      <c r="K153" s="22" t="n">
        <v>0.529679</v>
      </c>
      <c r="L153" s="17" t="n">
        <v>26</v>
      </c>
      <c r="M153" s="22" t="n">
        <v>3.035663544148005e-09</v>
      </c>
      <c r="N153" s="22" t="n">
        <v>129</v>
      </c>
      <c r="O153" s="22" t="n">
        <v>2.208808612684723e-07</v>
      </c>
      <c r="P153" s="21">
        <f>1 - (1 - I153)^(1/12)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0.564046283</v>
      </c>
      <c r="J154" s="20" t="n">
        <v>1</v>
      </c>
      <c r="K154" s="20" t="n">
        <v>0.529679</v>
      </c>
      <c r="L154" s="15" t="n">
        <v>26</v>
      </c>
      <c r="M154" s="20" t="n">
        <v>3.035663544148005e-09</v>
      </c>
      <c r="N154" s="20" t="n">
        <v>129</v>
      </c>
      <c r="O154" s="20" t="n">
        <v>2.208808612684723e-07</v>
      </c>
      <c r="P154" s="19">
        <f>1 - (1 - I154)^(1/12)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0.564046283</v>
      </c>
      <c r="J155" s="22" t="n">
        <v>1</v>
      </c>
      <c r="K155" s="22" t="n">
        <v>0.529679</v>
      </c>
      <c r="L155" s="17" t="n">
        <v>26</v>
      </c>
      <c r="M155" s="22" t="n">
        <v>3.035663544148005e-09</v>
      </c>
      <c r="N155" s="22" t="n">
        <v>129</v>
      </c>
      <c r="O155" s="22" t="n">
        <v>2.208808612684723e-07</v>
      </c>
      <c r="P155" s="21">
        <f>1 - (1 - I155)^(1/12)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0.564046283</v>
      </c>
      <c r="J156" s="20" t="n">
        <v>1</v>
      </c>
      <c r="K156" s="20" t="n">
        <v>0.529679</v>
      </c>
      <c r="L156" s="15" t="n">
        <v>26</v>
      </c>
      <c r="M156" s="20" t="n">
        <v>3.035663544148005e-09</v>
      </c>
      <c r="N156" s="20" t="n">
        <v>129</v>
      </c>
      <c r="O156" s="20" t="n">
        <v>2.208808612684723e-07</v>
      </c>
      <c r="P156" s="19">
        <f>1 - (1 - I156)^(1/12)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0.564046283</v>
      </c>
      <c r="J157" s="22" t="n">
        <v>1</v>
      </c>
      <c r="K157" s="22" t="n">
        <v>0.529679</v>
      </c>
      <c r="L157" s="17" t="n">
        <v>26</v>
      </c>
      <c r="M157" s="22" t="n">
        <v>3.035663544148005e-09</v>
      </c>
      <c r="N157" s="22" t="n">
        <v>129</v>
      </c>
      <c r="O157" s="22" t="n">
        <v>2.208808612684723e-07</v>
      </c>
      <c r="P157" s="21">
        <f>1 - (1 - I157)^(1/12)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0.564046283</v>
      </c>
      <c r="J158" s="20" t="n">
        <v>1</v>
      </c>
      <c r="K158" s="20" t="n">
        <v>0.529679</v>
      </c>
      <c r="L158" s="15" t="n">
        <v>26</v>
      </c>
      <c r="M158" s="20" t="n">
        <v>3.035663544148005e-09</v>
      </c>
      <c r="N158" s="20" t="n">
        <v>129</v>
      </c>
      <c r="O158" s="20" t="n">
        <v>2.208808612684723e-07</v>
      </c>
      <c r="P158" s="19">
        <f>1 - (1 - I158)^(1/12)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0.564046283</v>
      </c>
      <c r="J159" s="22" t="n">
        <v>1</v>
      </c>
      <c r="K159" s="22" t="n">
        <v>0.529679</v>
      </c>
      <c r="L159" s="17" t="n">
        <v>26</v>
      </c>
      <c r="M159" s="22" t="n">
        <v>3.035663544148005e-09</v>
      </c>
      <c r="N159" s="22" t="n">
        <v>129</v>
      </c>
      <c r="O159" s="22" t="n">
        <v>2.208808612684723e-07</v>
      </c>
      <c r="P159" s="21">
        <f>1 - (1 - I159)^(1/12)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0.243203369</v>
      </c>
      <c r="J160" s="20" t="n">
        <v>1</v>
      </c>
      <c r="K160" s="20" t="n">
        <v>0.175708</v>
      </c>
      <c r="L160" s="15" t="n">
        <v>26</v>
      </c>
      <c r="M160" s="20" t="n">
        <v>0.006578217179143733</v>
      </c>
      <c r="N160" s="20" t="n">
        <v>173</v>
      </c>
      <c r="O160" s="20" t="n">
        <v>0.2767731123367878</v>
      </c>
      <c r="P160" s="19">
        <f>1 - (1 - I160)^(1/12)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0.243203369</v>
      </c>
      <c r="J161" s="22" t="n">
        <v>1</v>
      </c>
      <c r="K161" s="22" t="n">
        <v>0.175708</v>
      </c>
      <c r="L161" s="17" t="n">
        <v>26</v>
      </c>
      <c r="M161" s="22" t="n">
        <v>0.006578217179143733</v>
      </c>
      <c r="N161" s="22" t="n">
        <v>173</v>
      </c>
      <c r="O161" s="22" t="n">
        <v>0.2767731123367878</v>
      </c>
      <c r="P161" s="21">
        <f>1 - (1 - I161)^(1/12)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0.243203369</v>
      </c>
      <c r="J162" s="20" t="n">
        <v>1</v>
      </c>
      <c r="K162" s="20" t="n">
        <v>0.175708</v>
      </c>
      <c r="L162" s="15" t="n">
        <v>26</v>
      </c>
      <c r="M162" s="20" t="n">
        <v>0.006578217179143733</v>
      </c>
      <c r="N162" s="20" t="n">
        <v>173</v>
      </c>
      <c r="O162" s="20" t="n">
        <v>0.2767731123367878</v>
      </c>
      <c r="P162" s="19">
        <f>1 - (1 - I162)^(1/12)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0.243203369</v>
      </c>
      <c r="J163" s="22" t="n">
        <v>1</v>
      </c>
      <c r="K163" s="22" t="n">
        <v>0.175708</v>
      </c>
      <c r="L163" s="17" t="n">
        <v>26</v>
      </c>
      <c r="M163" s="22" t="n">
        <v>0.006578217179143733</v>
      </c>
      <c r="N163" s="22" t="n">
        <v>173</v>
      </c>
      <c r="O163" s="22" t="n">
        <v>0.2767731123367878</v>
      </c>
      <c r="P163" s="21">
        <f>1 - (1 - I163)^(1/12)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0.243203369</v>
      </c>
      <c r="J164" s="20" t="n">
        <v>1</v>
      </c>
      <c r="K164" s="20" t="n">
        <v>0.175708</v>
      </c>
      <c r="L164" s="15" t="n">
        <v>26</v>
      </c>
      <c r="M164" s="20" t="n">
        <v>0.006578217179143733</v>
      </c>
      <c r="N164" s="20" t="n">
        <v>173</v>
      </c>
      <c r="O164" s="20" t="n">
        <v>0.2767731123367878</v>
      </c>
      <c r="P164" s="19">
        <f>1 - (1 - I164)^(1/12)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0.243203369</v>
      </c>
      <c r="J165" s="22" t="n">
        <v>1</v>
      </c>
      <c r="K165" s="22" t="n">
        <v>0.175708</v>
      </c>
      <c r="L165" s="17" t="n">
        <v>27</v>
      </c>
      <c r="M165" s="22" t="n">
        <v>0.005422371795030747</v>
      </c>
      <c r="N165" s="22" t="n">
        <v>173</v>
      </c>
      <c r="O165" s="22" t="n">
        <v>0.2281418623143155</v>
      </c>
      <c r="P165" s="21">
        <f>1 - (1 - I165)^(1/12)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0.243203369</v>
      </c>
      <c r="J166" s="20" t="n">
        <v>1</v>
      </c>
      <c r="K166" s="20" t="n">
        <v>0.175708</v>
      </c>
      <c r="L166" s="15" t="n">
        <v>27</v>
      </c>
      <c r="M166" s="20" t="n">
        <v>0.005422371795030747</v>
      </c>
      <c r="N166" s="20" t="n">
        <v>173</v>
      </c>
      <c r="O166" s="20" t="n">
        <v>0.2281418623143155</v>
      </c>
      <c r="P166" s="19">
        <f>1 - (1 - I166)^(1/12)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0.243203369</v>
      </c>
      <c r="J167" s="22" t="n">
        <v>1</v>
      </c>
      <c r="K167" s="22" t="n">
        <v>0.175708</v>
      </c>
      <c r="L167" s="17" t="n">
        <v>27</v>
      </c>
      <c r="M167" s="22" t="n">
        <v>0.005422371795030747</v>
      </c>
      <c r="N167" s="22" t="n">
        <v>173</v>
      </c>
      <c r="O167" s="22" t="n">
        <v>0.2281418623143155</v>
      </c>
      <c r="P167" s="21">
        <f>1 - (1 - I167)^(1/12)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0.243203369</v>
      </c>
      <c r="J168" s="20" t="n">
        <v>1</v>
      </c>
      <c r="K168" s="20" t="n">
        <v>0.175708</v>
      </c>
      <c r="L168" s="15" t="n">
        <v>27</v>
      </c>
      <c r="M168" s="20" t="n">
        <v>0.005422371795030747</v>
      </c>
      <c r="N168" s="20" t="n">
        <v>173</v>
      </c>
      <c r="O168" s="20" t="n">
        <v>0.2281418623143155</v>
      </c>
      <c r="P168" s="19">
        <f>1 - (1 - I168)^(1/12)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0.243203369</v>
      </c>
      <c r="J169" s="22" t="n">
        <v>1</v>
      </c>
      <c r="K169" s="22" t="n">
        <v>0.175708</v>
      </c>
      <c r="L169" s="17" t="n">
        <v>27</v>
      </c>
      <c r="M169" s="22" t="n">
        <v>0.005422371795030747</v>
      </c>
      <c r="N169" s="22" t="n">
        <v>173</v>
      </c>
      <c r="O169" s="22" t="n">
        <v>0.2281418623143155</v>
      </c>
      <c r="P169" s="21">
        <f>1 - (1 - I169)^(1/12)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0.243203369</v>
      </c>
      <c r="J170" s="20" t="n">
        <v>1</v>
      </c>
      <c r="K170" s="20" t="n">
        <v>0.175708</v>
      </c>
      <c r="L170" s="15" t="n">
        <v>27</v>
      </c>
      <c r="M170" s="20" t="n">
        <v>0.005422371795030747</v>
      </c>
      <c r="N170" s="20" t="n">
        <v>173</v>
      </c>
      <c r="O170" s="20" t="n">
        <v>0.2281418623143155</v>
      </c>
      <c r="P170" s="19">
        <f>1 - (1 - I170)^(1/12)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0.243203369</v>
      </c>
      <c r="J171" s="22" t="n">
        <v>1</v>
      </c>
      <c r="K171" s="22" t="n">
        <v>0.175708</v>
      </c>
      <c r="L171" s="17" t="n">
        <v>27</v>
      </c>
      <c r="M171" s="22" t="n">
        <v>0.005422371795030747</v>
      </c>
      <c r="N171" s="22" t="n">
        <v>173</v>
      </c>
      <c r="O171" s="22" t="n">
        <v>0.2281418623143155</v>
      </c>
      <c r="P171" s="21">
        <f>1 - (1 - I171)^(1/12)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0.306806282</v>
      </c>
      <c r="J172" s="20" t="n">
        <v>1</v>
      </c>
      <c r="K172" s="20" t="n">
        <v>0.683306</v>
      </c>
      <c r="L172" s="15" t="n">
        <v>27</v>
      </c>
      <c r="M172" s="20" t="n">
        <v>3.290603508388161e-14</v>
      </c>
      <c r="N172" s="20" t="n">
        <v>117</v>
      </c>
      <c r="O172" s="20" t="n">
        <v>1.181206058695331e-12</v>
      </c>
      <c r="P172" s="19">
        <f>1 - (1 - I172)^(1/12)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0.306806282</v>
      </c>
      <c r="J173" s="22" t="n">
        <v>1</v>
      </c>
      <c r="K173" s="22" t="n">
        <v>0.683306</v>
      </c>
      <c r="L173" s="17" t="n">
        <v>27</v>
      </c>
      <c r="M173" s="22" t="n">
        <v>3.290603508388161e-14</v>
      </c>
      <c r="N173" s="22" t="n">
        <v>117</v>
      </c>
      <c r="O173" s="22" t="n">
        <v>1.181206058695331e-12</v>
      </c>
      <c r="P173" s="21">
        <f>1 - (1 - I173)^(1/12)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0.306806282</v>
      </c>
      <c r="J174" s="20" t="n">
        <v>1</v>
      </c>
      <c r="K174" s="20" t="n">
        <v>0.683306</v>
      </c>
      <c r="L174" s="15" t="n">
        <v>27</v>
      </c>
      <c r="M174" s="20" t="n">
        <v>3.290603508388161e-14</v>
      </c>
      <c r="N174" s="20" t="n">
        <v>117</v>
      </c>
      <c r="O174" s="20" t="n">
        <v>1.181206058695331e-12</v>
      </c>
      <c r="P174" s="19">
        <f>1 - (1 - I174)^(1/12)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0.306806282</v>
      </c>
      <c r="J175" s="22" t="n">
        <v>1</v>
      </c>
      <c r="K175" s="22" t="n">
        <v>0.683306</v>
      </c>
      <c r="L175" s="17" t="n">
        <v>27</v>
      </c>
      <c r="M175" s="22" t="n">
        <v>3.290603508388161e-14</v>
      </c>
      <c r="N175" s="22" t="n">
        <v>117</v>
      </c>
      <c r="O175" s="22" t="n">
        <v>1.181206058695331e-12</v>
      </c>
      <c r="P175" s="21">
        <f>1 - (1 - I175)^(1/12)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0.306806282</v>
      </c>
      <c r="J176" s="20" t="n">
        <v>1</v>
      </c>
      <c r="K176" s="20" t="n">
        <v>0.683306</v>
      </c>
      <c r="L176" s="15" t="n">
        <v>27</v>
      </c>
      <c r="M176" s="20" t="n">
        <v>3.290603508388161e-14</v>
      </c>
      <c r="N176" s="20" t="n">
        <v>117</v>
      </c>
      <c r="O176" s="20" t="n">
        <v>1.181206058695331e-12</v>
      </c>
      <c r="P176" s="19">
        <f>1 - (1 - I176)^(1/12)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0.306806282</v>
      </c>
      <c r="J177" s="22" t="n">
        <v>1</v>
      </c>
      <c r="K177" s="22" t="n">
        <v>0.683306</v>
      </c>
      <c r="L177" s="17" t="n">
        <v>28</v>
      </c>
      <c r="M177" s="22" t="n">
        <v>1.042114387485481e-14</v>
      </c>
      <c r="N177" s="22" t="n">
        <v>117</v>
      </c>
      <c r="O177" s="22" t="n">
        <v>3.740808715524593e-13</v>
      </c>
      <c r="P177" s="21">
        <f>1 - (1 - I177)^(1/12)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0.306806282</v>
      </c>
      <c r="J178" s="20" t="n">
        <v>1</v>
      </c>
      <c r="K178" s="20" t="n">
        <v>0.683306</v>
      </c>
      <c r="L178" s="15" t="n">
        <v>28</v>
      </c>
      <c r="M178" s="20" t="n">
        <v>1.042114387485481e-14</v>
      </c>
      <c r="N178" s="20" t="n">
        <v>117</v>
      </c>
      <c r="O178" s="20" t="n">
        <v>3.740808715524593e-13</v>
      </c>
      <c r="P178" s="19">
        <f>1 - (1 - I178)^(1/12)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0.306806282</v>
      </c>
      <c r="J179" s="22" t="n">
        <v>1</v>
      </c>
      <c r="K179" s="22" t="n">
        <v>0.683306</v>
      </c>
      <c r="L179" s="17" t="n">
        <v>28</v>
      </c>
      <c r="M179" s="22" t="n">
        <v>1.042114387485481e-14</v>
      </c>
      <c r="N179" s="22" t="n">
        <v>117</v>
      </c>
      <c r="O179" s="22" t="n">
        <v>3.740808715524593e-13</v>
      </c>
      <c r="P179" s="21">
        <f>1 - (1 - I179)^(1/12)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0.306806282</v>
      </c>
      <c r="J180" s="20" t="n">
        <v>1</v>
      </c>
      <c r="K180" s="20" t="n">
        <v>0.683306</v>
      </c>
      <c r="L180" s="15" t="n">
        <v>28</v>
      </c>
      <c r="M180" s="20" t="n">
        <v>1.042114387485481e-14</v>
      </c>
      <c r="N180" s="20" t="n">
        <v>117</v>
      </c>
      <c r="O180" s="20" t="n">
        <v>3.740808715524593e-13</v>
      </c>
      <c r="P180" s="19">
        <f>1 - (1 - I180)^(1/12)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0.306806282</v>
      </c>
      <c r="J181" s="22" t="n">
        <v>1</v>
      </c>
      <c r="K181" s="22" t="n">
        <v>0.683306</v>
      </c>
      <c r="L181" s="17" t="n">
        <v>28</v>
      </c>
      <c r="M181" s="22" t="n">
        <v>1.042114387485481e-14</v>
      </c>
      <c r="N181" s="22" t="n">
        <v>117</v>
      </c>
      <c r="O181" s="22" t="n">
        <v>3.740808715524593e-13</v>
      </c>
      <c r="P181" s="21">
        <f>1 - (1 - I181)^(1/12)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0.306806282</v>
      </c>
      <c r="J182" s="20" t="n">
        <v>1</v>
      </c>
      <c r="K182" s="20" t="n">
        <v>0.683306</v>
      </c>
      <c r="L182" s="15" t="n">
        <v>28</v>
      </c>
      <c r="M182" s="20" t="n">
        <v>1.042114387485481e-14</v>
      </c>
      <c r="N182" s="20" t="n">
        <v>117</v>
      </c>
      <c r="O182" s="20" t="n">
        <v>3.740808715524593e-13</v>
      </c>
      <c r="P182" s="19">
        <f>1 - (1 - I182)^(1/12)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0.306806282</v>
      </c>
      <c r="J183" s="22" t="n">
        <v>1</v>
      </c>
      <c r="K183" s="22" t="n">
        <v>0.683306</v>
      </c>
      <c r="L183" s="17" t="n">
        <v>28</v>
      </c>
      <c r="M183" s="22" t="n">
        <v>1.042114387485481e-14</v>
      </c>
      <c r="N183" s="22" t="n">
        <v>117</v>
      </c>
      <c r="O183" s="22" t="n">
        <v>3.740808715524593e-13</v>
      </c>
      <c r="P183" s="21">
        <f>1 - (1 - I183)^(1/12)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0.569090269</v>
      </c>
      <c r="J184" s="20" t="n">
        <v>1</v>
      </c>
      <c r="K184" s="20" t="n">
        <v>0.739117</v>
      </c>
      <c r="L184" s="15" t="n">
        <v>28</v>
      </c>
      <c r="M184" s="20" t="n">
        <v>4.575955988520044e-17</v>
      </c>
      <c r="N184" s="20" t="n">
        <v>23</v>
      </c>
      <c r="O184" s="20" t="n">
        <v>5.989503656209775e-16</v>
      </c>
      <c r="P184" s="19">
        <f>1 - (1 - I184)^(1/12)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0.569090269</v>
      </c>
      <c r="J185" s="22" t="n">
        <v>1</v>
      </c>
      <c r="K185" s="22" t="n">
        <v>0.739117</v>
      </c>
      <c r="L185" s="17" t="n">
        <v>28</v>
      </c>
      <c r="M185" s="22" t="n">
        <v>4.575955988520044e-17</v>
      </c>
      <c r="N185" s="22" t="n">
        <v>23</v>
      </c>
      <c r="O185" s="22" t="n">
        <v>5.989503656209775e-16</v>
      </c>
      <c r="P185" s="21">
        <f>1 - (1 - I185)^(1/12)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0.569090269</v>
      </c>
      <c r="J186" s="20" t="n">
        <v>1</v>
      </c>
      <c r="K186" s="20" t="n">
        <v>0.739117</v>
      </c>
      <c r="L186" s="15" t="n">
        <v>28</v>
      </c>
      <c r="M186" s="20" t="n">
        <v>4.575955988520044e-17</v>
      </c>
      <c r="N186" s="20" t="n">
        <v>23</v>
      </c>
      <c r="O186" s="20" t="n">
        <v>5.989503656209775e-16</v>
      </c>
      <c r="P186" s="19">
        <f>1 - (1 - I186)^(1/12)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0.569090269</v>
      </c>
      <c r="J187" s="22" t="n">
        <v>1</v>
      </c>
      <c r="K187" s="22" t="n">
        <v>0.739117</v>
      </c>
      <c r="L187" s="17" t="n">
        <v>28</v>
      </c>
      <c r="M187" s="22" t="n">
        <v>4.575955988520044e-17</v>
      </c>
      <c r="N187" s="22" t="n">
        <v>23</v>
      </c>
      <c r="O187" s="22" t="n">
        <v>5.989503656209775e-16</v>
      </c>
      <c r="P187" s="21">
        <f>1 - (1 - I187)^(1/12)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0.569090269</v>
      </c>
      <c r="J188" s="20" t="n">
        <v>1</v>
      </c>
      <c r="K188" s="20" t="n">
        <v>0.739117</v>
      </c>
      <c r="L188" s="15" t="n">
        <v>28</v>
      </c>
      <c r="M188" s="20" t="n">
        <v>4.575955988520044e-17</v>
      </c>
      <c r="N188" s="20" t="n">
        <v>23</v>
      </c>
      <c r="O188" s="20" t="n">
        <v>5.989503656209775e-16</v>
      </c>
      <c r="P188" s="19">
        <f>1 - (1 - I188)^(1/12)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0.569090269</v>
      </c>
      <c r="J189" s="22" t="n">
        <v>1</v>
      </c>
      <c r="K189" s="22" t="n">
        <v>0.739117</v>
      </c>
      <c r="L189" s="17" t="n">
        <v>29</v>
      </c>
      <c r="M189" s="22" t="n">
        <v>1.193789126153075e-17</v>
      </c>
      <c r="N189" s="22" t="n">
        <v>23</v>
      </c>
      <c r="O189" s="22" t="n">
        <v>1.562559682342975e-16</v>
      </c>
      <c r="P189" s="21">
        <f>1 - (1 - I189)^(1/12)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0.569090269</v>
      </c>
      <c r="J190" s="20" t="n">
        <v>1</v>
      </c>
      <c r="K190" s="20" t="n">
        <v>0.739117</v>
      </c>
      <c r="L190" s="15" t="n">
        <v>29</v>
      </c>
      <c r="M190" s="20" t="n">
        <v>1.193789126153075e-17</v>
      </c>
      <c r="N190" s="20" t="n">
        <v>23</v>
      </c>
      <c r="O190" s="20" t="n">
        <v>1.562559682342975e-16</v>
      </c>
      <c r="P190" s="19">
        <f>1 - (1 - I190)^(1/12)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0.569090269</v>
      </c>
      <c r="J191" s="22" t="n">
        <v>1</v>
      </c>
      <c r="K191" s="22" t="n">
        <v>0.739117</v>
      </c>
      <c r="L191" s="17" t="n">
        <v>29</v>
      </c>
      <c r="M191" s="22" t="n">
        <v>1.193789126153075e-17</v>
      </c>
      <c r="N191" s="22" t="n">
        <v>23</v>
      </c>
      <c r="O191" s="22" t="n">
        <v>1.562559682342975e-16</v>
      </c>
      <c r="P191" s="21">
        <f>1 - (1 - I191)^(1/12)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0.569090269</v>
      </c>
      <c r="J192" s="20" t="n">
        <v>1</v>
      </c>
      <c r="K192" s="20" t="n">
        <v>0.739117</v>
      </c>
      <c r="L192" s="15" t="n">
        <v>29</v>
      </c>
      <c r="M192" s="20" t="n">
        <v>1.193789126153075e-17</v>
      </c>
      <c r="N192" s="20" t="n">
        <v>23</v>
      </c>
      <c r="O192" s="20" t="n">
        <v>1.562559682342975e-16</v>
      </c>
      <c r="P192" s="19">
        <f>1 - (1 - I192)^(1/12)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0.569090269</v>
      </c>
      <c r="J193" s="22" t="n">
        <v>1</v>
      </c>
      <c r="K193" s="22" t="n">
        <v>0.739117</v>
      </c>
      <c r="L193" s="17" t="n">
        <v>29</v>
      </c>
      <c r="M193" s="22" t="n">
        <v>1.193789126153075e-17</v>
      </c>
      <c r="N193" s="22" t="n">
        <v>23</v>
      </c>
      <c r="O193" s="22" t="n">
        <v>1.562559682342975e-16</v>
      </c>
      <c r="P193" s="21">
        <f>1 - (1 - I193)^(1/12)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0.569090269</v>
      </c>
      <c r="J194" s="20" t="n">
        <v>1</v>
      </c>
      <c r="K194" s="20" t="n">
        <v>0.739117</v>
      </c>
      <c r="L194" s="15" t="n">
        <v>29</v>
      </c>
      <c r="M194" s="20" t="n">
        <v>1.193789126153075e-17</v>
      </c>
      <c r="N194" s="20" t="n">
        <v>23</v>
      </c>
      <c r="O194" s="20" t="n">
        <v>1.562559682342975e-16</v>
      </c>
      <c r="P194" s="19">
        <f>1 - (1 - I194)^(1/12)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0.569090269</v>
      </c>
      <c r="J195" s="22" t="n">
        <v>1</v>
      </c>
      <c r="K195" s="22" t="n">
        <v>0.739117</v>
      </c>
      <c r="L195" s="17" t="n">
        <v>29</v>
      </c>
      <c r="M195" s="22" t="n">
        <v>1.193789126153075e-17</v>
      </c>
      <c r="N195" s="22" t="n">
        <v>23</v>
      </c>
      <c r="O195" s="22" t="n">
        <v>1.562559682342975e-16</v>
      </c>
      <c r="P195" s="21">
        <f>1 - (1 - I195)^(1/12)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>0.167836803</v>
      </c>
      <c r="J196" s="20" t="n">
        <v>1</v>
      </c>
      <c r="K196" s="20" t="n">
        <v>0.069578</v>
      </c>
      <c r="L196" s="15" t="n">
        <v>29</v>
      </c>
      <c r="M196" s="20" t="n">
        <v>0.1235148438411821</v>
      </c>
      <c r="N196" s="20" t="n">
        <v>157</v>
      </c>
      <c r="O196" s="20" t="n">
        <v>3.254662832595673</v>
      </c>
      <c r="P196" s="19">
        <f>1 - (1 - I196)^(1/12)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>0.167836803</v>
      </c>
      <c r="J197" s="22" t="n">
        <v>1</v>
      </c>
      <c r="K197" s="22" t="n">
        <v>0.069578</v>
      </c>
      <c r="L197" s="17" t="n">
        <v>29</v>
      </c>
      <c r="M197" s="22" t="n">
        <v>0.1235148438411821</v>
      </c>
      <c r="N197" s="22" t="n">
        <v>157</v>
      </c>
      <c r="O197" s="22" t="n">
        <v>3.254662832595673</v>
      </c>
      <c r="P197" s="21">
        <f>1 - (1 - I197)^(1/12)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>0.167836803</v>
      </c>
      <c r="J198" s="20" t="n">
        <v>1</v>
      </c>
      <c r="K198" s="20" t="n">
        <v>0.069578</v>
      </c>
      <c r="L198" s="15" t="n">
        <v>29</v>
      </c>
      <c r="M198" s="20" t="n">
        <v>0.1235148438411821</v>
      </c>
      <c r="N198" s="20" t="n">
        <v>157</v>
      </c>
      <c r="O198" s="20" t="n">
        <v>3.254662832595673</v>
      </c>
      <c r="P198" s="19">
        <f>1 - (1 - I198)^(1/12)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>0.167836803</v>
      </c>
      <c r="J199" s="22" t="n">
        <v>1</v>
      </c>
      <c r="K199" s="22" t="n">
        <v>0.069578</v>
      </c>
      <c r="L199" s="17" t="n">
        <v>29</v>
      </c>
      <c r="M199" s="22" t="n">
        <v>0.1235148438411821</v>
      </c>
      <c r="N199" s="22" t="n">
        <v>157</v>
      </c>
      <c r="O199" s="22" t="n">
        <v>3.254662832595673</v>
      </c>
      <c r="P199" s="21">
        <f>1 - (1 - I199)^(1/12)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>0.167836803</v>
      </c>
      <c r="J200" s="20" t="n">
        <v>1</v>
      </c>
      <c r="K200" s="20" t="n">
        <v>0.069578</v>
      </c>
      <c r="L200" s="15" t="n">
        <v>29</v>
      </c>
      <c r="M200" s="20" t="n">
        <v>0.1235148438411821</v>
      </c>
      <c r="N200" s="20" t="n">
        <v>157</v>
      </c>
      <c r="O200" s="20" t="n">
        <v>3.254662832595673</v>
      </c>
      <c r="P200" s="19">
        <f>1 - (1 - I200)^(1/12)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>0.167836803</v>
      </c>
      <c r="J201" s="22" t="n">
        <v>1</v>
      </c>
      <c r="K201" s="22" t="n">
        <v>0.069578</v>
      </c>
      <c r="L201" s="17" t="n">
        <v>30</v>
      </c>
      <c r="M201" s="22" t="n">
        <v>0.1149209280364003</v>
      </c>
      <c r="N201" s="22" t="n">
        <v>157</v>
      </c>
      <c r="O201" s="22" t="n">
        <v>3.028209902029331</v>
      </c>
      <c r="P201" s="21">
        <f>1 - (1 - I201)^(1/12)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>0.167836803</v>
      </c>
      <c r="J202" s="20" t="n">
        <v>1</v>
      </c>
      <c r="K202" s="20" t="n">
        <v>0.069578</v>
      </c>
      <c r="L202" s="15" t="n">
        <v>30</v>
      </c>
      <c r="M202" s="20" t="n">
        <v>0.1149209280364003</v>
      </c>
      <c r="N202" s="20" t="n">
        <v>157</v>
      </c>
      <c r="O202" s="20" t="n">
        <v>3.028209902029331</v>
      </c>
      <c r="P202" s="19">
        <f>1 - (1 - I202)^(1/12)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>0.167836803</v>
      </c>
      <c r="J203" s="22" t="n">
        <v>1</v>
      </c>
      <c r="K203" s="22" t="n">
        <v>0.069578</v>
      </c>
      <c r="L203" s="17" t="n">
        <v>30</v>
      </c>
      <c r="M203" s="22" t="n">
        <v>0.1149209280364003</v>
      </c>
      <c r="N203" s="22" t="n">
        <v>157</v>
      </c>
      <c r="O203" s="22" t="n">
        <v>3.028209902029331</v>
      </c>
      <c r="P203" s="21">
        <f>1 - (1 - I203)^(1/12)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>0.167836803</v>
      </c>
      <c r="J204" s="20" t="n">
        <v>1</v>
      </c>
      <c r="K204" s="20" t="n">
        <v>0.069578</v>
      </c>
      <c r="L204" s="15" t="n">
        <v>30</v>
      </c>
      <c r="M204" s="20" t="n">
        <v>0.1149209280364003</v>
      </c>
      <c r="N204" s="20" t="n">
        <v>157</v>
      </c>
      <c r="O204" s="20" t="n">
        <v>3.028209902029331</v>
      </c>
      <c r="P204" s="19">
        <f>1 - (1 - I204)^(1/12)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>0.167836803</v>
      </c>
      <c r="J205" s="22" t="n">
        <v>1</v>
      </c>
      <c r="K205" s="22" t="n">
        <v>0.069578</v>
      </c>
      <c r="L205" s="17" t="n">
        <v>30</v>
      </c>
      <c r="M205" s="22" t="n">
        <v>0.1149209280364003</v>
      </c>
      <c r="N205" s="22" t="n">
        <v>157</v>
      </c>
      <c r="O205" s="22" t="n">
        <v>3.028209902029331</v>
      </c>
      <c r="P205" s="21">
        <f>1 - (1 - I205)^(1/12)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>0.167836803</v>
      </c>
      <c r="J206" s="20" t="n">
        <v>1</v>
      </c>
      <c r="K206" s="20" t="n">
        <v>0.069578</v>
      </c>
      <c r="L206" s="15" t="n">
        <v>30</v>
      </c>
      <c r="M206" s="20" t="n">
        <v>0.1149209280364003</v>
      </c>
      <c r="N206" s="20" t="n">
        <v>157</v>
      </c>
      <c r="O206" s="20" t="n">
        <v>3.028209902029331</v>
      </c>
      <c r="P206" s="19">
        <f>1 - (1 - I206)^(1/12)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>0.167836803</v>
      </c>
      <c r="J207" s="22" t="n">
        <v>1</v>
      </c>
      <c r="K207" s="22" t="n">
        <v>0.069578</v>
      </c>
      <c r="L207" s="17" t="n">
        <v>30</v>
      </c>
      <c r="M207" s="22" t="n">
        <v>0.1149209280364003</v>
      </c>
      <c r="N207" s="22" t="n">
        <v>157</v>
      </c>
      <c r="O207" s="22" t="n">
        <v>3.028209902029331</v>
      </c>
      <c r="P207" s="21">
        <f>1 - (1 - I207)^(1/12)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0.445401253</v>
      </c>
      <c r="J208" s="20" t="n">
        <v>1</v>
      </c>
      <c r="K208" s="20" t="n">
        <v>0.558454</v>
      </c>
      <c r="L208" s="15" t="n">
        <v>30</v>
      </c>
      <c r="M208" s="20" t="n">
        <v>2.235005747794267e-11</v>
      </c>
      <c r="N208" s="20" t="n">
        <v>40</v>
      </c>
      <c r="O208" s="20" t="n">
        <v>3.981897442119073e-10</v>
      </c>
      <c r="P208" s="19">
        <f>1 - (1 - I208)^(1/12)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0.445401253</v>
      </c>
      <c r="J209" s="22" t="n">
        <v>1</v>
      </c>
      <c r="K209" s="22" t="n">
        <v>0.558454</v>
      </c>
      <c r="L209" s="17" t="n">
        <v>30</v>
      </c>
      <c r="M209" s="22" t="n">
        <v>2.235005747794267e-11</v>
      </c>
      <c r="N209" s="22" t="n">
        <v>40</v>
      </c>
      <c r="O209" s="22" t="n">
        <v>3.981897442119073e-10</v>
      </c>
      <c r="P209" s="21">
        <f>1 - (1 - I209)^(1/12)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0.445401253</v>
      </c>
      <c r="J210" s="20" t="n">
        <v>1</v>
      </c>
      <c r="K210" s="20" t="n">
        <v>0.558454</v>
      </c>
      <c r="L210" s="15" t="n">
        <v>30</v>
      </c>
      <c r="M210" s="20" t="n">
        <v>2.235005747794267e-11</v>
      </c>
      <c r="N210" s="20" t="n">
        <v>40</v>
      </c>
      <c r="O210" s="20" t="n">
        <v>3.981897442119073e-10</v>
      </c>
      <c r="P210" s="19">
        <f>1 - (1 - I210)^(1/12)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0.445401253</v>
      </c>
      <c r="J211" s="22" t="n">
        <v>1</v>
      </c>
      <c r="K211" s="22" t="n">
        <v>0.558454</v>
      </c>
      <c r="L211" s="17" t="n">
        <v>30</v>
      </c>
      <c r="M211" s="22" t="n">
        <v>2.235005747794267e-11</v>
      </c>
      <c r="N211" s="22" t="n">
        <v>40</v>
      </c>
      <c r="O211" s="22" t="n">
        <v>3.981897442119073e-10</v>
      </c>
      <c r="P211" s="21">
        <f>1 - (1 - I211)^(1/12)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0.445401253</v>
      </c>
      <c r="J212" s="20" t="n">
        <v>1</v>
      </c>
      <c r="K212" s="20" t="n">
        <v>0.558454</v>
      </c>
      <c r="L212" s="15" t="n">
        <v>30</v>
      </c>
      <c r="M212" s="20" t="n">
        <v>2.235005747794267e-11</v>
      </c>
      <c r="N212" s="20" t="n">
        <v>40</v>
      </c>
      <c r="O212" s="20" t="n">
        <v>3.981897442119073e-10</v>
      </c>
      <c r="P212" s="19">
        <f>1 - (1 - I212)^(1/12)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0.445401253</v>
      </c>
      <c r="J213" s="22" t="n">
        <v>1</v>
      </c>
      <c r="K213" s="22" t="n">
        <v>0.558454</v>
      </c>
      <c r="L213" s="17" t="n">
        <v>31</v>
      </c>
      <c r="M213" s="22" t="n">
        <v>9.868578479155673e-12</v>
      </c>
      <c r="N213" s="22" t="n">
        <v>40</v>
      </c>
      <c r="O213" s="22" t="n">
        <v>1.758190887977908e-10</v>
      </c>
      <c r="P213" s="21">
        <f>1 - (1 - I213)^(1/12)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0.445401253</v>
      </c>
      <c r="J214" s="20" t="n">
        <v>1</v>
      </c>
      <c r="K214" s="20" t="n">
        <v>0.558454</v>
      </c>
      <c r="L214" s="15" t="n">
        <v>31</v>
      </c>
      <c r="M214" s="20" t="n">
        <v>9.868578479155673e-12</v>
      </c>
      <c r="N214" s="20" t="n">
        <v>40</v>
      </c>
      <c r="O214" s="20" t="n">
        <v>1.758190887977908e-10</v>
      </c>
      <c r="P214" s="19">
        <f>1 - (1 - I214)^(1/12)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0.445401253</v>
      </c>
      <c r="J215" s="22" t="n">
        <v>1</v>
      </c>
      <c r="K215" s="22" t="n">
        <v>0.558454</v>
      </c>
      <c r="L215" s="17" t="n">
        <v>31</v>
      </c>
      <c r="M215" s="22" t="n">
        <v>9.868578479155673e-12</v>
      </c>
      <c r="N215" s="22" t="n">
        <v>40</v>
      </c>
      <c r="O215" s="22" t="n">
        <v>1.758190887977908e-10</v>
      </c>
      <c r="P215" s="21">
        <f>1 - (1 - I215)^(1/12)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0.445401253</v>
      </c>
      <c r="J216" s="20" t="n">
        <v>1</v>
      </c>
      <c r="K216" s="20" t="n">
        <v>0.558454</v>
      </c>
      <c r="L216" s="15" t="n">
        <v>31</v>
      </c>
      <c r="M216" s="20" t="n">
        <v>9.868578479155673e-12</v>
      </c>
      <c r="N216" s="20" t="n">
        <v>40</v>
      </c>
      <c r="O216" s="20" t="n">
        <v>1.758190887977908e-10</v>
      </c>
      <c r="P216" s="19">
        <f>1 - (1 - I216)^(1/12)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0.445401253</v>
      </c>
      <c r="J217" s="22" t="n">
        <v>1</v>
      </c>
      <c r="K217" s="22" t="n">
        <v>0.558454</v>
      </c>
      <c r="L217" s="17" t="n">
        <v>31</v>
      </c>
      <c r="M217" s="22" t="n">
        <v>9.868578479155673e-12</v>
      </c>
      <c r="N217" s="22" t="n">
        <v>40</v>
      </c>
      <c r="O217" s="22" t="n">
        <v>1.758190887977908e-10</v>
      </c>
      <c r="P217" s="21">
        <f>1 - (1 - I217)^(1/12)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0.445401253</v>
      </c>
      <c r="J218" s="20" t="n">
        <v>1</v>
      </c>
      <c r="K218" s="20" t="n">
        <v>0.558454</v>
      </c>
      <c r="L218" s="15" t="n">
        <v>31</v>
      </c>
      <c r="M218" s="20" t="n">
        <v>9.868578479155673e-12</v>
      </c>
      <c r="N218" s="20" t="n">
        <v>40</v>
      </c>
      <c r="O218" s="20" t="n">
        <v>1.758190887977908e-10</v>
      </c>
      <c r="P218" s="19">
        <f>1 - (1 - I218)^(1/12)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0.445401253</v>
      </c>
      <c r="J219" s="22" t="n">
        <v>1</v>
      </c>
      <c r="K219" s="22" t="n">
        <v>0.558454</v>
      </c>
      <c r="L219" s="17" t="n">
        <v>31</v>
      </c>
      <c r="M219" s="22" t="n">
        <v>9.868578479155673e-12</v>
      </c>
      <c r="N219" s="22" t="n">
        <v>40</v>
      </c>
      <c r="O219" s="22" t="n">
        <v>1.758190887977908e-10</v>
      </c>
      <c r="P219" s="21">
        <f>1 - (1 - I219)^(1/12)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0.8269404420000001</v>
      </c>
      <c r="J220" s="20" t="n">
        <v>1</v>
      </c>
      <c r="K220" s="20" t="n">
        <v>0.250072</v>
      </c>
      <c r="L220" s="15" t="n">
        <v>31</v>
      </c>
      <c r="M220" s="20" t="n">
        <v>0.0001335385458470825</v>
      </c>
      <c r="N220" s="20" t="n">
        <v>22</v>
      </c>
      <c r="O220" s="20" t="n">
        <v>0.002429425330790122</v>
      </c>
      <c r="P220" s="19">
        <f>1 - (1 - I220)^(1/12)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0.8269404420000001</v>
      </c>
      <c r="J221" s="22" t="n">
        <v>1</v>
      </c>
      <c r="K221" s="22" t="n">
        <v>0.250072</v>
      </c>
      <c r="L221" s="17" t="n">
        <v>31</v>
      </c>
      <c r="M221" s="22" t="n">
        <v>0.0001335385458470825</v>
      </c>
      <c r="N221" s="22" t="n">
        <v>22</v>
      </c>
      <c r="O221" s="22" t="n">
        <v>0.002429425330790122</v>
      </c>
      <c r="P221" s="21">
        <f>1 - (1 - I221)^(1/12)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0.8269404420000001</v>
      </c>
      <c r="J222" s="20" t="n">
        <v>1</v>
      </c>
      <c r="K222" s="20" t="n">
        <v>0.250072</v>
      </c>
      <c r="L222" s="15" t="n">
        <v>31</v>
      </c>
      <c r="M222" s="20" t="n">
        <v>0.0001335385458470825</v>
      </c>
      <c r="N222" s="20" t="n">
        <v>22</v>
      </c>
      <c r="O222" s="20" t="n">
        <v>0.002429425330790122</v>
      </c>
      <c r="P222" s="19">
        <f>1 - (1 - I222)^(1/12)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0.8269404420000001</v>
      </c>
      <c r="J223" s="22" t="n">
        <v>1</v>
      </c>
      <c r="K223" s="22" t="n">
        <v>0.250072</v>
      </c>
      <c r="L223" s="17" t="n">
        <v>31</v>
      </c>
      <c r="M223" s="22" t="n">
        <v>0.0001335385458470825</v>
      </c>
      <c r="N223" s="22" t="n">
        <v>22</v>
      </c>
      <c r="O223" s="22" t="n">
        <v>0.002429425330790122</v>
      </c>
      <c r="P223" s="21">
        <f>1 - (1 - I223)^(1/12)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0.8269404420000001</v>
      </c>
      <c r="J224" s="20" t="n">
        <v>1</v>
      </c>
      <c r="K224" s="20" t="n">
        <v>0.250072</v>
      </c>
      <c r="L224" s="15" t="n">
        <v>31</v>
      </c>
      <c r="M224" s="20" t="n">
        <v>0.0001335385458470825</v>
      </c>
      <c r="N224" s="20" t="n">
        <v>22</v>
      </c>
      <c r="O224" s="20" t="n">
        <v>0.002429425330790122</v>
      </c>
      <c r="P224" s="19">
        <f>1 - (1 - I224)^(1/12)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0.8269404420000001</v>
      </c>
      <c r="J225" s="22" t="n">
        <v>1</v>
      </c>
      <c r="K225" s="22" t="n">
        <v>0.250072</v>
      </c>
      <c r="L225" s="17" t="n">
        <v>32</v>
      </c>
      <c r="M225" s="22" t="n">
        <v>0.0001001442946100109</v>
      </c>
      <c r="N225" s="22" t="n">
        <v>22</v>
      </c>
      <c r="O225" s="22" t="n">
        <v>0.001821894079468774</v>
      </c>
      <c r="P225" s="21">
        <f>1 - (1 - I225)^(1/12)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0.8269404420000001</v>
      </c>
      <c r="J226" s="20" t="n">
        <v>1</v>
      </c>
      <c r="K226" s="20" t="n">
        <v>0.250072</v>
      </c>
      <c r="L226" s="15" t="n">
        <v>32</v>
      </c>
      <c r="M226" s="20" t="n">
        <v>0.0001001442946100109</v>
      </c>
      <c r="N226" s="20" t="n">
        <v>22</v>
      </c>
      <c r="O226" s="20" t="n">
        <v>0.001821894079468774</v>
      </c>
      <c r="P226" s="19">
        <f>1 - (1 - I226)^(1/12)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0.8269404420000001</v>
      </c>
      <c r="J227" s="22" t="n">
        <v>1</v>
      </c>
      <c r="K227" s="22" t="n">
        <v>0.250072</v>
      </c>
      <c r="L227" s="17" t="n">
        <v>32</v>
      </c>
      <c r="M227" s="22" t="n">
        <v>0.0001001442946100109</v>
      </c>
      <c r="N227" s="22" t="n">
        <v>22</v>
      </c>
      <c r="O227" s="22" t="n">
        <v>0.001821894079468774</v>
      </c>
      <c r="P227" s="21">
        <f>1 - (1 - I227)^(1/12)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0.8269404420000001</v>
      </c>
      <c r="J228" s="20" t="n">
        <v>1</v>
      </c>
      <c r="K228" s="20" t="n">
        <v>0.250072</v>
      </c>
      <c r="L228" s="15" t="n">
        <v>32</v>
      </c>
      <c r="M228" s="20" t="n">
        <v>0.0001001442946100109</v>
      </c>
      <c r="N228" s="20" t="n">
        <v>22</v>
      </c>
      <c r="O228" s="20" t="n">
        <v>0.001821894079468774</v>
      </c>
      <c r="P228" s="19">
        <f>1 - (1 - I228)^(1/12)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0.8269404420000001</v>
      </c>
      <c r="J229" s="22" t="n">
        <v>1</v>
      </c>
      <c r="K229" s="22" t="n">
        <v>0.250072</v>
      </c>
      <c r="L229" s="17" t="n">
        <v>32</v>
      </c>
      <c r="M229" s="22" t="n">
        <v>0.0001001442946100109</v>
      </c>
      <c r="N229" s="22" t="n">
        <v>22</v>
      </c>
      <c r="O229" s="22" t="n">
        <v>0.001821894079468774</v>
      </c>
      <c r="P229" s="21">
        <f>1 - (1 - I229)^(1/12)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0.8269404420000001</v>
      </c>
      <c r="J230" s="20" t="n">
        <v>1</v>
      </c>
      <c r="K230" s="20" t="n">
        <v>0.250072</v>
      </c>
      <c r="L230" s="15" t="n">
        <v>32</v>
      </c>
      <c r="M230" s="20" t="n">
        <v>0.0001001442946100109</v>
      </c>
      <c r="N230" s="20" t="n">
        <v>22</v>
      </c>
      <c r="O230" s="20" t="n">
        <v>0.001821894079468774</v>
      </c>
      <c r="P230" s="19">
        <f>1 - (1 - I230)^(1/12)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0.8269404420000001</v>
      </c>
      <c r="J231" s="22" t="n">
        <v>1</v>
      </c>
      <c r="K231" s="22" t="n">
        <v>0.250072</v>
      </c>
      <c r="L231" s="17" t="n">
        <v>32</v>
      </c>
      <c r="M231" s="22" t="n">
        <v>0.0001001442946100109</v>
      </c>
      <c r="N231" s="22" t="n">
        <v>22</v>
      </c>
      <c r="O231" s="22" t="n">
        <v>0.001821894079468774</v>
      </c>
      <c r="P231" s="21">
        <f>1 - (1 - I231)^(1/12)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>0.611790646</v>
      </c>
      <c r="J232" s="20" t="n">
        <v>1</v>
      </c>
      <c r="K232" s="20" t="n">
        <v>0.053991</v>
      </c>
      <c r="L232" s="15" t="n">
        <v>32</v>
      </c>
      <c r="M232" s="20" t="n">
        <v>0.1692967342976283</v>
      </c>
      <c r="N232" s="20" t="n">
        <v>28</v>
      </c>
      <c r="O232" s="20" t="n">
        <v>2.900076436365818</v>
      </c>
      <c r="P232" s="19">
        <f>1 - (1 - I232)^(1/12)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>0.611790646</v>
      </c>
      <c r="J233" s="22" t="n">
        <v>1</v>
      </c>
      <c r="K233" s="22" t="n">
        <v>0.053991</v>
      </c>
      <c r="L233" s="17" t="n">
        <v>32</v>
      </c>
      <c r="M233" s="22" t="n">
        <v>0.1692967342976283</v>
      </c>
      <c r="N233" s="22" t="n">
        <v>28</v>
      </c>
      <c r="O233" s="22" t="n">
        <v>2.900076436365818</v>
      </c>
      <c r="P233" s="21">
        <f>1 - (1 - I233)^(1/12)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>0.611790646</v>
      </c>
      <c r="J234" s="20" t="n">
        <v>1</v>
      </c>
      <c r="K234" s="20" t="n">
        <v>0.053991</v>
      </c>
      <c r="L234" s="15" t="n">
        <v>32</v>
      </c>
      <c r="M234" s="20" t="n">
        <v>0.1692967342976283</v>
      </c>
      <c r="N234" s="20" t="n">
        <v>28</v>
      </c>
      <c r="O234" s="20" t="n">
        <v>2.900076436365818</v>
      </c>
      <c r="P234" s="19">
        <f>1 - (1 - I234)^(1/12)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>0.611790646</v>
      </c>
      <c r="J235" s="22" t="n">
        <v>1</v>
      </c>
      <c r="K235" s="22" t="n">
        <v>0.053991</v>
      </c>
      <c r="L235" s="17" t="n">
        <v>32</v>
      </c>
      <c r="M235" s="22" t="n">
        <v>0.1692967342976283</v>
      </c>
      <c r="N235" s="22" t="n">
        <v>28</v>
      </c>
      <c r="O235" s="22" t="n">
        <v>2.900076436365818</v>
      </c>
      <c r="P235" s="21">
        <f>1 - (1 - I235)^(1/12)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>0.611790646</v>
      </c>
      <c r="J236" s="20" t="n">
        <v>1</v>
      </c>
      <c r="K236" s="20" t="n">
        <v>0.053991</v>
      </c>
      <c r="L236" s="15" t="n">
        <v>32</v>
      </c>
      <c r="M236" s="20" t="n">
        <v>0.1692967342976283</v>
      </c>
      <c r="N236" s="20" t="n">
        <v>28</v>
      </c>
      <c r="O236" s="20" t="n">
        <v>2.900076436365818</v>
      </c>
      <c r="P236" s="19">
        <f>1 - (1 - I236)^(1/12)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>0.611790646</v>
      </c>
      <c r="J237" s="22" t="n">
        <v>1</v>
      </c>
      <c r="K237" s="22" t="n">
        <v>0.053991</v>
      </c>
      <c r="L237" s="17" t="n">
        <v>33</v>
      </c>
      <c r="M237" s="22" t="n">
        <v>0.1601562343161651</v>
      </c>
      <c r="N237" s="22" t="n">
        <v>28</v>
      </c>
      <c r="O237" s="22" t="n">
        <v>2.743498409489992</v>
      </c>
      <c r="P237" s="21">
        <f>1 - (1 - I237)^(1/12)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>0.611790646</v>
      </c>
      <c r="J238" s="20" t="n">
        <v>1</v>
      </c>
      <c r="K238" s="20" t="n">
        <v>0.053991</v>
      </c>
      <c r="L238" s="15" t="n">
        <v>33</v>
      </c>
      <c r="M238" s="20" t="n">
        <v>0.1601562343161651</v>
      </c>
      <c r="N238" s="20" t="n">
        <v>28</v>
      </c>
      <c r="O238" s="20" t="n">
        <v>2.743498409489992</v>
      </c>
      <c r="P238" s="19">
        <f>1 - (1 - I238)^(1/12)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>0.611790646</v>
      </c>
      <c r="J239" s="22" t="n">
        <v>1</v>
      </c>
      <c r="K239" s="22" t="n">
        <v>0.053991</v>
      </c>
      <c r="L239" s="17" t="n">
        <v>33</v>
      </c>
      <c r="M239" s="22" t="n">
        <v>0.1601562343161651</v>
      </c>
      <c r="N239" s="22" t="n">
        <v>28</v>
      </c>
      <c r="O239" s="22" t="n">
        <v>2.743498409489992</v>
      </c>
      <c r="P239" s="21">
        <f>1 - (1 - I239)^(1/12)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>0.611790646</v>
      </c>
      <c r="J240" s="20" t="n">
        <v>1</v>
      </c>
      <c r="K240" s="20" t="n">
        <v>0.053991</v>
      </c>
      <c r="L240" s="15" t="n">
        <v>33</v>
      </c>
      <c r="M240" s="20" t="n">
        <v>0.1601562343161651</v>
      </c>
      <c r="N240" s="20" t="n">
        <v>28</v>
      </c>
      <c r="O240" s="20" t="n">
        <v>2.743498409489992</v>
      </c>
      <c r="P240" s="19">
        <f>1 - (1 - I240)^(1/12)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>0.611790646</v>
      </c>
      <c r="J241" s="22" t="n">
        <v>1</v>
      </c>
      <c r="K241" s="22" t="n">
        <v>0.053991</v>
      </c>
      <c r="L241" s="17" t="n">
        <v>33</v>
      </c>
      <c r="M241" s="22" t="n">
        <v>0.1601562343161651</v>
      </c>
      <c r="N241" s="22" t="n">
        <v>28</v>
      </c>
      <c r="O241" s="22" t="n">
        <v>2.743498409489992</v>
      </c>
      <c r="P241" s="21">
        <f>1 - (1 - I241)^(1/12)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>0.611790646</v>
      </c>
      <c r="J242" s="20" t="n">
        <v>1</v>
      </c>
      <c r="K242" s="20" t="n">
        <v>0.053991</v>
      </c>
      <c r="L242" s="15" t="n">
        <v>33</v>
      </c>
      <c r="M242" s="20" t="n">
        <v>0.1601562343161651</v>
      </c>
      <c r="N242" s="20" t="n">
        <v>28</v>
      </c>
      <c r="O242" s="20" t="n">
        <v>2.743498409489992</v>
      </c>
      <c r="P242" s="19">
        <f>1 - (1 - I242)^(1/12)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>0.611790646</v>
      </c>
      <c r="J243" s="22" t="n">
        <v>1</v>
      </c>
      <c r="K243" s="22" t="n">
        <v>0.053991</v>
      </c>
      <c r="L243" s="17" t="n">
        <v>33</v>
      </c>
      <c r="M243" s="22" t="n">
        <v>0.1601562343161651</v>
      </c>
      <c r="N243" s="22" t="n">
        <v>28</v>
      </c>
      <c r="O243" s="22" t="n">
        <v>2.743498409489992</v>
      </c>
      <c r="P243" s="21">
        <f>1 - (1 - I243)^(1/12)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0.733528688</v>
      </c>
      <c r="J244" s="20" t="n">
        <v>1</v>
      </c>
      <c r="K244" s="20" t="n">
        <v>0.66259</v>
      </c>
      <c r="L244" s="15" t="n">
        <v>33</v>
      </c>
      <c r="M244" s="20" t="n">
        <v>2.686657748068748e-16</v>
      </c>
      <c r="N244" s="20" t="n">
        <v>126</v>
      </c>
      <c r="O244" s="20" t="n">
        <v>2.483133071637838e-14</v>
      </c>
      <c r="P244" s="19">
        <f>1 - (1 - I244)^(1/12)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0.733528688</v>
      </c>
      <c r="J245" s="22" t="n">
        <v>1</v>
      </c>
      <c r="K245" s="22" t="n">
        <v>0.66259</v>
      </c>
      <c r="L245" s="17" t="n">
        <v>33</v>
      </c>
      <c r="M245" s="22" t="n">
        <v>2.686657748068748e-16</v>
      </c>
      <c r="N245" s="22" t="n">
        <v>126</v>
      </c>
      <c r="O245" s="22" t="n">
        <v>2.483133071637838e-14</v>
      </c>
      <c r="P245" s="21">
        <f>1 - (1 - I245)^(1/12)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0.733528688</v>
      </c>
      <c r="J246" s="20" t="n">
        <v>1</v>
      </c>
      <c r="K246" s="20" t="n">
        <v>0.66259</v>
      </c>
      <c r="L246" s="15" t="n">
        <v>33</v>
      </c>
      <c r="M246" s="20" t="n">
        <v>2.686657748068748e-16</v>
      </c>
      <c r="N246" s="20" t="n">
        <v>126</v>
      </c>
      <c r="O246" s="20" t="n">
        <v>2.483133071637838e-14</v>
      </c>
      <c r="P246" s="19">
        <f>1 - (1 - I246)^(1/12)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0.733528688</v>
      </c>
      <c r="J247" s="22" t="n">
        <v>1</v>
      </c>
      <c r="K247" s="22" t="n">
        <v>0.66259</v>
      </c>
      <c r="L247" s="17" t="n">
        <v>33</v>
      </c>
      <c r="M247" s="22" t="n">
        <v>2.686657748068748e-16</v>
      </c>
      <c r="N247" s="22" t="n">
        <v>126</v>
      </c>
      <c r="O247" s="22" t="n">
        <v>2.483133071637838e-14</v>
      </c>
      <c r="P247" s="21">
        <f>1 - (1 - I247)^(1/12)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0.733528688</v>
      </c>
      <c r="J248" s="20" t="n">
        <v>1</v>
      </c>
      <c r="K248" s="20" t="n">
        <v>0.66259</v>
      </c>
      <c r="L248" s="15" t="n">
        <v>33</v>
      </c>
      <c r="M248" s="20" t="n">
        <v>2.686657748068748e-16</v>
      </c>
      <c r="N248" s="20" t="n">
        <v>126</v>
      </c>
      <c r="O248" s="20" t="n">
        <v>2.483133071637838e-14</v>
      </c>
      <c r="P248" s="19">
        <f>1 - (1 - I248)^(1/12)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0.733528688</v>
      </c>
      <c r="J249" s="22" t="n">
        <v>1</v>
      </c>
      <c r="K249" s="22" t="n">
        <v>0.66259</v>
      </c>
      <c r="L249" s="17" t="n">
        <v>34</v>
      </c>
      <c r="M249" s="22" t="n">
        <v>9.065051907758763e-17</v>
      </c>
      <c r="N249" s="22" t="n">
        <v>126</v>
      </c>
      <c r="O249" s="22" t="n">
        <v>8.378339297013231e-15</v>
      </c>
      <c r="P249" s="21">
        <f>1 - (1 - I249)^(1/12)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0.733528688</v>
      </c>
      <c r="J250" s="20" t="n">
        <v>1</v>
      </c>
      <c r="K250" s="20" t="n">
        <v>0.66259</v>
      </c>
      <c r="L250" s="15" t="n">
        <v>34</v>
      </c>
      <c r="M250" s="20" t="n">
        <v>9.065051907758763e-17</v>
      </c>
      <c r="N250" s="20" t="n">
        <v>126</v>
      </c>
      <c r="O250" s="20" t="n">
        <v>8.378339297013231e-15</v>
      </c>
      <c r="P250" s="19">
        <f>1 - (1 - I250)^(1/12)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0.733528688</v>
      </c>
      <c r="J251" s="22" t="n">
        <v>1</v>
      </c>
      <c r="K251" s="22" t="n">
        <v>0.66259</v>
      </c>
      <c r="L251" s="17" t="n">
        <v>34</v>
      </c>
      <c r="M251" s="22" t="n">
        <v>9.065051907758763e-17</v>
      </c>
      <c r="N251" s="22" t="n">
        <v>126</v>
      </c>
      <c r="O251" s="22" t="n">
        <v>8.378339297013231e-15</v>
      </c>
      <c r="P251" s="21">
        <f>1 - (1 - I251)^(1/12)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0.733528688</v>
      </c>
      <c r="J252" s="20" t="n">
        <v>1</v>
      </c>
      <c r="K252" s="20" t="n">
        <v>0.66259</v>
      </c>
      <c r="L252" s="15" t="n">
        <v>34</v>
      </c>
      <c r="M252" s="20" t="n">
        <v>9.065051907758763e-17</v>
      </c>
      <c r="N252" s="20" t="n">
        <v>126</v>
      </c>
      <c r="O252" s="20" t="n">
        <v>8.378339297013231e-15</v>
      </c>
      <c r="P252" s="19">
        <f>1 - (1 - I252)^(1/12)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0.733528688</v>
      </c>
      <c r="J253" s="22" t="n">
        <v>1</v>
      </c>
      <c r="K253" s="22" t="n">
        <v>0.66259</v>
      </c>
      <c r="L253" s="17" t="n">
        <v>34</v>
      </c>
      <c r="M253" s="22" t="n">
        <v>9.065051907758763e-17</v>
      </c>
      <c r="N253" s="22" t="n">
        <v>126</v>
      </c>
      <c r="O253" s="22" t="n">
        <v>8.378339297013231e-15</v>
      </c>
      <c r="P253" s="21">
        <f>1 - (1 - I253)^(1/12)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0.733528688</v>
      </c>
      <c r="J254" s="20" t="n">
        <v>1</v>
      </c>
      <c r="K254" s="20" t="n">
        <v>0.66259</v>
      </c>
      <c r="L254" s="15" t="n">
        <v>34</v>
      </c>
      <c r="M254" s="20" t="n">
        <v>9.065051907758763e-17</v>
      </c>
      <c r="N254" s="20" t="n">
        <v>126</v>
      </c>
      <c r="O254" s="20" t="n">
        <v>8.378339297013231e-15</v>
      </c>
      <c r="P254" s="19">
        <f>1 - (1 - I254)^(1/12)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0.733528688</v>
      </c>
      <c r="J255" s="22" t="n">
        <v>1</v>
      </c>
      <c r="K255" s="22" t="n">
        <v>0.66259</v>
      </c>
      <c r="L255" s="17" t="n">
        <v>34</v>
      </c>
      <c r="M255" s="22" t="n">
        <v>9.065051907758763e-17</v>
      </c>
      <c r="N255" s="22" t="n">
        <v>126</v>
      </c>
      <c r="O255" s="22" t="n">
        <v>8.378339297013231e-15</v>
      </c>
      <c r="P255" s="21">
        <f>1 - (1 - I255)^(1/12)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0.191312928</v>
      </c>
      <c r="J256" s="20" t="n">
        <v>1</v>
      </c>
      <c r="K256" s="20" t="n">
        <v>0.099202</v>
      </c>
      <c r="L256" s="15" t="n">
        <v>34</v>
      </c>
      <c r="M256" s="20" t="n">
        <v>0.02866368688055402</v>
      </c>
      <c r="N256" s="20" t="n">
        <v>176</v>
      </c>
      <c r="O256" s="20" t="n">
        <v>0.9651371601333397</v>
      </c>
      <c r="P256" s="19">
        <f>1 - (1 - I256)^(1/12)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0.191312928</v>
      </c>
      <c r="J257" s="22" t="n">
        <v>1</v>
      </c>
      <c r="K257" s="22" t="n">
        <v>0.099202</v>
      </c>
      <c r="L257" s="17" t="n">
        <v>34</v>
      </c>
      <c r="M257" s="22" t="n">
        <v>0.02866368688055402</v>
      </c>
      <c r="N257" s="22" t="n">
        <v>176</v>
      </c>
      <c r="O257" s="22" t="n">
        <v>0.9651371601333397</v>
      </c>
      <c r="P257" s="21">
        <f>1 - (1 - I257)^(1/12)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0.191312928</v>
      </c>
      <c r="J258" s="20" t="n">
        <v>1</v>
      </c>
      <c r="K258" s="20" t="n">
        <v>0.099202</v>
      </c>
      <c r="L258" s="15" t="n">
        <v>34</v>
      </c>
      <c r="M258" s="20" t="n">
        <v>0.02866368688055402</v>
      </c>
      <c r="N258" s="20" t="n">
        <v>176</v>
      </c>
      <c r="O258" s="20" t="n">
        <v>0.9651371601333397</v>
      </c>
      <c r="P258" s="19">
        <f>1 - (1 - I258)^(1/12)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0.191312928</v>
      </c>
      <c r="J259" s="22" t="n">
        <v>1</v>
      </c>
      <c r="K259" s="22" t="n">
        <v>0.099202</v>
      </c>
      <c r="L259" s="17" t="n">
        <v>34</v>
      </c>
      <c r="M259" s="22" t="n">
        <v>0.02866368688055402</v>
      </c>
      <c r="N259" s="22" t="n">
        <v>176</v>
      </c>
      <c r="O259" s="22" t="n">
        <v>0.9651371601333397</v>
      </c>
      <c r="P259" s="21">
        <f>1 - (1 - I259)^(1/12)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0.191312928</v>
      </c>
      <c r="J260" s="20" t="n">
        <v>1</v>
      </c>
      <c r="K260" s="20" t="n">
        <v>0.099202</v>
      </c>
      <c r="L260" s="15" t="n">
        <v>34</v>
      </c>
      <c r="M260" s="20" t="n">
        <v>0.02866368688055402</v>
      </c>
      <c r="N260" s="20" t="n">
        <v>176</v>
      </c>
      <c r="O260" s="20" t="n">
        <v>0.9651371601333397</v>
      </c>
      <c r="P260" s="19">
        <f>1 - (1 - I260)^(1/12)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0.191312928</v>
      </c>
      <c r="J261" s="22" t="n">
        <v>1</v>
      </c>
      <c r="K261" s="22" t="n">
        <v>0.099202</v>
      </c>
      <c r="L261" s="17" t="n">
        <v>35</v>
      </c>
      <c r="M261" s="22" t="n">
        <v>0.0258201918146293</v>
      </c>
      <c r="N261" s="22" t="n">
        <v>176</v>
      </c>
      <c r="O261" s="22" t="n">
        <v>0.8693936235737922</v>
      </c>
      <c r="P261" s="21">
        <f>1 - (1 - I261)^(1/12)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0.191312928</v>
      </c>
      <c r="J262" s="20" t="n">
        <v>1</v>
      </c>
      <c r="K262" s="20" t="n">
        <v>0.099202</v>
      </c>
      <c r="L262" s="15" t="n">
        <v>35</v>
      </c>
      <c r="M262" s="20" t="n">
        <v>0.0258201918146293</v>
      </c>
      <c r="N262" s="20" t="n">
        <v>176</v>
      </c>
      <c r="O262" s="20" t="n">
        <v>0.8693936235737922</v>
      </c>
      <c r="P262" s="19">
        <f>1 - (1 - I262)^(1/12)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0.191312928</v>
      </c>
      <c r="J263" s="22" t="n">
        <v>1</v>
      </c>
      <c r="K263" s="22" t="n">
        <v>0.099202</v>
      </c>
      <c r="L263" s="17" t="n">
        <v>35</v>
      </c>
      <c r="M263" s="22" t="n">
        <v>0.0258201918146293</v>
      </c>
      <c r="N263" s="22" t="n">
        <v>176</v>
      </c>
      <c r="O263" s="22" t="n">
        <v>0.8693936235737922</v>
      </c>
      <c r="P263" s="21">
        <f>1 - (1 - I263)^(1/12)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0.191312928</v>
      </c>
      <c r="J264" s="20" t="n">
        <v>1</v>
      </c>
      <c r="K264" s="20" t="n">
        <v>0.099202</v>
      </c>
      <c r="L264" s="15" t="n">
        <v>35</v>
      </c>
      <c r="M264" s="20" t="n">
        <v>0.0258201918146293</v>
      </c>
      <c r="N264" s="20" t="n">
        <v>176</v>
      </c>
      <c r="O264" s="20" t="n">
        <v>0.8693936235737922</v>
      </c>
      <c r="P264" s="19">
        <f>1 - (1 - I264)^(1/12)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0.191312928</v>
      </c>
      <c r="J265" s="22" t="n">
        <v>1</v>
      </c>
      <c r="K265" s="22" t="n">
        <v>0.099202</v>
      </c>
      <c r="L265" s="17" t="n">
        <v>35</v>
      </c>
      <c r="M265" s="22" t="n">
        <v>0.0258201918146293</v>
      </c>
      <c r="N265" s="22" t="n">
        <v>176</v>
      </c>
      <c r="O265" s="22" t="n">
        <v>0.8693936235737922</v>
      </c>
      <c r="P265" s="21">
        <f>1 - (1 - I265)^(1/12)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0.191312928</v>
      </c>
      <c r="J266" s="20" t="n">
        <v>1</v>
      </c>
      <c r="K266" s="20" t="n">
        <v>0.099202</v>
      </c>
      <c r="L266" s="15" t="n">
        <v>35</v>
      </c>
      <c r="M266" s="20" t="n">
        <v>0.0258201918146293</v>
      </c>
      <c r="N266" s="20" t="n">
        <v>176</v>
      </c>
      <c r="O266" s="20" t="n">
        <v>0.8693936235737922</v>
      </c>
      <c r="P266" s="19">
        <f>1 - (1 - I266)^(1/12)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0.191312928</v>
      </c>
      <c r="J267" s="22" t="n">
        <v>1</v>
      </c>
      <c r="K267" s="22" t="n">
        <v>0.099202</v>
      </c>
      <c r="L267" s="17" t="n">
        <v>35</v>
      </c>
      <c r="M267" s="22" t="n">
        <v>0.0258201918146293</v>
      </c>
      <c r="N267" s="22" t="n">
        <v>176</v>
      </c>
      <c r="O267" s="22" t="n">
        <v>0.8693936235737922</v>
      </c>
      <c r="P267" s="21">
        <f>1 - (1 - I267)^(1/12)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0.92414859</v>
      </c>
      <c r="J268" s="20" t="n">
        <v>1</v>
      </c>
      <c r="K268" s="20" t="n">
        <v>0.372088</v>
      </c>
      <c r="L268" s="15" t="n">
        <v>35</v>
      </c>
      <c r="M268" s="20" t="n">
        <v>8.442234322349353e-08</v>
      </c>
      <c r="N268" s="20" t="n">
        <v>166</v>
      </c>
      <c r="O268" s="20" t="n">
        <v>1.295111904944494e-05</v>
      </c>
      <c r="P268" s="19">
        <f>1 - (1 - I268)^(1/12)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0.92414859</v>
      </c>
      <c r="J269" s="22" t="n">
        <v>1</v>
      </c>
      <c r="K269" s="22" t="n">
        <v>0.372088</v>
      </c>
      <c r="L269" s="17" t="n">
        <v>35</v>
      </c>
      <c r="M269" s="22" t="n">
        <v>8.442234322349353e-08</v>
      </c>
      <c r="N269" s="22" t="n">
        <v>166</v>
      </c>
      <c r="O269" s="22" t="n">
        <v>1.295111904944494e-05</v>
      </c>
      <c r="P269" s="21">
        <f>1 - (1 - I269)^(1/12)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0.92414859</v>
      </c>
      <c r="J270" s="20" t="n">
        <v>1</v>
      </c>
      <c r="K270" s="20" t="n">
        <v>0.372088</v>
      </c>
      <c r="L270" s="15" t="n">
        <v>35</v>
      </c>
      <c r="M270" s="20" t="n">
        <v>8.442234322349353e-08</v>
      </c>
      <c r="N270" s="20" t="n">
        <v>166</v>
      </c>
      <c r="O270" s="20" t="n">
        <v>1.295111904944494e-05</v>
      </c>
      <c r="P270" s="19">
        <f>1 - (1 - I270)^(1/12)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0.92414859</v>
      </c>
      <c r="J271" s="22" t="n">
        <v>1</v>
      </c>
      <c r="K271" s="22" t="n">
        <v>0.372088</v>
      </c>
      <c r="L271" s="17" t="n">
        <v>35</v>
      </c>
      <c r="M271" s="22" t="n">
        <v>8.442234322349353e-08</v>
      </c>
      <c r="N271" s="22" t="n">
        <v>166</v>
      </c>
      <c r="O271" s="22" t="n">
        <v>1.295111904944494e-05</v>
      </c>
      <c r="P271" s="21">
        <f>1 - (1 - I271)^(1/12)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0.92414859</v>
      </c>
      <c r="J272" s="20" t="n">
        <v>1</v>
      </c>
      <c r="K272" s="20" t="n">
        <v>0.372088</v>
      </c>
      <c r="L272" s="15" t="n">
        <v>35</v>
      </c>
      <c r="M272" s="20" t="n">
        <v>8.442234322349353e-08</v>
      </c>
      <c r="N272" s="20" t="n">
        <v>166</v>
      </c>
      <c r="O272" s="20" t="n">
        <v>1.295111904944494e-05</v>
      </c>
      <c r="P272" s="19">
        <f>1 - (1 - I272)^(1/12)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0.92414859</v>
      </c>
      <c r="J273" s="22" t="n">
        <v>1</v>
      </c>
      <c r="K273" s="22" t="n">
        <v>0.372088</v>
      </c>
      <c r="L273" s="17" t="n">
        <v>36</v>
      </c>
      <c r="M273" s="22" t="n">
        <v>5.300980237815028e-08</v>
      </c>
      <c r="N273" s="22" t="n">
        <v>166</v>
      </c>
      <c r="O273" s="22" t="n">
        <v>8.132163064575073e-06</v>
      </c>
      <c r="P273" s="21">
        <f>1 - (1 - I273)^(1/12)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0.92414859</v>
      </c>
      <c r="J274" s="20" t="n">
        <v>1</v>
      </c>
      <c r="K274" s="20" t="n">
        <v>0.372088</v>
      </c>
      <c r="L274" s="15" t="n">
        <v>36</v>
      </c>
      <c r="M274" s="20" t="n">
        <v>5.300980237815028e-08</v>
      </c>
      <c r="N274" s="20" t="n">
        <v>166</v>
      </c>
      <c r="O274" s="20" t="n">
        <v>8.132163064575073e-06</v>
      </c>
      <c r="P274" s="19">
        <f>1 - (1 - I274)^(1/12)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0.92414859</v>
      </c>
      <c r="J275" s="22" t="n">
        <v>1</v>
      </c>
      <c r="K275" s="22" t="n">
        <v>0.372088</v>
      </c>
      <c r="L275" s="17" t="n">
        <v>36</v>
      </c>
      <c r="M275" s="22" t="n">
        <v>5.300980237815028e-08</v>
      </c>
      <c r="N275" s="22" t="n">
        <v>166</v>
      </c>
      <c r="O275" s="22" t="n">
        <v>8.132163064575073e-06</v>
      </c>
      <c r="P275" s="21">
        <f>1 - (1 - I275)^(1/12)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0.92414859</v>
      </c>
      <c r="J276" s="20" t="n">
        <v>1</v>
      </c>
      <c r="K276" s="20" t="n">
        <v>0.372088</v>
      </c>
      <c r="L276" s="15" t="n">
        <v>36</v>
      </c>
      <c r="M276" s="20" t="n">
        <v>5.300980237815028e-08</v>
      </c>
      <c r="N276" s="20" t="n">
        <v>166</v>
      </c>
      <c r="O276" s="20" t="n">
        <v>8.132163064575073e-06</v>
      </c>
      <c r="P276" s="19">
        <f>1 - (1 - I276)^(1/12)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0.92414859</v>
      </c>
      <c r="J277" s="22" t="n">
        <v>1</v>
      </c>
      <c r="K277" s="22" t="n">
        <v>0.372088</v>
      </c>
      <c r="L277" s="17" t="n">
        <v>36</v>
      </c>
      <c r="M277" s="22" t="n">
        <v>5.300980237815028e-08</v>
      </c>
      <c r="N277" s="22" t="n">
        <v>166</v>
      </c>
      <c r="O277" s="22" t="n">
        <v>8.132163064575073e-06</v>
      </c>
      <c r="P277" s="21">
        <f>1 - (1 - I277)^(1/12)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0.92414859</v>
      </c>
      <c r="J278" s="20" t="n">
        <v>1</v>
      </c>
      <c r="K278" s="20" t="n">
        <v>0.372088</v>
      </c>
      <c r="L278" s="15" t="n">
        <v>36</v>
      </c>
      <c r="M278" s="20" t="n">
        <v>5.300980237815028e-08</v>
      </c>
      <c r="N278" s="20" t="n">
        <v>166</v>
      </c>
      <c r="O278" s="20" t="n">
        <v>8.132163064575073e-06</v>
      </c>
      <c r="P278" s="19">
        <f>1 - (1 - I278)^(1/12)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0.92414859</v>
      </c>
      <c r="J279" s="22" t="n">
        <v>1</v>
      </c>
      <c r="K279" s="22" t="n">
        <v>0.372088</v>
      </c>
      <c r="L279" s="17" t="n">
        <v>36</v>
      </c>
      <c r="M279" s="22" t="n">
        <v>5.300980237815028e-08</v>
      </c>
      <c r="N279" s="22" t="n">
        <v>166</v>
      </c>
      <c r="O279" s="22" t="n">
        <v>8.132163064575073e-06</v>
      </c>
      <c r="P279" s="21">
        <f>1 - (1 - I279)^(1/12)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0.669106805</v>
      </c>
      <c r="J280" s="20" t="n">
        <v>1</v>
      </c>
      <c r="K280" s="20" t="n">
        <v>0.198843</v>
      </c>
      <c r="L280" s="15" t="n">
        <v>36</v>
      </c>
      <c r="M280" s="20" t="n">
        <v>0.0003418493344360851</v>
      </c>
      <c r="N280" s="20" t="n">
        <v>194</v>
      </c>
      <c r="O280" s="20" t="n">
        <v>0.04437434089544565</v>
      </c>
      <c r="P280" s="19">
        <f>1 - (1 - I280)^(1/12)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0.669106805</v>
      </c>
      <c r="J281" s="22" t="n">
        <v>1</v>
      </c>
      <c r="K281" s="22" t="n">
        <v>0.198843</v>
      </c>
      <c r="L281" s="17" t="n">
        <v>36</v>
      </c>
      <c r="M281" s="22" t="n">
        <v>0.0003418493344360851</v>
      </c>
      <c r="N281" s="22" t="n">
        <v>194</v>
      </c>
      <c r="O281" s="22" t="n">
        <v>0.04437434089544565</v>
      </c>
      <c r="P281" s="21">
        <f>1 - (1 - I281)^(1/12)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0.669106805</v>
      </c>
      <c r="J282" s="20" t="n">
        <v>1</v>
      </c>
      <c r="K282" s="20" t="n">
        <v>0.198843</v>
      </c>
      <c r="L282" s="15" t="n">
        <v>36</v>
      </c>
      <c r="M282" s="20" t="n">
        <v>0.0003418493344360851</v>
      </c>
      <c r="N282" s="20" t="n">
        <v>194</v>
      </c>
      <c r="O282" s="20" t="n">
        <v>0.04437434089544565</v>
      </c>
      <c r="P282" s="19">
        <f>1 - (1 - I282)^(1/12)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0.669106805</v>
      </c>
      <c r="J283" s="22" t="n">
        <v>1</v>
      </c>
      <c r="K283" s="22" t="n">
        <v>0.198843</v>
      </c>
      <c r="L283" s="17" t="n">
        <v>36</v>
      </c>
      <c r="M283" s="22" t="n">
        <v>0.0003418493344360851</v>
      </c>
      <c r="N283" s="22" t="n">
        <v>194</v>
      </c>
      <c r="O283" s="22" t="n">
        <v>0.04437434089544565</v>
      </c>
      <c r="P283" s="21">
        <f>1 - (1 - I283)^(1/12)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0.669106805</v>
      </c>
      <c r="J284" s="20" t="n">
        <v>1</v>
      </c>
      <c r="K284" s="20" t="n">
        <v>0.198843</v>
      </c>
      <c r="L284" s="15" t="n">
        <v>36</v>
      </c>
      <c r="M284" s="20" t="n">
        <v>0.0003418493344360851</v>
      </c>
      <c r="N284" s="20" t="n">
        <v>194</v>
      </c>
      <c r="O284" s="20" t="n">
        <v>0.04437434089544565</v>
      </c>
      <c r="P284" s="19">
        <f>1 - (1 - I284)^(1/12)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0.669106805</v>
      </c>
      <c r="J285" s="22" t="n">
        <v>1</v>
      </c>
      <c r="K285" s="22" t="n">
        <v>0.198843</v>
      </c>
      <c r="L285" s="17" t="n">
        <v>37</v>
      </c>
      <c r="M285" s="22" t="n">
        <v>0.0002738749872288107</v>
      </c>
      <c r="N285" s="22" t="n">
        <v>194</v>
      </c>
      <c r="O285" s="22" t="n">
        <v>0.03555081382877255</v>
      </c>
      <c r="P285" s="21">
        <f>1 - (1 - I285)^(1/12)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0.669106805</v>
      </c>
      <c r="J286" s="20" t="n">
        <v>1</v>
      </c>
      <c r="K286" s="20" t="n">
        <v>0.198843</v>
      </c>
      <c r="L286" s="15" t="n">
        <v>37</v>
      </c>
      <c r="M286" s="20" t="n">
        <v>0.0002738749872288107</v>
      </c>
      <c r="N286" s="20" t="n">
        <v>194</v>
      </c>
      <c r="O286" s="20" t="n">
        <v>0.03555081382877255</v>
      </c>
      <c r="P286" s="19">
        <f>1 - (1 - I286)^(1/12)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0.669106805</v>
      </c>
      <c r="J287" s="22" t="n">
        <v>1</v>
      </c>
      <c r="K287" s="22" t="n">
        <v>0.198843</v>
      </c>
      <c r="L287" s="17" t="n">
        <v>37</v>
      </c>
      <c r="M287" s="22" t="n">
        <v>0.0002738749872288107</v>
      </c>
      <c r="N287" s="22" t="n">
        <v>194</v>
      </c>
      <c r="O287" s="22" t="n">
        <v>0.03555081382877255</v>
      </c>
      <c r="P287" s="21">
        <f>1 - (1 - I287)^(1/12)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0.669106805</v>
      </c>
      <c r="J288" s="20" t="n">
        <v>1</v>
      </c>
      <c r="K288" s="20" t="n">
        <v>0.198843</v>
      </c>
      <c r="L288" s="15" t="n">
        <v>37</v>
      </c>
      <c r="M288" s="20" t="n">
        <v>0.0002738749872288107</v>
      </c>
      <c r="N288" s="20" t="n">
        <v>194</v>
      </c>
      <c r="O288" s="20" t="n">
        <v>0.03555081382877255</v>
      </c>
      <c r="P288" s="19">
        <f>1 - (1 - I288)^(1/12)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0.669106805</v>
      </c>
      <c r="J289" s="22" t="n">
        <v>1</v>
      </c>
      <c r="K289" s="22" t="n">
        <v>0.198843</v>
      </c>
      <c r="L289" s="17" t="n">
        <v>37</v>
      </c>
      <c r="M289" s="22" t="n">
        <v>0.0002738749872288107</v>
      </c>
      <c r="N289" s="22" t="n">
        <v>194</v>
      </c>
      <c r="O289" s="22" t="n">
        <v>0.03555081382877255</v>
      </c>
      <c r="P289" s="21">
        <f>1 - (1 - I289)^(1/12)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0.669106805</v>
      </c>
      <c r="J290" s="20" t="n">
        <v>1</v>
      </c>
      <c r="K290" s="20" t="n">
        <v>0.198843</v>
      </c>
      <c r="L290" s="15" t="n">
        <v>37</v>
      </c>
      <c r="M290" s="20" t="n">
        <v>0.0002738749872288107</v>
      </c>
      <c r="N290" s="20" t="n">
        <v>194</v>
      </c>
      <c r="O290" s="20" t="n">
        <v>0.03555081382877255</v>
      </c>
      <c r="P290" s="19">
        <f>1 - (1 - I290)^(1/12)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0.669106805</v>
      </c>
      <c r="J291" s="22" t="n">
        <v>1</v>
      </c>
      <c r="K291" s="22" t="n">
        <v>0.198843</v>
      </c>
      <c r="L291" s="17" t="n">
        <v>37</v>
      </c>
      <c r="M291" s="22" t="n">
        <v>0.0002738749872288107</v>
      </c>
      <c r="N291" s="22" t="n">
        <v>194</v>
      </c>
      <c r="O291" s="22" t="n">
        <v>0.03555081382877255</v>
      </c>
      <c r="P291" s="21">
        <f>1 - (1 - I291)^(1/12)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0.111418149</v>
      </c>
      <c r="J292" s="20" t="n">
        <v>1</v>
      </c>
      <c r="K292" s="20" t="n">
        <v>0.660466</v>
      </c>
      <c r="L292" s="15" t="n">
        <v>37</v>
      </c>
      <c r="M292" s="20" t="n">
        <v>4.392188640263717e-18</v>
      </c>
      <c r="N292" s="20" t="n">
        <v>17</v>
      </c>
      <c r="O292" s="20" t="n">
        <v>8.319281982069174e-18</v>
      </c>
      <c r="P292" s="19">
        <f>1 - (1 - I292)^(1/12)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0.111418149</v>
      </c>
      <c r="J293" s="22" t="n">
        <v>1</v>
      </c>
      <c r="K293" s="22" t="n">
        <v>0.660466</v>
      </c>
      <c r="L293" s="17" t="n">
        <v>37</v>
      </c>
      <c r="M293" s="22" t="n">
        <v>4.392188640263717e-18</v>
      </c>
      <c r="N293" s="22" t="n">
        <v>17</v>
      </c>
      <c r="O293" s="22" t="n">
        <v>8.319281982069174e-18</v>
      </c>
      <c r="P293" s="21">
        <f>1 - (1 - I293)^(1/12)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0.111418149</v>
      </c>
      <c r="J294" s="20" t="n">
        <v>1</v>
      </c>
      <c r="K294" s="20" t="n">
        <v>0.660466</v>
      </c>
      <c r="L294" s="15" t="n">
        <v>37</v>
      </c>
      <c r="M294" s="20" t="n">
        <v>4.392188640263717e-18</v>
      </c>
      <c r="N294" s="20" t="n">
        <v>17</v>
      </c>
      <c r="O294" s="20" t="n">
        <v>8.319281982069174e-18</v>
      </c>
      <c r="P294" s="19">
        <f>1 - (1 - I294)^(1/12)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0.111418149</v>
      </c>
      <c r="J295" s="22" t="n">
        <v>1</v>
      </c>
      <c r="K295" s="22" t="n">
        <v>0.660466</v>
      </c>
      <c r="L295" s="17" t="n">
        <v>37</v>
      </c>
      <c r="M295" s="22" t="n">
        <v>4.392188640263717e-18</v>
      </c>
      <c r="N295" s="22" t="n">
        <v>17</v>
      </c>
      <c r="O295" s="22" t="n">
        <v>8.319281982069174e-18</v>
      </c>
      <c r="P295" s="21">
        <f>1 - (1 - I295)^(1/12)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0.111418149</v>
      </c>
      <c r="J296" s="20" t="n">
        <v>1</v>
      </c>
      <c r="K296" s="20" t="n">
        <v>0.660466</v>
      </c>
      <c r="L296" s="15" t="n">
        <v>37</v>
      </c>
      <c r="M296" s="20" t="n">
        <v>4.392188640263717e-18</v>
      </c>
      <c r="N296" s="20" t="n">
        <v>17</v>
      </c>
      <c r="O296" s="20" t="n">
        <v>8.319281982069174e-18</v>
      </c>
      <c r="P296" s="19">
        <f>1 - (1 - I296)^(1/12)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0.111418149</v>
      </c>
      <c r="J297" s="22" t="n">
        <v>1</v>
      </c>
      <c r="K297" s="22" t="n">
        <v>0.660466</v>
      </c>
      <c r="L297" s="17" t="n">
        <v>38</v>
      </c>
      <c r="M297" s="22" t="n">
        <v>1.491297377783301e-18</v>
      </c>
      <c r="N297" s="22" t="n">
        <v>17</v>
      </c>
      <c r="O297" s="22" t="n">
        <v>2.824679088499875e-18</v>
      </c>
      <c r="P297" s="21">
        <f>1 - (1 - I297)^(1/12)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0.111418149</v>
      </c>
      <c r="J298" s="20" t="n">
        <v>1</v>
      </c>
      <c r="K298" s="20" t="n">
        <v>0.660466</v>
      </c>
      <c r="L298" s="15" t="n">
        <v>38</v>
      </c>
      <c r="M298" s="20" t="n">
        <v>1.491297377783301e-18</v>
      </c>
      <c r="N298" s="20" t="n">
        <v>17</v>
      </c>
      <c r="O298" s="20" t="n">
        <v>2.824679088499875e-18</v>
      </c>
      <c r="P298" s="19">
        <f>1 - (1 - I298)^(1/12)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0.111418149</v>
      </c>
      <c r="J299" s="22" t="n">
        <v>1</v>
      </c>
      <c r="K299" s="22" t="n">
        <v>0.660466</v>
      </c>
      <c r="L299" s="17" t="n">
        <v>38</v>
      </c>
      <c r="M299" s="22" t="n">
        <v>1.491297377783301e-18</v>
      </c>
      <c r="N299" s="22" t="n">
        <v>17</v>
      </c>
      <c r="O299" s="22" t="n">
        <v>2.824679088499875e-18</v>
      </c>
      <c r="P299" s="21">
        <f>1 - (1 - I299)^(1/12)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0.111418149</v>
      </c>
      <c r="J300" s="20" t="n">
        <v>1</v>
      </c>
      <c r="K300" s="20" t="n">
        <v>0.660466</v>
      </c>
      <c r="L300" s="15" t="n">
        <v>38</v>
      </c>
      <c r="M300" s="20" t="n">
        <v>1.491297377783301e-18</v>
      </c>
      <c r="N300" s="20" t="n">
        <v>17</v>
      </c>
      <c r="O300" s="20" t="n">
        <v>2.824679088499875e-18</v>
      </c>
      <c r="P300" s="19">
        <f>1 - (1 - I300)^(1/12)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0.111418149</v>
      </c>
      <c r="J301" s="22" t="n">
        <v>1</v>
      </c>
      <c r="K301" s="22" t="n">
        <v>0.660466</v>
      </c>
      <c r="L301" s="17" t="n">
        <v>38</v>
      </c>
      <c r="M301" s="22" t="n">
        <v>1.491297377783301e-18</v>
      </c>
      <c r="N301" s="22" t="n">
        <v>17</v>
      </c>
      <c r="O301" s="22" t="n">
        <v>2.824679088499875e-18</v>
      </c>
      <c r="P301" s="21">
        <f>1 - (1 - I301)^(1/12)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0.111418149</v>
      </c>
      <c r="J302" s="20" t="n">
        <v>1</v>
      </c>
      <c r="K302" s="20" t="n">
        <v>0.660466</v>
      </c>
      <c r="L302" s="15" t="n">
        <v>38</v>
      </c>
      <c r="M302" s="20" t="n">
        <v>1.491297377783301e-18</v>
      </c>
      <c r="N302" s="20" t="n">
        <v>17</v>
      </c>
      <c r="O302" s="20" t="n">
        <v>2.824679088499875e-18</v>
      </c>
      <c r="P302" s="19">
        <f>1 - (1 - I302)^(1/12)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0.111418149</v>
      </c>
      <c r="J303" s="22" t="n">
        <v>1</v>
      </c>
      <c r="K303" s="22" t="n">
        <v>0.660466</v>
      </c>
      <c r="L303" s="17" t="n">
        <v>38</v>
      </c>
      <c r="M303" s="22" t="n">
        <v>1.491297377783301e-18</v>
      </c>
      <c r="N303" s="22" t="n">
        <v>17</v>
      </c>
      <c r="O303" s="22" t="n">
        <v>2.824679088499875e-18</v>
      </c>
      <c r="P303" s="21">
        <f>1 - (1 - I303)^(1/12)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0.87592185</v>
      </c>
      <c r="J304" s="20" t="n">
        <v>1</v>
      </c>
      <c r="K304" s="20" t="n">
        <v>0.772591</v>
      </c>
      <c r="L304" s="15" t="n">
        <v>38</v>
      </c>
      <c r="M304" s="20" t="n">
        <v>3.619850554062016e-25</v>
      </c>
      <c r="N304" s="20" t="n">
        <v>142</v>
      </c>
      <c r="O304" s="20" t="n">
        <v>4.502402795533287e-23</v>
      </c>
      <c r="P304" s="19">
        <f>1 - (1 - I304)^(1/12)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0.87592185</v>
      </c>
      <c r="J305" s="22" t="n">
        <v>1</v>
      </c>
      <c r="K305" s="22" t="n">
        <v>0.772591</v>
      </c>
      <c r="L305" s="17" t="n">
        <v>38</v>
      </c>
      <c r="M305" s="22" t="n">
        <v>3.619850554062016e-25</v>
      </c>
      <c r="N305" s="22" t="n">
        <v>142</v>
      </c>
      <c r="O305" s="22" t="n">
        <v>4.502402795533287e-23</v>
      </c>
      <c r="P305" s="21">
        <f>1 - (1 - I305)^(1/12)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0.87592185</v>
      </c>
      <c r="J306" s="20" t="n">
        <v>1</v>
      </c>
      <c r="K306" s="20" t="n">
        <v>0.772591</v>
      </c>
      <c r="L306" s="15" t="n">
        <v>38</v>
      </c>
      <c r="M306" s="20" t="n">
        <v>3.619850554062016e-25</v>
      </c>
      <c r="N306" s="20" t="n">
        <v>142</v>
      </c>
      <c r="O306" s="20" t="n">
        <v>4.502402795533287e-23</v>
      </c>
      <c r="P306" s="19">
        <f>1 - (1 - I306)^(1/12)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0.87592185</v>
      </c>
      <c r="J307" s="22" t="n">
        <v>1</v>
      </c>
      <c r="K307" s="22" t="n">
        <v>0.772591</v>
      </c>
      <c r="L307" s="17" t="n">
        <v>38</v>
      </c>
      <c r="M307" s="22" t="n">
        <v>3.619850554062016e-25</v>
      </c>
      <c r="N307" s="22" t="n">
        <v>142</v>
      </c>
      <c r="O307" s="22" t="n">
        <v>4.502402795533287e-23</v>
      </c>
      <c r="P307" s="21">
        <f>1 - (1 - I307)^(1/12)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0.87592185</v>
      </c>
      <c r="J308" s="20" t="n">
        <v>1</v>
      </c>
      <c r="K308" s="20" t="n">
        <v>0.772591</v>
      </c>
      <c r="L308" s="15" t="n">
        <v>38</v>
      </c>
      <c r="M308" s="20" t="n">
        <v>3.619850554062016e-25</v>
      </c>
      <c r="N308" s="20" t="n">
        <v>142</v>
      </c>
      <c r="O308" s="20" t="n">
        <v>4.502402795533287e-23</v>
      </c>
      <c r="P308" s="19">
        <f>1 - (1 - I308)^(1/12)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0.87592185</v>
      </c>
      <c r="J309" s="22" t="n">
        <v>1</v>
      </c>
      <c r="K309" s="22" t="n">
        <v>0.772591</v>
      </c>
      <c r="L309" s="17" t="n">
        <v>39</v>
      </c>
      <c r="M309" s="22" t="n">
        <v>8.231865946486891e-26</v>
      </c>
      <c r="N309" s="22" t="n">
        <v>142</v>
      </c>
      <c r="O309" s="22" t="n">
        <v>1.023886917329429e-23</v>
      </c>
      <c r="P309" s="21">
        <f>1 - (1 - I309)^(1/12)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0.87592185</v>
      </c>
      <c r="J310" s="20" t="n">
        <v>1</v>
      </c>
      <c r="K310" s="20" t="n">
        <v>0.772591</v>
      </c>
      <c r="L310" s="15" t="n">
        <v>39</v>
      </c>
      <c r="M310" s="20" t="n">
        <v>8.231865946486891e-26</v>
      </c>
      <c r="N310" s="20" t="n">
        <v>142</v>
      </c>
      <c r="O310" s="20" t="n">
        <v>1.023886917329429e-23</v>
      </c>
      <c r="P310" s="19">
        <f>1 - (1 - I310)^(1/12)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0.87592185</v>
      </c>
      <c r="J311" s="22" t="n">
        <v>1</v>
      </c>
      <c r="K311" s="22" t="n">
        <v>0.772591</v>
      </c>
      <c r="L311" s="17" t="n">
        <v>39</v>
      </c>
      <c r="M311" s="22" t="n">
        <v>8.231865946486891e-26</v>
      </c>
      <c r="N311" s="22" t="n">
        <v>142</v>
      </c>
      <c r="O311" s="22" t="n">
        <v>1.023886917329429e-23</v>
      </c>
      <c r="P311" s="21">
        <f>1 - (1 - I311)^(1/12)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0.87592185</v>
      </c>
      <c r="J312" s="20" t="n">
        <v>1</v>
      </c>
      <c r="K312" s="20" t="n">
        <v>0.772591</v>
      </c>
      <c r="L312" s="15" t="n">
        <v>39</v>
      </c>
      <c r="M312" s="20" t="n">
        <v>8.231865946486891e-26</v>
      </c>
      <c r="N312" s="20" t="n">
        <v>142</v>
      </c>
      <c r="O312" s="20" t="n">
        <v>1.023886917329429e-23</v>
      </c>
      <c r="P312" s="19">
        <f>1 - (1 - I312)^(1/12)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0.87592185</v>
      </c>
      <c r="J313" s="22" t="n">
        <v>1</v>
      </c>
      <c r="K313" s="22" t="n">
        <v>0.772591</v>
      </c>
      <c r="L313" s="17" t="n">
        <v>39</v>
      </c>
      <c r="M313" s="22" t="n">
        <v>8.231865946486891e-26</v>
      </c>
      <c r="N313" s="22" t="n">
        <v>142</v>
      </c>
      <c r="O313" s="22" t="n">
        <v>1.023886917329429e-23</v>
      </c>
      <c r="P313" s="21">
        <f>1 - (1 - I313)^(1/12)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0.87592185</v>
      </c>
      <c r="J314" s="20" t="n">
        <v>1</v>
      </c>
      <c r="K314" s="20" t="n">
        <v>0.772591</v>
      </c>
      <c r="L314" s="15" t="n">
        <v>39</v>
      </c>
      <c r="M314" s="20" t="n">
        <v>8.231865946486891e-26</v>
      </c>
      <c r="N314" s="20" t="n">
        <v>142</v>
      </c>
      <c r="O314" s="20" t="n">
        <v>1.023886917329429e-23</v>
      </c>
      <c r="P314" s="19">
        <f>1 - (1 - I314)^(1/12)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0.87592185</v>
      </c>
      <c r="J315" s="22" t="n">
        <v>1</v>
      </c>
      <c r="K315" s="22" t="n">
        <v>0.772591</v>
      </c>
      <c r="L315" s="17" t="n">
        <v>39</v>
      </c>
      <c r="M315" s="22" t="n">
        <v>8.231865946486891e-26</v>
      </c>
      <c r="N315" s="22" t="n">
        <v>142</v>
      </c>
      <c r="O315" s="22" t="n">
        <v>1.023886917329429e-23</v>
      </c>
      <c r="P315" s="21">
        <f>1 - (1 - I315)^(1/12)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0.896922824</v>
      </c>
      <c r="J316" s="20" t="n">
        <v>1</v>
      </c>
      <c r="K316" s="20" t="n">
        <v>0.974527</v>
      </c>
      <c r="L316" s="15" t="n">
        <v>39</v>
      </c>
      <c r="M316" s="20" t="n">
        <v>6.872642104098905e-63</v>
      </c>
      <c r="N316" s="20" t="n">
        <v>191</v>
      </c>
      <c r="O316" s="20" t="n">
        <v>1.177367846790791e-60</v>
      </c>
      <c r="P316" s="19">
        <f>1 - (1 - I316)^(1/12)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0.896922824</v>
      </c>
      <c r="J317" s="22" t="n">
        <v>1</v>
      </c>
      <c r="K317" s="22" t="n">
        <v>0.974527</v>
      </c>
      <c r="L317" s="17" t="n">
        <v>39</v>
      </c>
      <c r="M317" s="22" t="n">
        <v>6.872642104098905e-63</v>
      </c>
      <c r="N317" s="22" t="n">
        <v>191</v>
      </c>
      <c r="O317" s="22" t="n">
        <v>1.177367846790791e-60</v>
      </c>
      <c r="P317" s="21">
        <f>1 - (1 - I317)^(1/12)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0.896922824</v>
      </c>
      <c r="J318" s="20" t="n">
        <v>1</v>
      </c>
      <c r="K318" s="20" t="n">
        <v>0.974527</v>
      </c>
      <c r="L318" s="15" t="n">
        <v>39</v>
      </c>
      <c r="M318" s="20" t="n">
        <v>6.872642104098905e-63</v>
      </c>
      <c r="N318" s="20" t="n">
        <v>191</v>
      </c>
      <c r="O318" s="20" t="n">
        <v>1.177367846790791e-60</v>
      </c>
      <c r="P318" s="19">
        <f>1 - (1 - I318)^(1/12)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0.896922824</v>
      </c>
      <c r="J319" s="22" t="n">
        <v>1</v>
      </c>
      <c r="K319" s="22" t="n">
        <v>0.974527</v>
      </c>
      <c r="L319" s="17" t="n">
        <v>39</v>
      </c>
      <c r="M319" s="22" t="n">
        <v>6.872642104098905e-63</v>
      </c>
      <c r="N319" s="22" t="n">
        <v>191</v>
      </c>
      <c r="O319" s="22" t="n">
        <v>1.177367846790791e-60</v>
      </c>
      <c r="P319" s="21">
        <f>1 - (1 - I319)^(1/12)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0.896922824</v>
      </c>
      <c r="J320" s="20" t="n">
        <v>1</v>
      </c>
      <c r="K320" s="20" t="n">
        <v>0.974527</v>
      </c>
      <c r="L320" s="15" t="n">
        <v>39</v>
      </c>
      <c r="M320" s="20" t="n">
        <v>6.872642104098905e-63</v>
      </c>
      <c r="N320" s="20" t="n">
        <v>191</v>
      </c>
      <c r="O320" s="20" t="n">
        <v>1.177367846790791e-60</v>
      </c>
      <c r="P320" s="19">
        <f>1 - (1 - I320)^(1/12)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0.896922824</v>
      </c>
      <c r="J321" s="22" t="n">
        <v>1</v>
      </c>
      <c r="K321" s="22" t="n">
        <v>0.974527</v>
      </c>
      <c r="L321" s="17" t="n">
        <v>40</v>
      </c>
      <c r="M321" s="22" t="n">
        <v>1.750668123177112e-64</v>
      </c>
      <c r="N321" s="22" t="n">
        <v>191</v>
      </c>
      <c r="O321" s="22" t="n">
        <v>2.999109116130179e-62</v>
      </c>
      <c r="P321" s="21">
        <f>1 - (1 - I321)^(1/12)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0.896922824</v>
      </c>
      <c r="J322" s="20" t="n">
        <v>1</v>
      </c>
      <c r="K322" s="20" t="n">
        <v>0.974527</v>
      </c>
      <c r="L322" s="15" t="n">
        <v>40</v>
      </c>
      <c r="M322" s="20" t="n">
        <v>1.750668123177112e-64</v>
      </c>
      <c r="N322" s="20" t="n">
        <v>191</v>
      </c>
      <c r="O322" s="20" t="n">
        <v>2.999109116130179e-62</v>
      </c>
      <c r="P322" s="19">
        <f>1 - (1 - I322)^(1/12)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0.896922824</v>
      </c>
      <c r="J323" s="22" t="n">
        <v>1</v>
      </c>
      <c r="K323" s="22" t="n">
        <v>0.974527</v>
      </c>
      <c r="L323" s="17" t="n">
        <v>40</v>
      </c>
      <c r="M323" s="22" t="n">
        <v>1.750668123177112e-64</v>
      </c>
      <c r="N323" s="22" t="n">
        <v>191</v>
      </c>
      <c r="O323" s="22" t="n">
        <v>2.999109116130179e-62</v>
      </c>
      <c r="P323" s="21">
        <f>1 - (1 - I323)^(1/12)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0.896922824</v>
      </c>
      <c r="J324" s="20" t="n">
        <v>1</v>
      </c>
      <c r="K324" s="20" t="n">
        <v>0.974527</v>
      </c>
      <c r="L324" s="15" t="n">
        <v>40</v>
      </c>
      <c r="M324" s="20" t="n">
        <v>1.750668123177112e-64</v>
      </c>
      <c r="N324" s="20" t="n">
        <v>191</v>
      </c>
      <c r="O324" s="20" t="n">
        <v>2.999109116130179e-62</v>
      </c>
      <c r="P324" s="19">
        <f>1 - (1 - I324)^(1/12)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0.896922824</v>
      </c>
      <c r="J325" s="22" t="n">
        <v>1</v>
      </c>
      <c r="K325" s="22" t="n">
        <v>0.974527</v>
      </c>
      <c r="L325" s="17" t="n">
        <v>40</v>
      </c>
      <c r="M325" s="22" t="n">
        <v>1.750668123177112e-64</v>
      </c>
      <c r="N325" s="22" t="n">
        <v>191</v>
      </c>
      <c r="O325" s="22" t="n">
        <v>2.999109116130179e-62</v>
      </c>
      <c r="P325" s="21">
        <f>1 - (1 - I325)^(1/12)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0.896922824</v>
      </c>
      <c r="J326" s="20" t="n">
        <v>1</v>
      </c>
      <c r="K326" s="20" t="n">
        <v>0.974527</v>
      </c>
      <c r="L326" s="15" t="n">
        <v>40</v>
      </c>
      <c r="M326" s="20" t="n">
        <v>1.750668123177112e-64</v>
      </c>
      <c r="N326" s="20" t="n">
        <v>191</v>
      </c>
      <c r="O326" s="20" t="n">
        <v>2.999109116130179e-62</v>
      </c>
      <c r="P326" s="19">
        <f>1 - (1 - I326)^(1/12)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0.896922824</v>
      </c>
      <c r="J327" s="22" t="n">
        <v>1</v>
      </c>
      <c r="K327" s="22" t="n">
        <v>0.974527</v>
      </c>
      <c r="L327" s="17" t="n">
        <v>40</v>
      </c>
      <c r="M327" s="22" t="n">
        <v>1.750668123177112e-64</v>
      </c>
      <c r="N327" s="22" t="n">
        <v>191</v>
      </c>
      <c r="O327" s="22" t="n">
        <v>2.999109116130179e-62</v>
      </c>
      <c r="P327" s="21">
        <f>1 - (1 - I327)^(1/12)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0.276682412</v>
      </c>
      <c r="J328" s="20" t="n">
        <v>1</v>
      </c>
      <c r="K328" s="20" t="n">
        <v>0.635037</v>
      </c>
      <c r="L328" s="15" t="n">
        <v>40</v>
      </c>
      <c r="M328" s="20" t="n">
        <v>3.089964672064877e-18</v>
      </c>
      <c r="N328" s="20" t="n">
        <v>22</v>
      </c>
      <c r="O328" s="20" t="n">
        <v>1.880865532615738e-17</v>
      </c>
      <c r="P328" s="19">
        <f>1 - (1 - I328)^(1/12)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0.276682412</v>
      </c>
      <c r="J329" s="22" t="n">
        <v>1</v>
      </c>
      <c r="K329" s="22" t="n">
        <v>0.635037</v>
      </c>
      <c r="L329" s="17" t="n">
        <v>40</v>
      </c>
      <c r="M329" s="22" t="n">
        <v>3.089964672064877e-18</v>
      </c>
      <c r="N329" s="22" t="n">
        <v>22</v>
      </c>
      <c r="O329" s="22" t="n">
        <v>1.880865532615738e-17</v>
      </c>
      <c r="P329" s="21">
        <f>1 - (1 - I329)^(1/12)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0.276682412</v>
      </c>
      <c r="J330" s="20" t="n">
        <v>1</v>
      </c>
      <c r="K330" s="20" t="n">
        <v>0.635037</v>
      </c>
      <c r="L330" s="15" t="n">
        <v>40</v>
      </c>
      <c r="M330" s="20" t="n">
        <v>3.089964672064877e-18</v>
      </c>
      <c r="N330" s="20" t="n">
        <v>22</v>
      </c>
      <c r="O330" s="20" t="n">
        <v>1.880865532615738e-17</v>
      </c>
      <c r="P330" s="19">
        <f>1 - (1 - I330)^(1/12)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0.276682412</v>
      </c>
      <c r="J331" s="22" t="n">
        <v>1</v>
      </c>
      <c r="K331" s="22" t="n">
        <v>0.635037</v>
      </c>
      <c r="L331" s="17" t="n">
        <v>40</v>
      </c>
      <c r="M331" s="22" t="n">
        <v>3.089964672064877e-18</v>
      </c>
      <c r="N331" s="22" t="n">
        <v>22</v>
      </c>
      <c r="O331" s="22" t="n">
        <v>1.880865532615738e-17</v>
      </c>
      <c r="P331" s="21">
        <f>1 - (1 - I331)^(1/12)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0.276682412</v>
      </c>
      <c r="J332" s="20" t="n">
        <v>1</v>
      </c>
      <c r="K332" s="20" t="n">
        <v>0.635037</v>
      </c>
      <c r="L332" s="15" t="n">
        <v>40</v>
      </c>
      <c r="M332" s="20" t="n">
        <v>3.089964672064877e-18</v>
      </c>
      <c r="N332" s="20" t="n">
        <v>22</v>
      </c>
      <c r="O332" s="20" t="n">
        <v>1.880865532615738e-17</v>
      </c>
      <c r="P332" s="19">
        <f>1 - (1 - I332)^(1/12)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0.276682412</v>
      </c>
      <c r="J333" s="22" t="n">
        <v>1</v>
      </c>
      <c r="K333" s="22" t="n">
        <v>0.635037</v>
      </c>
      <c r="L333" s="17" t="n">
        <v>41</v>
      </c>
      <c r="M333" s="22" t="n">
        <v>1.127722776610814e-18</v>
      </c>
      <c r="N333" s="22" t="n">
        <v>22</v>
      </c>
      <c r="O333" s="22" t="n">
        <v>6.864463273800377e-18</v>
      </c>
      <c r="P333" s="21">
        <f>1 - (1 - I333)^(1/12)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0.276682412</v>
      </c>
      <c r="J334" s="20" t="n">
        <v>1</v>
      </c>
      <c r="K334" s="20" t="n">
        <v>0.635037</v>
      </c>
      <c r="L334" s="15" t="n">
        <v>41</v>
      </c>
      <c r="M334" s="20" t="n">
        <v>1.127722776610814e-18</v>
      </c>
      <c r="N334" s="20" t="n">
        <v>22</v>
      </c>
      <c r="O334" s="20" t="n">
        <v>6.864463273800377e-18</v>
      </c>
      <c r="P334" s="19">
        <f>1 - (1 - I334)^(1/12)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0.276682412</v>
      </c>
      <c r="J335" s="22" t="n">
        <v>1</v>
      </c>
      <c r="K335" s="22" t="n">
        <v>0.635037</v>
      </c>
      <c r="L335" s="17" t="n">
        <v>41</v>
      </c>
      <c r="M335" s="22" t="n">
        <v>1.127722776610814e-18</v>
      </c>
      <c r="N335" s="22" t="n">
        <v>22</v>
      </c>
      <c r="O335" s="22" t="n">
        <v>6.864463273800377e-18</v>
      </c>
      <c r="P335" s="21">
        <f>1 - (1 - I335)^(1/12)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0.276682412</v>
      </c>
      <c r="J336" s="20" t="n">
        <v>1</v>
      </c>
      <c r="K336" s="20" t="n">
        <v>0.635037</v>
      </c>
      <c r="L336" s="15" t="n">
        <v>41</v>
      </c>
      <c r="M336" s="20" t="n">
        <v>1.127722776610814e-18</v>
      </c>
      <c r="N336" s="20" t="n">
        <v>22</v>
      </c>
      <c r="O336" s="20" t="n">
        <v>6.864463273800377e-18</v>
      </c>
      <c r="P336" s="19">
        <f>1 - (1 - I336)^(1/12)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0.276682412</v>
      </c>
      <c r="J337" s="22" t="n">
        <v>1</v>
      </c>
      <c r="K337" s="22" t="n">
        <v>0.635037</v>
      </c>
      <c r="L337" s="17" t="n">
        <v>41</v>
      </c>
      <c r="M337" s="22" t="n">
        <v>1.127722776610814e-18</v>
      </c>
      <c r="N337" s="22" t="n">
        <v>22</v>
      </c>
      <c r="O337" s="22" t="n">
        <v>6.864463273800377e-18</v>
      </c>
      <c r="P337" s="21">
        <f>1 - (1 - I337)^(1/12)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0.276682412</v>
      </c>
      <c r="J338" s="20" t="n">
        <v>1</v>
      </c>
      <c r="K338" s="20" t="n">
        <v>0.635037</v>
      </c>
      <c r="L338" s="15" t="n">
        <v>41</v>
      </c>
      <c r="M338" s="20" t="n">
        <v>1.127722776610814e-18</v>
      </c>
      <c r="N338" s="20" t="n">
        <v>22</v>
      </c>
      <c r="O338" s="20" t="n">
        <v>6.864463273800377e-18</v>
      </c>
      <c r="P338" s="19">
        <f>1 - (1 - I338)^(1/12)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0.276682412</v>
      </c>
      <c r="J339" s="22" t="n">
        <v>1</v>
      </c>
      <c r="K339" s="22" t="n">
        <v>0.635037</v>
      </c>
      <c r="L339" s="17" t="n">
        <v>41</v>
      </c>
      <c r="M339" s="22" t="n">
        <v>1.127722776610814e-18</v>
      </c>
      <c r="N339" s="22" t="n">
        <v>22</v>
      </c>
      <c r="O339" s="22" t="n">
        <v>6.864463273800377e-18</v>
      </c>
      <c r="P339" s="21">
        <f>1 - (1 - I339)^(1/12)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0.51210477</v>
      </c>
      <c r="J340" s="20" t="n">
        <v>1</v>
      </c>
      <c r="K340" s="20" t="n">
        <v>0.06690699999999999</v>
      </c>
      <c r="L340" s="15" t="n">
        <v>41</v>
      </c>
      <c r="M340" s="20" t="n">
        <v>0.05846853162145368</v>
      </c>
      <c r="N340" s="20" t="n">
        <v>3</v>
      </c>
      <c r="O340" s="20" t="n">
        <v>0.0898260418147268</v>
      </c>
      <c r="P340" s="19">
        <f>1 - (1 - I340)^(1/12)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0.51210477</v>
      </c>
      <c r="J341" s="22" t="n">
        <v>1</v>
      </c>
      <c r="K341" s="22" t="n">
        <v>0.06690699999999999</v>
      </c>
      <c r="L341" s="17" t="n">
        <v>41</v>
      </c>
      <c r="M341" s="22" t="n">
        <v>0.05846853162145368</v>
      </c>
      <c r="N341" s="22" t="n">
        <v>3</v>
      </c>
      <c r="O341" s="22" t="n">
        <v>0.0898260418147268</v>
      </c>
      <c r="P341" s="21">
        <f>1 - (1 - I341)^(1/12)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0.51210477</v>
      </c>
      <c r="J342" s="20" t="n">
        <v>1</v>
      </c>
      <c r="K342" s="20" t="n">
        <v>0.06690699999999999</v>
      </c>
      <c r="L342" s="15" t="n">
        <v>41</v>
      </c>
      <c r="M342" s="20" t="n">
        <v>0.05846853162145368</v>
      </c>
      <c r="N342" s="20" t="n">
        <v>3</v>
      </c>
      <c r="O342" s="20" t="n">
        <v>0.0898260418147268</v>
      </c>
      <c r="P342" s="19">
        <f>1 - (1 - I342)^(1/12)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0.51210477</v>
      </c>
      <c r="J343" s="22" t="n">
        <v>1</v>
      </c>
      <c r="K343" s="22" t="n">
        <v>0.06690699999999999</v>
      </c>
      <c r="L343" s="17" t="n">
        <v>41</v>
      </c>
      <c r="M343" s="22" t="n">
        <v>0.05846853162145368</v>
      </c>
      <c r="N343" s="22" t="n">
        <v>3</v>
      </c>
      <c r="O343" s="22" t="n">
        <v>0.0898260418147268</v>
      </c>
      <c r="P343" s="21">
        <f>1 - (1 - I343)^(1/12)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0.51210477</v>
      </c>
      <c r="J344" s="20" t="n">
        <v>1</v>
      </c>
      <c r="K344" s="20" t="n">
        <v>0.06690699999999999</v>
      </c>
      <c r="L344" s="15" t="n">
        <v>41</v>
      </c>
      <c r="M344" s="20" t="n">
        <v>0.05846853162145368</v>
      </c>
      <c r="N344" s="20" t="n">
        <v>3</v>
      </c>
      <c r="O344" s="20" t="n">
        <v>0.0898260418147268</v>
      </c>
      <c r="P344" s="19">
        <f>1 - (1 - I344)^(1/12)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0.51210477</v>
      </c>
      <c r="J345" s="22" t="n">
        <v>1</v>
      </c>
      <c r="K345" s="22" t="n">
        <v>0.06690699999999999</v>
      </c>
      <c r="L345" s="17" t="n">
        <v>42</v>
      </c>
      <c r="M345" s="22" t="n">
        <v>0.05455657757625708</v>
      </c>
      <c r="N345" s="22" t="n">
        <v>3</v>
      </c>
      <c r="O345" s="22" t="n">
        <v>0.08381605083502887</v>
      </c>
      <c r="P345" s="21">
        <f>1 - (1 - I345)^(1/12)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0.51210477</v>
      </c>
      <c r="J346" s="20" t="n">
        <v>1</v>
      </c>
      <c r="K346" s="20" t="n">
        <v>0.06690699999999999</v>
      </c>
      <c r="L346" s="15" t="n">
        <v>42</v>
      </c>
      <c r="M346" s="20" t="n">
        <v>0.05455657757625708</v>
      </c>
      <c r="N346" s="20" t="n">
        <v>3</v>
      </c>
      <c r="O346" s="20" t="n">
        <v>0.08381605083502887</v>
      </c>
      <c r="P346" s="19">
        <f>1 - (1 - I346)^(1/12)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0.51210477</v>
      </c>
      <c r="J347" s="22" t="n">
        <v>1</v>
      </c>
      <c r="K347" s="22" t="n">
        <v>0.06690699999999999</v>
      </c>
      <c r="L347" s="17" t="n">
        <v>42</v>
      </c>
      <c r="M347" s="22" t="n">
        <v>0.05455657757625708</v>
      </c>
      <c r="N347" s="22" t="n">
        <v>3</v>
      </c>
      <c r="O347" s="22" t="n">
        <v>0.08381605083502887</v>
      </c>
      <c r="P347" s="21">
        <f>1 - (1 - I347)^(1/12)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0.51210477</v>
      </c>
      <c r="J348" s="20" t="n">
        <v>1</v>
      </c>
      <c r="K348" s="20" t="n">
        <v>0.06690699999999999</v>
      </c>
      <c r="L348" s="15" t="n">
        <v>42</v>
      </c>
      <c r="M348" s="20" t="n">
        <v>0.05455657757625708</v>
      </c>
      <c r="N348" s="20" t="n">
        <v>3</v>
      </c>
      <c r="O348" s="20" t="n">
        <v>0.08381605083502887</v>
      </c>
      <c r="P348" s="19">
        <f>1 - (1 - I348)^(1/12)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0.51210477</v>
      </c>
      <c r="J349" s="22" t="n">
        <v>1</v>
      </c>
      <c r="K349" s="22" t="n">
        <v>0.06690699999999999</v>
      </c>
      <c r="L349" s="17" t="n">
        <v>42</v>
      </c>
      <c r="M349" s="22" t="n">
        <v>0.05455657757625708</v>
      </c>
      <c r="N349" s="22" t="n">
        <v>3</v>
      </c>
      <c r="O349" s="22" t="n">
        <v>0.08381605083502887</v>
      </c>
      <c r="P349" s="21">
        <f>1 - (1 - I349)^(1/12)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0.51210477</v>
      </c>
      <c r="J350" s="20" t="n">
        <v>1</v>
      </c>
      <c r="K350" s="20" t="n">
        <v>0.06690699999999999</v>
      </c>
      <c r="L350" s="15" t="n">
        <v>42</v>
      </c>
      <c r="M350" s="20" t="n">
        <v>0.05455657757625708</v>
      </c>
      <c r="N350" s="20" t="n">
        <v>3</v>
      </c>
      <c r="O350" s="20" t="n">
        <v>0.08381605083502887</v>
      </c>
      <c r="P350" s="19">
        <f>1 - (1 - I350)^(1/12)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0.51210477</v>
      </c>
      <c r="J351" s="22" t="n">
        <v>1</v>
      </c>
      <c r="K351" s="22" t="n">
        <v>0.06690699999999999</v>
      </c>
      <c r="L351" s="17" t="n">
        <v>42</v>
      </c>
      <c r="M351" s="22" t="n">
        <v>0.05455657757625708</v>
      </c>
      <c r="N351" s="22" t="n">
        <v>3</v>
      </c>
      <c r="O351" s="22" t="n">
        <v>0.08381605083502887</v>
      </c>
      <c r="P351" s="21">
        <f>1 - (1 - I351)^(1/12)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0.413410847</v>
      </c>
      <c r="J352" s="20" t="n">
        <v>1</v>
      </c>
      <c r="K352" s="20" t="n">
        <v>0.373898</v>
      </c>
      <c r="L352" s="15" t="n">
        <v>42</v>
      </c>
      <c r="M352" s="20" t="n">
        <v>2.878020118562095e-09</v>
      </c>
      <c r="N352" s="20" t="n">
        <v>64</v>
      </c>
      <c r="O352" s="20" t="n">
        <v>7.614750303345895e-08</v>
      </c>
      <c r="P352" s="19">
        <f>1 - (1 - I352)^(1/12)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0.413410847</v>
      </c>
      <c r="J353" s="22" t="n">
        <v>1</v>
      </c>
      <c r="K353" s="22" t="n">
        <v>0.373898</v>
      </c>
      <c r="L353" s="17" t="n">
        <v>42</v>
      </c>
      <c r="M353" s="22" t="n">
        <v>2.878020118562095e-09</v>
      </c>
      <c r="N353" s="22" t="n">
        <v>64</v>
      </c>
      <c r="O353" s="22" t="n">
        <v>7.614750303345895e-08</v>
      </c>
      <c r="P353" s="21">
        <f>1 - (1 - I353)^(1/12)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0.413410847</v>
      </c>
      <c r="J354" s="20" t="n">
        <v>1</v>
      </c>
      <c r="K354" s="20" t="n">
        <v>0.373898</v>
      </c>
      <c r="L354" s="15" t="n">
        <v>42</v>
      </c>
      <c r="M354" s="20" t="n">
        <v>2.878020118562095e-09</v>
      </c>
      <c r="N354" s="20" t="n">
        <v>64</v>
      </c>
      <c r="O354" s="20" t="n">
        <v>7.614750303345895e-08</v>
      </c>
      <c r="P354" s="19">
        <f>1 - (1 - I354)^(1/12)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0.413410847</v>
      </c>
      <c r="J355" s="22" t="n">
        <v>1</v>
      </c>
      <c r="K355" s="22" t="n">
        <v>0.373898</v>
      </c>
      <c r="L355" s="17" t="n">
        <v>42</v>
      </c>
      <c r="M355" s="22" t="n">
        <v>2.878020118562095e-09</v>
      </c>
      <c r="N355" s="22" t="n">
        <v>64</v>
      </c>
      <c r="O355" s="22" t="n">
        <v>7.614750303345895e-08</v>
      </c>
      <c r="P355" s="21">
        <f>1 - (1 - I355)^(1/12)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0.413410847</v>
      </c>
      <c r="J356" s="20" t="n">
        <v>1</v>
      </c>
      <c r="K356" s="20" t="n">
        <v>0.373898</v>
      </c>
      <c r="L356" s="15" t="n">
        <v>42</v>
      </c>
      <c r="M356" s="20" t="n">
        <v>2.878020118562095e-09</v>
      </c>
      <c r="N356" s="20" t="n">
        <v>64</v>
      </c>
      <c r="O356" s="20" t="n">
        <v>7.614750303345895e-08</v>
      </c>
      <c r="P356" s="19">
        <f>1 - (1 - I356)^(1/12)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0.413410847</v>
      </c>
      <c r="J357" s="22" t="n">
        <v>1</v>
      </c>
      <c r="K357" s="22" t="n">
        <v>0.373898</v>
      </c>
      <c r="L357" s="17" t="n">
        <v>43</v>
      </c>
      <c r="M357" s="22" t="n">
        <v>1.801934152271965e-09</v>
      </c>
      <c r="N357" s="22" t="n">
        <v>64</v>
      </c>
      <c r="O357" s="22" t="n">
        <v>4.767610394425471e-08</v>
      </c>
      <c r="P357" s="21">
        <f>1 - (1 - I357)^(1/12)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0.413410847</v>
      </c>
      <c r="J358" s="20" t="n">
        <v>1</v>
      </c>
      <c r="K358" s="20" t="n">
        <v>0.373898</v>
      </c>
      <c r="L358" s="15" t="n">
        <v>43</v>
      </c>
      <c r="M358" s="20" t="n">
        <v>1.801934152271965e-09</v>
      </c>
      <c r="N358" s="20" t="n">
        <v>64</v>
      </c>
      <c r="O358" s="20" t="n">
        <v>4.767610394425471e-08</v>
      </c>
      <c r="P358" s="19">
        <f>1 - (1 - I358)^(1/12)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0.413410847</v>
      </c>
      <c r="J359" s="22" t="n">
        <v>1</v>
      </c>
      <c r="K359" s="22" t="n">
        <v>0.373898</v>
      </c>
      <c r="L359" s="17" t="n">
        <v>43</v>
      </c>
      <c r="M359" s="22" t="n">
        <v>1.801934152271965e-09</v>
      </c>
      <c r="N359" s="22" t="n">
        <v>64</v>
      </c>
      <c r="O359" s="22" t="n">
        <v>4.767610394425471e-08</v>
      </c>
      <c r="P359" s="21">
        <f>1 - (1 - I359)^(1/12)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0.413410847</v>
      </c>
      <c r="J360" s="20" t="n">
        <v>1</v>
      </c>
      <c r="K360" s="20" t="n">
        <v>0.373898</v>
      </c>
      <c r="L360" s="15" t="n">
        <v>43</v>
      </c>
      <c r="M360" s="20" t="n">
        <v>1.801934152271965e-09</v>
      </c>
      <c r="N360" s="20" t="n">
        <v>64</v>
      </c>
      <c r="O360" s="20" t="n">
        <v>4.767610394425471e-08</v>
      </c>
      <c r="P360" s="19">
        <f>1 - (1 - I360)^(1/12)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0.413410847</v>
      </c>
      <c r="J361" s="22" t="n">
        <v>1</v>
      </c>
      <c r="K361" s="22" t="n">
        <v>0.373898</v>
      </c>
      <c r="L361" s="17" t="n">
        <v>43</v>
      </c>
      <c r="M361" s="22" t="n">
        <v>1.801934152271965e-09</v>
      </c>
      <c r="N361" s="22" t="n">
        <v>64</v>
      </c>
      <c r="O361" s="22" t="n">
        <v>4.767610394425471e-08</v>
      </c>
      <c r="P361" s="21">
        <f>1 - (1 - I361)^(1/12)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0.413410847</v>
      </c>
      <c r="J362" s="20" t="n">
        <v>1</v>
      </c>
      <c r="K362" s="20" t="n">
        <v>0.373898</v>
      </c>
      <c r="L362" s="15" t="n">
        <v>43</v>
      </c>
      <c r="M362" s="20" t="n">
        <v>1.801934152271965e-09</v>
      </c>
      <c r="N362" s="20" t="n">
        <v>64</v>
      </c>
      <c r="O362" s="20" t="n">
        <v>4.767610394425471e-08</v>
      </c>
      <c r="P362" s="19">
        <f>1 - (1 - I362)^(1/12)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0.413410847</v>
      </c>
      <c r="J363" s="22" t="n">
        <v>1</v>
      </c>
      <c r="K363" s="22" t="n">
        <v>0.373898</v>
      </c>
      <c r="L363" s="17" t="n">
        <v>43</v>
      </c>
      <c r="M363" s="22" t="n">
        <v>1.801934152271965e-09</v>
      </c>
      <c r="N363" s="22" t="n">
        <v>64</v>
      </c>
      <c r="O363" s="22" t="n">
        <v>4.767610394425471e-08</v>
      </c>
      <c r="P363" s="21">
        <f>1 - (1 - I363)^(1/12)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0.155878904</v>
      </c>
      <c r="J364" s="20" t="n">
        <v>1</v>
      </c>
      <c r="K364" s="20" t="n">
        <v>0.341765</v>
      </c>
      <c r="L364" s="15" t="n">
        <v>43</v>
      </c>
      <c r="M364" s="20" t="n">
        <v>1.550178670955487e-08</v>
      </c>
      <c r="N364" s="20" t="n">
        <v>3</v>
      </c>
      <c r="O364" s="20" t="n">
        <v>7.249204566981538e-09</v>
      </c>
      <c r="P364" s="19">
        <f>1 - (1 - I364)^(1/12)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0.155878904</v>
      </c>
      <c r="J365" s="22" t="n">
        <v>1</v>
      </c>
      <c r="K365" s="22" t="n">
        <v>0.341765</v>
      </c>
      <c r="L365" s="17" t="n">
        <v>43</v>
      </c>
      <c r="M365" s="22" t="n">
        <v>1.550178670955487e-08</v>
      </c>
      <c r="N365" s="22" t="n">
        <v>3</v>
      </c>
      <c r="O365" s="22" t="n">
        <v>7.249204566981538e-09</v>
      </c>
      <c r="P365" s="21">
        <f>1 - (1 - I365)^(1/12)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0.155878904</v>
      </c>
      <c r="J366" s="20" t="n">
        <v>1</v>
      </c>
      <c r="K366" s="20" t="n">
        <v>0.341765</v>
      </c>
      <c r="L366" s="15" t="n">
        <v>43</v>
      </c>
      <c r="M366" s="20" t="n">
        <v>1.550178670955487e-08</v>
      </c>
      <c r="N366" s="20" t="n">
        <v>3</v>
      </c>
      <c r="O366" s="20" t="n">
        <v>7.249204566981538e-09</v>
      </c>
      <c r="P366" s="19">
        <f>1 - (1 - I366)^(1/12)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0.155878904</v>
      </c>
      <c r="J367" s="22" t="n">
        <v>1</v>
      </c>
      <c r="K367" s="22" t="n">
        <v>0.341765</v>
      </c>
      <c r="L367" s="17" t="n">
        <v>43</v>
      </c>
      <c r="M367" s="22" t="n">
        <v>1.550178670955487e-08</v>
      </c>
      <c r="N367" s="22" t="n">
        <v>3</v>
      </c>
      <c r="O367" s="22" t="n">
        <v>7.249204566981538e-09</v>
      </c>
      <c r="P367" s="21">
        <f>1 - (1 - I367)^(1/12)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0.155878904</v>
      </c>
      <c r="J368" s="20" t="n">
        <v>1</v>
      </c>
      <c r="K368" s="20" t="n">
        <v>0.341765</v>
      </c>
      <c r="L368" s="15" t="n">
        <v>43</v>
      </c>
      <c r="M368" s="20" t="n">
        <v>1.550178670955487e-08</v>
      </c>
      <c r="N368" s="20" t="n">
        <v>3</v>
      </c>
      <c r="O368" s="20" t="n">
        <v>7.249204566981538e-09</v>
      </c>
      <c r="P368" s="19">
        <f>1 - (1 - I368)^(1/12)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0.155878904</v>
      </c>
      <c r="J369" s="22" t="n">
        <v>1</v>
      </c>
      <c r="K369" s="22" t="n">
        <v>0.341765</v>
      </c>
      <c r="L369" s="17" t="n">
        <v>44</v>
      </c>
      <c r="M369" s="22" t="n">
        <v>1.020381857476385e-08</v>
      </c>
      <c r="N369" s="22" t="n">
        <v>3</v>
      </c>
      <c r="O369" s="22" t="n">
        <v>4.771680168147093e-09</v>
      </c>
      <c r="P369" s="21">
        <f>1 - (1 - I369)^(1/12)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0.155878904</v>
      </c>
      <c r="J370" s="20" t="n">
        <v>1</v>
      </c>
      <c r="K370" s="20" t="n">
        <v>0.341765</v>
      </c>
      <c r="L370" s="15" t="n">
        <v>44</v>
      </c>
      <c r="M370" s="20" t="n">
        <v>1.020381857476385e-08</v>
      </c>
      <c r="N370" s="20" t="n">
        <v>3</v>
      </c>
      <c r="O370" s="20" t="n">
        <v>4.771680168147093e-09</v>
      </c>
      <c r="P370" s="19">
        <f>1 - (1 - I370)^(1/12)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0.155878904</v>
      </c>
      <c r="J371" s="22" t="n">
        <v>1</v>
      </c>
      <c r="K371" s="22" t="n">
        <v>0.341765</v>
      </c>
      <c r="L371" s="17" t="n">
        <v>44</v>
      </c>
      <c r="M371" s="22" t="n">
        <v>1.020381857476385e-08</v>
      </c>
      <c r="N371" s="22" t="n">
        <v>3</v>
      </c>
      <c r="O371" s="22" t="n">
        <v>4.771680168147093e-09</v>
      </c>
      <c r="P371" s="21">
        <f>1 - (1 - I371)^(1/12)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0.155878904</v>
      </c>
      <c r="J372" s="20" t="n">
        <v>1</v>
      </c>
      <c r="K372" s="20" t="n">
        <v>0.341765</v>
      </c>
      <c r="L372" s="15" t="n">
        <v>44</v>
      </c>
      <c r="M372" s="20" t="n">
        <v>1.020381857476385e-08</v>
      </c>
      <c r="N372" s="20" t="n">
        <v>3</v>
      </c>
      <c r="O372" s="20" t="n">
        <v>4.771680168147093e-09</v>
      </c>
      <c r="P372" s="19">
        <f>1 - (1 - I372)^(1/12)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0.155878904</v>
      </c>
      <c r="J373" s="22" t="n">
        <v>1</v>
      </c>
      <c r="K373" s="22" t="n">
        <v>0.341765</v>
      </c>
      <c r="L373" s="17" t="n">
        <v>44</v>
      </c>
      <c r="M373" s="22" t="n">
        <v>1.020381857476385e-08</v>
      </c>
      <c r="N373" s="22" t="n">
        <v>3</v>
      </c>
      <c r="O373" s="22" t="n">
        <v>4.771680168147093e-09</v>
      </c>
      <c r="P373" s="21">
        <f>1 - (1 - I373)^(1/12)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0.155878904</v>
      </c>
      <c r="J374" s="20" t="n">
        <v>1</v>
      </c>
      <c r="K374" s="20" t="n">
        <v>0.341765</v>
      </c>
      <c r="L374" s="15" t="n">
        <v>44</v>
      </c>
      <c r="M374" s="20" t="n">
        <v>1.020381857476385e-08</v>
      </c>
      <c r="N374" s="20" t="n">
        <v>3</v>
      </c>
      <c r="O374" s="20" t="n">
        <v>4.771680168147093e-09</v>
      </c>
      <c r="P374" s="19">
        <f>1 - (1 - I374)^(1/12)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0.155878904</v>
      </c>
      <c r="J375" s="22" t="n">
        <v>1</v>
      </c>
      <c r="K375" s="22" t="n">
        <v>0.341765</v>
      </c>
      <c r="L375" s="17" t="n">
        <v>44</v>
      </c>
      <c r="M375" s="22" t="n">
        <v>1.020381857476385e-08</v>
      </c>
      <c r="N375" s="22" t="n">
        <v>3</v>
      </c>
      <c r="O375" s="22" t="n">
        <v>4.771680168147093e-09</v>
      </c>
      <c r="P375" s="21">
        <f>1 - (1 - I375)^(1/12)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0.872934068</v>
      </c>
      <c r="J376" s="20" t="n">
        <v>1</v>
      </c>
      <c r="K376" s="20" t="n">
        <v>0.668313</v>
      </c>
      <c r="L376" s="15" t="n">
        <v>44</v>
      </c>
      <c r="M376" s="20" t="n">
        <v>8.166797988599737e-22</v>
      </c>
      <c r="N376" s="20" t="n">
        <v>180</v>
      </c>
      <c r="O376" s="20" t="n">
        <v>1.283233714330065e-19</v>
      </c>
      <c r="P376" s="19">
        <f>1 - (1 - I376)^(1/12)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0.872934068</v>
      </c>
      <c r="J377" s="22" t="n">
        <v>1</v>
      </c>
      <c r="K377" s="22" t="n">
        <v>0.668313</v>
      </c>
      <c r="L377" s="17" t="n">
        <v>44</v>
      </c>
      <c r="M377" s="22" t="n">
        <v>8.166797988599737e-22</v>
      </c>
      <c r="N377" s="22" t="n">
        <v>180</v>
      </c>
      <c r="O377" s="22" t="n">
        <v>1.283233714330065e-19</v>
      </c>
      <c r="P377" s="21">
        <f>1 - (1 - I377)^(1/12)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0.872934068</v>
      </c>
      <c r="J378" s="20" t="n">
        <v>1</v>
      </c>
      <c r="K378" s="20" t="n">
        <v>0.668313</v>
      </c>
      <c r="L378" s="15" t="n">
        <v>44</v>
      </c>
      <c r="M378" s="20" t="n">
        <v>8.166797988599737e-22</v>
      </c>
      <c r="N378" s="20" t="n">
        <v>180</v>
      </c>
      <c r="O378" s="20" t="n">
        <v>1.283233714330065e-19</v>
      </c>
      <c r="P378" s="19">
        <f>1 - (1 - I378)^(1/12)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0.872934068</v>
      </c>
      <c r="J379" s="22" t="n">
        <v>1</v>
      </c>
      <c r="K379" s="22" t="n">
        <v>0.668313</v>
      </c>
      <c r="L379" s="17" t="n">
        <v>44</v>
      </c>
      <c r="M379" s="22" t="n">
        <v>8.166797988599737e-22</v>
      </c>
      <c r="N379" s="22" t="n">
        <v>180</v>
      </c>
      <c r="O379" s="22" t="n">
        <v>1.283233714330065e-19</v>
      </c>
      <c r="P379" s="21">
        <f>1 - (1 - I379)^(1/12)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0.872934068</v>
      </c>
      <c r="J380" s="20" t="n">
        <v>1</v>
      </c>
      <c r="K380" s="20" t="n">
        <v>0.668313</v>
      </c>
      <c r="L380" s="15" t="n">
        <v>44</v>
      </c>
      <c r="M380" s="20" t="n">
        <v>8.166797988599737e-22</v>
      </c>
      <c r="N380" s="20" t="n">
        <v>180</v>
      </c>
      <c r="O380" s="20" t="n">
        <v>1.283233714330065e-19</v>
      </c>
      <c r="P380" s="19">
        <f>1 - (1 - I380)^(1/12)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0.872934068</v>
      </c>
      <c r="J381" s="22" t="n">
        <v>1</v>
      </c>
      <c r="K381" s="22" t="n">
        <v>0.668313</v>
      </c>
      <c r="L381" s="17" t="n">
        <v>45</v>
      </c>
      <c r="M381" s="22" t="n">
        <v>2.708820724444681e-22</v>
      </c>
      <c r="N381" s="22" t="n">
        <v>180</v>
      </c>
      <c r="O381" s="22" t="n">
        <v>4.256319410049964e-20</v>
      </c>
      <c r="P381" s="21">
        <f>1 - (1 - I381)^(1/12)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0.872934068</v>
      </c>
      <c r="J382" s="20" t="n">
        <v>1</v>
      </c>
      <c r="K382" s="20" t="n">
        <v>0.668313</v>
      </c>
      <c r="L382" s="15" t="n">
        <v>45</v>
      </c>
      <c r="M382" s="20" t="n">
        <v>2.708820724444681e-22</v>
      </c>
      <c r="N382" s="20" t="n">
        <v>180</v>
      </c>
      <c r="O382" s="20" t="n">
        <v>4.256319410049964e-20</v>
      </c>
      <c r="P382" s="19">
        <f>1 - (1 - I382)^(1/12)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0.872934068</v>
      </c>
      <c r="J383" s="22" t="n">
        <v>1</v>
      </c>
      <c r="K383" s="22" t="n">
        <v>0.668313</v>
      </c>
      <c r="L383" s="17" t="n">
        <v>45</v>
      </c>
      <c r="M383" s="22" t="n">
        <v>2.708820724444681e-22</v>
      </c>
      <c r="N383" s="22" t="n">
        <v>180</v>
      </c>
      <c r="O383" s="22" t="n">
        <v>4.256319410049964e-20</v>
      </c>
      <c r="P383" s="21">
        <f>1 - (1 - I383)^(1/12)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0.872934068</v>
      </c>
      <c r="J384" s="20" t="n">
        <v>1</v>
      </c>
      <c r="K384" s="20" t="n">
        <v>0.668313</v>
      </c>
      <c r="L384" s="15" t="n">
        <v>45</v>
      </c>
      <c r="M384" s="20" t="n">
        <v>2.708820724444681e-22</v>
      </c>
      <c r="N384" s="20" t="n">
        <v>180</v>
      </c>
      <c r="O384" s="20" t="n">
        <v>4.256319410049964e-20</v>
      </c>
      <c r="P384" s="19">
        <f>1 - (1 - I384)^(1/12)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0.872934068</v>
      </c>
      <c r="J385" s="22" t="n">
        <v>1</v>
      </c>
      <c r="K385" s="22" t="n">
        <v>0.668313</v>
      </c>
      <c r="L385" s="17" t="n">
        <v>45</v>
      </c>
      <c r="M385" s="22" t="n">
        <v>2.708820724444681e-22</v>
      </c>
      <c r="N385" s="22" t="n">
        <v>180</v>
      </c>
      <c r="O385" s="22" t="n">
        <v>4.256319410049964e-20</v>
      </c>
      <c r="P385" s="21">
        <f>1 - (1 - I385)^(1/12)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0.872934068</v>
      </c>
      <c r="J386" s="20" t="n">
        <v>1</v>
      </c>
      <c r="K386" s="20" t="n">
        <v>0.668313</v>
      </c>
      <c r="L386" s="15" t="n">
        <v>45</v>
      </c>
      <c r="M386" s="20" t="n">
        <v>2.708820724444681e-22</v>
      </c>
      <c r="N386" s="20" t="n">
        <v>180</v>
      </c>
      <c r="O386" s="20" t="n">
        <v>4.256319410049964e-20</v>
      </c>
      <c r="P386" s="19">
        <f>1 - (1 - I386)^(1/12)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0.872934068</v>
      </c>
      <c r="J387" s="22" t="n">
        <v>1</v>
      </c>
      <c r="K387" s="22" t="n">
        <v>0.668313</v>
      </c>
      <c r="L387" s="17" t="n">
        <v>45</v>
      </c>
      <c r="M387" s="22" t="n">
        <v>2.708820724444681e-22</v>
      </c>
      <c r="N387" s="22" t="n">
        <v>180</v>
      </c>
      <c r="O387" s="22" t="n">
        <v>4.256319410049964e-20</v>
      </c>
      <c r="P387" s="21">
        <f>1 - (1 - I387)^(1/12)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0.996437889</v>
      </c>
      <c r="J388" s="20" t="n">
        <v>1</v>
      </c>
      <c r="K388" s="20" t="n">
        <v>0.197342</v>
      </c>
      <c r="L388" s="15" t="n">
        <v>45</v>
      </c>
      <c r="M388" s="20" t="n">
        <v>5.056782072681602e-05</v>
      </c>
      <c r="N388" s="20" t="n">
        <v>174</v>
      </c>
      <c r="O388" s="20" t="n">
        <v>0.008767458501326465</v>
      </c>
      <c r="P388" s="19">
        <f>1 - (1 - I388)^(1/12)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0.996437889</v>
      </c>
      <c r="J389" s="22" t="n">
        <v>1</v>
      </c>
      <c r="K389" s="22" t="n">
        <v>0.197342</v>
      </c>
      <c r="L389" s="17" t="n">
        <v>45</v>
      </c>
      <c r="M389" s="22" t="n">
        <v>5.056782072681602e-05</v>
      </c>
      <c r="N389" s="22" t="n">
        <v>174</v>
      </c>
      <c r="O389" s="22" t="n">
        <v>0.008767458501326465</v>
      </c>
      <c r="P389" s="21">
        <f>1 - (1 - I389)^(1/12)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0.996437889</v>
      </c>
      <c r="J390" s="20" t="n">
        <v>1</v>
      </c>
      <c r="K390" s="20" t="n">
        <v>0.197342</v>
      </c>
      <c r="L390" s="15" t="n">
        <v>45</v>
      </c>
      <c r="M390" s="20" t="n">
        <v>5.056782072681602e-05</v>
      </c>
      <c r="N390" s="20" t="n">
        <v>174</v>
      </c>
      <c r="O390" s="20" t="n">
        <v>0.008767458501326465</v>
      </c>
      <c r="P390" s="19">
        <f>1 - (1 - I390)^(1/12)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0.996437889</v>
      </c>
      <c r="J391" s="22" t="n">
        <v>1</v>
      </c>
      <c r="K391" s="22" t="n">
        <v>0.197342</v>
      </c>
      <c r="L391" s="17" t="n">
        <v>45</v>
      </c>
      <c r="M391" s="22" t="n">
        <v>5.056782072681602e-05</v>
      </c>
      <c r="N391" s="22" t="n">
        <v>174</v>
      </c>
      <c r="O391" s="22" t="n">
        <v>0.008767458501326465</v>
      </c>
      <c r="P391" s="21">
        <f>1 - (1 - I391)^(1/12)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0.996437889</v>
      </c>
      <c r="J392" s="20" t="n">
        <v>1</v>
      </c>
      <c r="K392" s="20" t="n">
        <v>0.197342</v>
      </c>
      <c r="L392" s="15" t="n">
        <v>45</v>
      </c>
      <c r="M392" s="20" t="n">
        <v>5.056782072681602e-05</v>
      </c>
      <c r="N392" s="20" t="n">
        <v>174</v>
      </c>
      <c r="O392" s="20" t="n">
        <v>0.008767458501326465</v>
      </c>
      <c r="P392" s="19">
        <f>1 - (1 - I392)^(1/12)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0.996437889</v>
      </c>
      <c r="J393" s="22" t="n">
        <v>1</v>
      </c>
      <c r="K393" s="22" t="n">
        <v>0.197342</v>
      </c>
      <c r="L393" s="17" t="n">
        <v>46</v>
      </c>
      <c r="M393" s="22" t="n">
        <v>4.058866584894469e-05</v>
      </c>
      <c r="N393" s="22" t="n">
        <v>174</v>
      </c>
      <c r="O393" s="22" t="n">
        <v>0.007037270705757699</v>
      </c>
      <c r="P393" s="21">
        <f>1 - (1 - I393)^(1/12)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0.996437889</v>
      </c>
      <c r="J394" s="20" t="n">
        <v>1</v>
      </c>
      <c r="K394" s="20" t="n">
        <v>0.197342</v>
      </c>
      <c r="L394" s="15" t="n">
        <v>46</v>
      </c>
      <c r="M394" s="20" t="n">
        <v>4.058866584894469e-05</v>
      </c>
      <c r="N394" s="20" t="n">
        <v>174</v>
      </c>
      <c r="O394" s="20" t="n">
        <v>0.007037270705757699</v>
      </c>
      <c r="P394" s="19">
        <f>1 - (1 - I394)^(1/12)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0.996437889</v>
      </c>
      <c r="J395" s="22" t="n">
        <v>1</v>
      </c>
      <c r="K395" s="22" t="n">
        <v>0.197342</v>
      </c>
      <c r="L395" s="17" t="n">
        <v>46</v>
      </c>
      <c r="M395" s="22" t="n">
        <v>4.058866584894469e-05</v>
      </c>
      <c r="N395" s="22" t="n">
        <v>174</v>
      </c>
      <c r="O395" s="22" t="n">
        <v>0.007037270705757699</v>
      </c>
      <c r="P395" s="21">
        <f>1 - (1 - I395)^(1/12)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0.996437889</v>
      </c>
      <c r="J396" s="20" t="n">
        <v>1</v>
      </c>
      <c r="K396" s="20" t="n">
        <v>0.197342</v>
      </c>
      <c r="L396" s="15" t="n">
        <v>46</v>
      </c>
      <c r="M396" s="20" t="n">
        <v>4.058866584894469e-05</v>
      </c>
      <c r="N396" s="20" t="n">
        <v>174</v>
      </c>
      <c r="O396" s="20" t="n">
        <v>0.007037270705757699</v>
      </c>
      <c r="P396" s="19">
        <f>1 - (1 - I396)^(1/12)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0.996437889</v>
      </c>
      <c r="J397" s="22" t="n">
        <v>1</v>
      </c>
      <c r="K397" s="22" t="n">
        <v>0.197342</v>
      </c>
      <c r="L397" s="17" t="n">
        <v>46</v>
      </c>
      <c r="M397" s="22" t="n">
        <v>4.058866584894469e-05</v>
      </c>
      <c r="N397" s="22" t="n">
        <v>174</v>
      </c>
      <c r="O397" s="22" t="n">
        <v>0.007037270705757699</v>
      </c>
      <c r="P397" s="21">
        <f>1 - (1 - I397)^(1/12)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0.996437889</v>
      </c>
      <c r="J398" s="20" t="n">
        <v>1</v>
      </c>
      <c r="K398" s="20" t="n">
        <v>0.197342</v>
      </c>
      <c r="L398" s="15" t="n">
        <v>46</v>
      </c>
      <c r="M398" s="20" t="n">
        <v>4.058866584894469e-05</v>
      </c>
      <c r="N398" s="20" t="n">
        <v>174</v>
      </c>
      <c r="O398" s="20" t="n">
        <v>0.007037270705757699</v>
      </c>
      <c r="P398" s="19">
        <f>1 - (1 - I398)^(1/12)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0.996437889</v>
      </c>
      <c r="J399" s="22" t="n">
        <v>1</v>
      </c>
      <c r="K399" s="22" t="n">
        <v>0.197342</v>
      </c>
      <c r="L399" s="17" t="n">
        <v>46</v>
      </c>
      <c r="M399" s="22" t="n">
        <v>4.058866584894469e-05</v>
      </c>
      <c r="N399" s="22" t="n">
        <v>174</v>
      </c>
      <c r="O399" s="22" t="n">
        <v>0.007037270705757699</v>
      </c>
      <c r="P399" s="21">
        <f>1 - (1 - I399)^(1/12)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0.632088264</v>
      </c>
      <c r="J400" s="20" t="n">
        <v>1</v>
      </c>
      <c r="K400" s="20" t="n">
        <v>0.235258</v>
      </c>
      <c r="L400" s="15" t="n">
        <v>46</v>
      </c>
      <c r="M400" s="20" t="n">
        <v>4.382151170717496e-06</v>
      </c>
      <c r="N400" s="20" t="n">
        <v>107</v>
      </c>
      <c r="O400" s="20" t="n">
        <v>0.0002963799768910297</v>
      </c>
      <c r="P400" s="19">
        <f>1 - (1 - I400)^(1/12)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0.632088264</v>
      </c>
      <c r="J401" s="22" t="n">
        <v>1</v>
      </c>
      <c r="K401" s="22" t="n">
        <v>0.235258</v>
      </c>
      <c r="L401" s="17" t="n">
        <v>46</v>
      </c>
      <c r="M401" s="22" t="n">
        <v>4.382151170717496e-06</v>
      </c>
      <c r="N401" s="22" t="n">
        <v>107</v>
      </c>
      <c r="O401" s="22" t="n">
        <v>0.0002963799768910297</v>
      </c>
      <c r="P401" s="21">
        <f>1 - (1 - I401)^(1/12)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0.632088264</v>
      </c>
      <c r="J402" s="20" t="n">
        <v>1</v>
      </c>
      <c r="K402" s="20" t="n">
        <v>0.235258</v>
      </c>
      <c r="L402" s="15" t="n">
        <v>46</v>
      </c>
      <c r="M402" s="20" t="n">
        <v>4.382151170717496e-06</v>
      </c>
      <c r="N402" s="20" t="n">
        <v>107</v>
      </c>
      <c r="O402" s="20" t="n">
        <v>0.0002963799768910297</v>
      </c>
      <c r="P402" s="19">
        <f>1 - (1 - I402)^(1/12)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0.632088264</v>
      </c>
      <c r="J403" s="22" t="n">
        <v>1</v>
      </c>
      <c r="K403" s="22" t="n">
        <v>0.235258</v>
      </c>
      <c r="L403" s="17" t="n">
        <v>46</v>
      </c>
      <c r="M403" s="22" t="n">
        <v>4.382151170717496e-06</v>
      </c>
      <c r="N403" s="22" t="n">
        <v>107</v>
      </c>
      <c r="O403" s="22" t="n">
        <v>0.0002963799768910297</v>
      </c>
      <c r="P403" s="21">
        <f>1 - (1 - I403)^(1/12)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0.632088264</v>
      </c>
      <c r="J404" s="20" t="n">
        <v>1</v>
      </c>
      <c r="K404" s="20" t="n">
        <v>0.235258</v>
      </c>
      <c r="L404" s="15" t="n">
        <v>46</v>
      </c>
      <c r="M404" s="20" t="n">
        <v>4.382151170717496e-06</v>
      </c>
      <c r="N404" s="20" t="n">
        <v>107</v>
      </c>
      <c r="O404" s="20" t="n">
        <v>0.0002963799768910297</v>
      </c>
      <c r="P404" s="19">
        <f>1 - (1 - I404)^(1/12)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0.632088264</v>
      </c>
      <c r="J405" s="22" t="n">
        <v>1</v>
      </c>
      <c r="K405" s="22" t="n">
        <v>0.235258</v>
      </c>
      <c r="L405" s="17" t="n">
        <v>47</v>
      </c>
      <c r="M405" s="22" t="n">
        <v>3.35121505059684e-06</v>
      </c>
      <c r="N405" s="22" t="n">
        <v>107</v>
      </c>
      <c r="O405" s="22" t="n">
        <v>0.0002266542162875999</v>
      </c>
      <c r="P405" s="21">
        <f>1 - (1 - I405)^(1/12)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0.632088264</v>
      </c>
      <c r="J406" s="20" t="n">
        <v>1</v>
      </c>
      <c r="K406" s="20" t="n">
        <v>0.235258</v>
      </c>
      <c r="L406" s="15" t="n">
        <v>47</v>
      </c>
      <c r="M406" s="20" t="n">
        <v>3.35121505059684e-06</v>
      </c>
      <c r="N406" s="20" t="n">
        <v>107</v>
      </c>
      <c r="O406" s="20" t="n">
        <v>0.0002266542162875999</v>
      </c>
      <c r="P406" s="19">
        <f>1 - (1 - I406)^(1/12)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0.632088264</v>
      </c>
      <c r="J407" s="22" t="n">
        <v>1</v>
      </c>
      <c r="K407" s="22" t="n">
        <v>0.235258</v>
      </c>
      <c r="L407" s="17" t="n">
        <v>47</v>
      </c>
      <c r="M407" s="22" t="n">
        <v>3.35121505059684e-06</v>
      </c>
      <c r="N407" s="22" t="n">
        <v>107</v>
      </c>
      <c r="O407" s="22" t="n">
        <v>0.0002266542162875999</v>
      </c>
      <c r="P407" s="21">
        <f>1 - (1 - I407)^(1/12)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0.632088264</v>
      </c>
      <c r="J408" s="20" t="n">
        <v>1</v>
      </c>
      <c r="K408" s="20" t="n">
        <v>0.235258</v>
      </c>
      <c r="L408" s="15" t="n">
        <v>47</v>
      </c>
      <c r="M408" s="20" t="n">
        <v>3.35121505059684e-06</v>
      </c>
      <c r="N408" s="20" t="n">
        <v>107</v>
      </c>
      <c r="O408" s="20" t="n">
        <v>0.0002266542162875999</v>
      </c>
      <c r="P408" s="19">
        <f>1 - (1 - I408)^(1/12)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0.632088264</v>
      </c>
      <c r="J409" s="22" t="n">
        <v>1</v>
      </c>
      <c r="K409" s="22" t="n">
        <v>0.235258</v>
      </c>
      <c r="L409" s="17" t="n">
        <v>47</v>
      </c>
      <c r="M409" s="22" t="n">
        <v>3.35121505059684e-06</v>
      </c>
      <c r="N409" s="22" t="n">
        <v>107</v>
      </c>
      <c r="O409" s="22" t="n">
        <v>0.0002266542162875999</v>
      </c>
      <c r="P409" s="21">
        <f>1 - (1 - I409)^(1/12)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0.632088264</v>
      </c>
      <c r="J410" s="20" t="n">
        <v>1</v>
      </c>
      <c r="K410" s="20" t="n">
        <v>0.235258</v>
      </c>
      <c r="L410" s="15" t="n">
        <v>47</v>
      </c>
      <c r="M410" s="20" t="n">
        <v>3.35121505059684e-06</v>
      </c>
      <c r="N410" s="20" t="n">
        <v>107</v>
      </c>
      <c r="O410" s="20" t="n">
        <v>0.0002266542162875999</v>
      </c>
      <c r="P410" s="19">
        <f>1 - (1 - I410)^(1/12)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0.632088264</v>
      </c>
      <c r="J411" s="22" t="n">
        <v>1</v>
      </c>
      <c r="K411" s="22" t="n">
        <v>0.235258</v>
      </c>
      <c r="L411" s="17" t="n">
        <v>47</v>
      </c>
      <c r="M411" s="22" t="n">
        <v>3.35121505059684e-06</v>
      </c>
      <c r="N411" s="22" t="n">
        <v>107</v>
      </c>
      <c r="O411" s="22" t="n">
        <v>0.0002266542162875999</v>
      </c>
      <c r="P411" s="21">
        <f>1 - (1 - I411)^(1/12)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0.179197896</v>
      </c>
      <c r="J412" s="20" t="n">
        <v>1</v>
      </c>
      <c r="K412" s="20" t="n">
        <v>0.461715</v>
      </c>
      <c r="L412" s="15" t="n">
        <v>47</v>
      </c>
      <c r="M412" s="20" t="n">
        <v>2.278122415073345e-13</v>
      </c>
      <c r="N412" s="20" t="n">
        <v>200</v>
      </c>
      <c r="O412" s="20" t="n">
        <v>8.164694872231642e-12</v>
      </c>
      <c r="P412" s="19">
        <f>1 - (1 - I412)^(1/12)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0.179197896</v>
      </c>
      <c r="J413" s="22" t="n">
        <v>1</v>
      </c>
      <c r="K413" s="22" t="n">
        <v>0.461715</v>
      </c>
      <c r="L413" s="17" t="n">
        <v>47</v>
      </c>
      <c r="M413" s="22" t="n">
        <v>2.278122415073345e-13</v>
      </c>
      <c r="N413" s="22" t="n">
        <v>200</v>
      </c>
      <c r="O413" s="22" t="n">
        <v>8.164694872231642e-12</v>
      </c>
      <c r="P413" s="21">
        <f>1 - (1 - I413)^(1/12)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0.179197896</v>
      </c>
      <c r="J414" s="20" t="n">
        <v>1</v>
      </c>
      <c r="K414" s="20" t="n">
        <v>0.461715</v>
      </c>
      <c r="L414" s="15" t="n">
        <v>47</v>
      </c>
      <c r="M414" s="20" t="n">
        <v>2.278122415073345e-13</v>
      </c>
      <c r="N414" s="20" t="n">
        <v>200</v>
      </c>
      <c r="O414" s="20" t="n">
        <v>8.164694872231642e-12</v>
      </c>
      <c r="P414" s="19">
        <f>1 - (1 - I414)^(1/12)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0.179197896</v>
      </c>
      <c r="J415" s="22" t="n">
        <v>1</v>
      </c>
      <c r="K415" s="22" t="n">
        <v>0.461715</v>
      </c>
      <c r="L415" s="17" t="n">
        <v>47</v>
      </c>
      <c r="M415" s="22" t="n">
        <v>2.278122415073345e-13</v>
      </c>
      <c r="N415" s="22" t="n">
        <v>200</v>
      </c>
      <c r="O415" s="22" t="n">
        <v>8.164694872231642e-12</v>
      </c>
      <c r="P415" s="21">
        <f>1 - (1 - I415)^(1/12)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0.179197896</v>
      </c>
      <c r="J416" s="20" t="n">
        <v>1</v>
      </c>
      <c r="K416" s="20" t="n">
        <v>0.461715</v>
      </c>
      <c r="L416" s="15" t="n">
        <v>47</v>
      </c>
      <c r="M416" s="20" t="n">
        <v>2.278122415073345e-13</v>
      </c>
      <c r="N416" s="20" t="n">
        <v>200</v>
      </c>
      <c r="O416" s="20" t="n">
        <v>8.164694872231642e-12</v>
      </c>
      <c r="P416" s="19">
        <f>1 - (1 - I416)^(1/12)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0.179197896</v>
      </c>
      <c r="J417" s="22" t="n">
        <v>1</v>
      </c>
      <c r="K417" s="22" t="n">
        <v>0.461715</v>
      </c>
      <c r="L417" s="17" t="n">
        <v>48</v>
      </c>
      <c r="M417" s="22" t="n">
        <v>1.226279124197756e-13</v>
      </c>
      <c r="N417" s="22" t="n">
        <v>200</v>
      </c>
      <c r="O417" s="22" t="n">
        <v>4.39493277929921e-12</v>
      </c>
      <c r="P417" s="21">
        <f>1 - (1 - I417)^(1/12)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0.179197896</v>
      </c>
      <c r="J418" s="20" t="n">
        <v>1</v>
      </c>
      <c r="K418" s="20" t="n">
        <v>0.461715</v>
      </c>
      <c r="L418" s="15" t="n">
        <v>48</v>
      </c>
      <c r="M418" s="20" t="n">
        <v>1.226279124197756e-13</v>
      </c>
      <c r="N418" s="20" t="n">
        <v>200</v>
      </c>
      <c r="O418" s="20" t="n">
        <v>4.39493277929921e-12</v>
      </c>
      <c r="P418" s="19">
        <f>1 - (1 - I418)^(1/12)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0.179197896</v>
      </c>
      <c r="J419" s="22" t="n">
        <v>1</v>
      </c>
      <c r="K419" s="22" t="n">
        <v>0.461715</v>
      </c>
      <c r="L419" s="17" t="n">
        <v>48</v>
      </c>
      <c r="M419" s="22" t="n">
        <v>1.226279124197756e-13</v>
      </c>
      <c r="N419" s="22" t="n">
        <v>200</v>
      </c>
      <c r="O419" s="22" t="n">
        <v>4.39493277929921e-12</v>
      </c>
      <c r="P419" s="21">
        <f>1 - (1 - I419)^(1/12)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0.179197896</v>
      </c>
      <c r="J420" s="20" t="n">
        <v>1</v>
      </c>
      <c r="K420" s="20" t="n">
        <v>0.461715</v>
      </c>
      <c r="L420" s="15" t="n">
        <v>48</v>
      </c>
      <c r="M420" s="20" t="n">
        <v>1.226279124197756e-13</v>
      </c>
      <c r="N420" s="20" t="n">
        <v>200</v>
      </c>
      <c r="O420" s="20" t="n">
        <v>4.39493277929921e-12</v>
      </c>
      <c r="P420" s="19">
        <f>1 - (1 - I420)^(1/12)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0.179197896</v>
      </c>
      <c r="J421" s="22" t="n">
        <v>1</v>
      </c>
      <c r="K421" s="22" t="n">
        <v>0.461715</v>
      </c>
      <c r="L421" s="17" t="n">
        <v>48</v>
      </c>
      <c r="M421" s="22" t="n">
        <v>1.226279124197756e-13</v>
      </c>
      <c r="N421" s="22" t="n">
        <v>200</v>
      </c>
      <c r="O421" s="22" t="n">
        <v>4.39493277929921e-12</v>
      </c>
      <c r="P421" s="21">
        <f>1 - (1 - I421)^(1/12)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0.179197896</v>
      </c>
      <c r="J422" s="20" t="n">
        <v>1</v>
      </c>
      <c r="K422" s="20" t="n">
        <v>0.461715</v>
      </c>
      <c r="L422" s="15" t="n">
        <v>48</v>
      </c>
      <c r="M422" s="20" t="n">
        <v>1.226279124197756e-13</v>
      </c>
      <c r="N422" s="20" t="n">
        <v>200</v>
      </c>
      <c r="O422" s="20" t="n">
        <v>4.39493277929921e-12</v>
      </c>
      <c r="P422" s="19">
        <f>1 - (1 - I422)^(1/12)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0.179197896</v>
      </c>
      <c r="J423" s="22" t="n">
        <v>1</v>
      </c>
      <c r="K423" s="22" t="n">
        <v>0.461715</v>
      </c>
      <c r="L423" s="17" t="n">
        <v>48</v>
      </c>
      <c r="M423" s="22" t="n">
        <v>1.226279124197756e-13</v>
      </c>
      <c r="N423" s="22" t="n">
        <v>200</v>
      </c>
      <c r="O423" s="22" t="n">
        <v>4.39493277929921e-12</v>
      </c>
      <c r="P423" s="21">
        <f>1 - (1 - I423)^(1/12)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0.883194179</v>
      </c>
      <c r="J424" s="20" t="n">
        <v>1</v>
      </c>
      <c r="K424" s="20" t="n">
        <v>0.364293</v>
      </c>
      <c r="L424" s="15" t="n">
        <v>48</v>
      </c>
      <c r="M424" s="20" t="n">
        <v>3.600275161620632e-10</v>
      </c>
      <c r="N424" s="20" t="n">
        <v>31</v>
      </c>
      <c r="O424" s="20" t="n">
        <v>9.857200403179043e-09</v>
      </c>
      <c r="P424" s="19">
        <f>1 - (1 - I424)^(1/12)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0.883194179</v>
      </c>
      <c r="J425" s="22" t="n">
        <v>1</v>
      </c>
      <c r="K425" s="22" t="n">
        <v>0.364293</v>
      </c>
      <c r="L425" s="17" t="n">
        <v>48</v>
      </c>
      <c r="M425" s="22" t="n">
        <v>3.600275161620632e-10</v>
      </c>
      <c r="N425" s="22" t="n">
        <v>31</v>
      </c>
      <c r="O425" s="22" t="n">
        <v>9.857200403179043e-09</v>
      </c>
      <c r="P425" s="21">
        <f>1 - (1 - I425)^(1/12)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0.883194179</v>
      </c>
      <c r="J426" s="20" t="n">
        <v>1</v>
      </c>
      <c r="K426" s="20" t="n">
        <v>0.364293</v>
      </c>
      <c r="L426" s="15" t="n">
        <v>48</v>
      </c>
      <c r="M426" s="20" t="n">
        <v>3.600275161620632e-10</v>
      </c>
      <c r="N426" s="20" t="n">
        <v>31</v>
      </c>
      <c r="O426" s="20" t="n">
        <v>9.857200403179043e-09</v>
      </c>
      <c r="P426" s="19">
        <f>1 - (1 - I426)^(1/12)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0.883194179</v>
      </c>
      <c r="J427" s="22" t="n">
        <v>1</v>
      </c>
      <c r="K427" s="22" t="n">
        <v>0.364293</v>
      </c>
      <c r="L427" s="17" t="n">
        <v>48</v>
      </c>
      <c r="M427" s="22" t="n">
        <v>3.600275161620632e-10</v>
      </c>
      <c r="N427" s="22" t="n">
        <v>31</v>
      </c>
      <c r="O427" s="22" t="n">
        <v>9.857200403179043e-09</v>
      </c>
      <c r="P427" s="21">
        <f>1 - (1 - I427)^(1/12)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0.883194179</v>
      </c>
      <c r="J428" s="20" t="n">
        <v>1</v>
      </c>
      <c r="K428" s="20" t="n">
        <v>0.364293</v>
      </c>
      <c r="L428" s="15" t="n">
        <v>48</v>
      </c>
      <c r="M428" s="20" t="n">
        <v>3.600275161620632e-10</v>
      </c>
      <c r="N428" s="20" t="n">
        <v>31</v>
      </c>
      <c r="O428" s="20" t="n">
        <v>9.857200403179043e-09</v>
      </c>
      <c r="P428" s="19">
        <f>1 - (1 - I428)^(1/12)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0.883194179</v>
      </c>
      <c r="J429" s="22" t="n">
        <v>1</v>
      </c>
      <c r="K429" s="22" t="n">
        <v>0.364293</v>
      </c>
      <c r="L429" s="17" t="n">
        <v>49</v>
      </c>
      <c r="M429" s="22" t="n">
        <v>2.288720122168367e-10</v>
      </c>
      <c r="N429" s="22" t="n">
        <v>31</v>
      </c>
      <c r="O429" s="22" t="n">
        <v>6.26629129670374e-09</v>
      </c>
      <c r="P429" s="21">
        <f>1 - (1 - I429)^(1/12)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0.883194179</v>
      </c>
      <c r="J430" s="20" t="n">
        <v>1</v>
      </c>
      <c r="K430" s="20" t="n">
        <v>0.364293</v>
      </c>
      <c r="L430" s="15" t="n">
        <v>49</v>
      </c>
      <c r="M430" s="20" t="n">
        <v>2.288720122168367e-10</v>
      </c>
      <c r="N430" s="20" t="n">
        <v>31</v>
      </c>
      <c r="O430" s="20" t="n">
        <v>6.26629129670374e-09</v>
      </c>
      <c r="P430" s="19">
        <f>1 - (1 - I430)^(1/12)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0.883194179</v>
      </c>
      <c r="J431" s="22" t="n">
        <v>1</v>
      </c>
      <c r="K431" s="22" t="n">
        <v>0.364293</v>
      </c>
      <c r="L431" s="17" t="n">
        <v>49</v>
      </c>
      <c r="M431" s="22" t="n">
        <v>2.288720122168367e-10</v>
      </c>
      <c r="N431" s="22" t="n">
        <v>31</v>
      </c>
      <c r="O431" s="22" t="n">
        <v>6.26629129670374e-09</v>
      </c>
      <c r="P431" s="21">
        <f>1 - (1 - I431)^(1/12)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0.883194179</v>
      </c>
      <c r="J432" s="20" t="n">
        <v>1</v>
      </c>
      <c r="K432" s="20" t="n">
        <v>0.364293</v>
      </c>
      <c r="L432" s="15" t="n">
        <v>49</v>
      </c>
      <c r="M432" s="20" t="n">
        <v>2.288720122168367e-10</v>
      </c>
      <c r="N432" s="20" t="n">
        <v>31</v>
      </c>
      <c r="O432" s="20" t="n">
        <v>6.26629129670374e-09</v>
      </c>
      <c r="P432" s="19">
        <f>1 - (1 - I432)^(1/12)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0.883194179</v>
      </c>
      <c r="J433" s="22" t="n">
        <v>1</v>
      </c>
      <c r="K433" s="22" t="n">
        <v>0.364293</v>
      </c>
      <c r="L433" s="17" t="n">
        <v>49</v>
      </c>
      <c r="M433" s="22" t="n">
        <v>2.288720122168367e-10</v>
      </c>
      <c r="N433" s="22" t="n">
        <v>31</v>
      </c>
      <c r="O433" s="22" t="n">
        <v>6.26629129670374e-09</v>
      </c>
      <c r="P433" s="21">
        <f>1 - (1 - I433)^(1/12)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0.883194179</v>
      </c>
      <c r="J434" s="20" t="n">
        <v>1</v>
      </c>
      <c r="K434" s="20" t="n">
        <v>0.364293</v>
      </c>
      <c r="L434" s="15" t="n">
        <v>49</v>
      </c>
      <c r="M434" s="20" t="n">
        <v>2.288720122168367e-10</v>
      </c>
      <c r="N434" s="20" t="n">
        <v>31</v>
      </c>
      <c r="O434" s="20" t="n">
        <v>6.26629129670374e-09</v>
      </c>
      <c r="P434" s="19">
        <f>1 - (1 - I434)^(1/12)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0.883194179</v>
      </c>
      <c r="J435" s="22" t="n">
        <v>1</v>
      </c>
      <c r="K435" s="22" t="n">
        <v>0.364293</v>
      </c>
      <c r="L435" s="17" t="n">
        <v>49</v>
      </c>
      <c r="M435" s="22" t="n">
        <v>2.288720122168367e-10</v>
      </c>
      <c r="N435" s="22" t="n">
        <v>31</v>
      </c>
      <c r="O435" s="22" t="n">
        <v>6.26629129670374e-09</v>
      </c>
      <c r="P435" s="21">
        <f>1 - (1 - I435)^(1/12)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0.55941768</v>
      </c>
      <c r="J436" s="20" t="n">
        <v>1</v>
      </c>
      <c r="K436" s="20" t="n">
        <v>0.342997</v>
      </c>
      <c r="L436" s="15" t="n">
        <v>49</v>
      </c>
      <c r="M436" s="20" t="n">
        <v>1.15027128706346e-09</v>
      </c>
      <c r="N436" s="20" t="n">
        <v>123</v>
      </c>
      <c r="O436" s="20" t="n">
        <v>7.914829765789751e-08</v>
      </c>
      <c r="P436" s="19">
        <f>1 - (1 - I436)^(1/12)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0.55941768</v>
      </c>
      <c r="J437" s="22" t="n">
        <v>1</v>
      </c>
      <c r="K437" s="22" t="n">
        <v>0.342997</v>
      </c>
      <c r="L437" s="17" t="n">
        <v>49</v>
      </c>
      <c r="M437" s="22" t="n">
        <v>1.15027128706346e-09</v>
      </c>
      <c r="N437" s="22" t="n">
        <v>123</v>
      </c>
      <c r="O437" s="22" t="n">
        <v>7.914829765789751e-08</v>
      </c>
      <c r="P437" s="21">
        <f>1 - (1 - I437)^(1/12)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0.55941768</v>
      </c>
      <c r="J438" s="20" t="n">
        <v>1</v>
      </c>
      <c r="K438" s="20" t="n">
        <v>0.342997</v>
      </c>
      <c r="L438" s="15" t="n">
        <v>49</v>
      </c>
      <c r="M438" s="20" t="n">
        <v>1.15027128706346e-09</v>
      </c>
      <c r="N438" s="20" t="n">
        <v>123</v>
      </c>
      <c r="O438" s="20" t="n">
        <v>7.914829765789751e-08</v>
      </c>
      <c r="P438" s="19">
        <f>1 - (1 - I438)^(1/12)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0.55941768</v>
      </c>
      <c r="J439" s="22" t="n">
        <v>1</v>
      </c>
      <c r="K439" s="22" t="n">
        <v>0.342997</v>
      </c>
      <c r="L439" s="17" t="n">
        <v>49</v>
      </c>
      <c r="M439" s="22" t="n">
        <v>1.15027128706346e-09</v>
      </c>
      <c r="N439" s="22" t="n">
        <v>123</v>
      </c>
      <c r="O439" s="22" t="n">
        <v>7.914829765789751e-08</v>
      </c>
      <c r="P439" s="21">
        <f>1 - (1 - I439)^(1/12)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0.55941768</v>
      </c>
      <c r="J440" s="20" t="n">
        <v>1</v>
      </c>
      <c r="K440" s="20" t="n">
        <v>0.342997</v>
      </c>
      <c r="L440" s="15" t="n">
        <v>49</v>
      </c>
      <c r="M440" s="20" t="n">
        <v>1.15027128706346e-09</v>
      </c>
      <c r="N440" s="20" t="n">
        <v>123</v>
      </c>
      <c r="O440" s="20" t="n">
        <v>7.914829765789751e-08</v>
      </c>
      <c r="P440" s="19">
        <f>1 - (1 - I440)^(1/12)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0.55941768</v>
      </c>
      <c r="J441" s="22" t="n">
        <v>1</v>
      </c>
      <c r="K441" s="22" t="n">
        <v>0.342997</v>
      </c>
      <c r="L441" s="17" t="n">
        <v>50</v>
      </c>
      <c r="M441" s="22" t="n">
        <v>7.557316864145541e-10</v>
      </c>
      <c r="N441" s="22" t="n">
        <v>123</v>
      </c>
      <c r="O441" s="22" t="n">
        <v>5.200066900613165e-08</v>
      </c>
      <c r="P441" s="21">
        <f>1 - (1 - I441)^(1/12)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0.55941768</v>
      </c>
      <c r="J442" s="20" t="n">
        <v>1</v>
      </c>
      <c r="K442" s="20" t="n">
        <v>0.342997</v>
      </c>
      <c r="L442" s="15" t="n">
        <v>50</v>
      </c>
      <c r="M442" s="20" t="n">
        <v>7.557316864145541e-10</v>
      </c>
      <c r="N442" s="20" t="n">
        <v>123</v>
      </c>
      <c r="O442" s="20" t="n">
        <v>5.200066900613165e-08</v>
      </c>
      <c r="P442" s="19">
        <f>1 - (1 - I442)^(1/12)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0.55941768</v>
      </c>
      <c r="J443" s="22" t="n">
        <v>1</v>
      </c>
      <c r="K443" s="22" t="n">
        <v>0.342997</v>
      </c>
      <c r="L443" s="17" t="n">
        <v>50</v>
      </c>
      <c r="M443" s="22" t="n">
        <v>7.557316864145541e-10</v>
      </c>
      <c r="N443" s="22" t="n">
        <v>123</v>
      </c>
      <c r="O443" s="22" t="n">
        <v>5.200066900613165e-08</v>
      </c>
      <c r="P443" s="21">
        <f>1 - (1 - I443)^(1/12)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0.55941768</v>
      </c>
      <c r="J444" s="20" t="n">
        <v>1</v>
      </c>
      <c r="K444" s="20" t="n">
        <v>0.342997</v>
      </c>
      <c r="L444" s="15" t="n">
        <v>50</v>
      </c>
      <c r="M444" s="20" t="n">
        <v>7.557316864145541e-10</v>
      </c>
      <c r="N444" s="20" t="n">
        <v>123</v>
      </c>
      <c r="O444" s="20" t="n">
        <v>5.200066900613165e-08</v>
      </c>
      <c r="P444" s="19">
        <f>1 - (1 - I444)^(1/12)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0.55941768</v>
      </c>
      <c r="J445" s="22" t="n">
        <v>1</v>
      </c>
      <c r="K445" s="22" t="n">
        <v>0.342997</v>
      </c>
      <c r="L445" s="17" t="n">
        <v>50</v>
      </c>
      <c r="M445" s="22" t="n">
        <v>7.557316864145541e-10</v>
      </c>
      <c r="N445" s="22" t="n">
        <v>123</v>
      </c>
      <c r="O445" s="22" t="n">
        <v>5.200066900613165e-08</v>
      </c>
      <c r="P445" s="21">
        <f>1 - (1 - I445)^(1/12)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0.55941768</v>
      </c>
      <c r="J446" s="20" t="n">
        <v>1</v>
      </c>
      <c r="K446" s="20" t="n">
        <v>0.342997</v>
      </c>
      <c r="L446" s="15" t="n">
        <v>50</v>
      </c>
      <c r="M446" s="20" t="n">
        <v>7.557316864145541e-10</v>
      </c>
      <c r="N446" s="20" t="n">
        <v>123</v>
      </c>
      <c r="O446" s="20" t="n">
        <v>5.200066900613165e-08</v>
      </c>
      <c r="P446" s="19">
        <f>1 - (1 - I446)^(1/12)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0.55941768</v>
      </c>
      <c r="J447" s="22" t="n">
        <v>1</v>
      </c>
      <c r="K447" s="22" t="n">
        <v>0.342997</v>
      </c>
      <c r="L447" s="17" t="n">
        <v>50</v>
      </c>
      <c r="M447" s="22" t="n">
        <v>7.557316864145541e-10</v>
      </c>
      <c r="N447" s="22" t="n">
        <v>123</v>
      </c>
      <c r="O447" s="22" t="n">
        <v>5.200066900613165e-08</v>
      </c>
      <c r="P447" s="21">
        <f>1 - (1 - I447)^(1/12)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0.323945983</v>
      </c>
      <c r="J448" s="20" t="n">
        <v>1</v>
      </c>
      <c r="K448" s="20" t="n">
        <v>0.806681</v>
      </c>
      <c r="L448" s="15" t="n">
        <v>50</v>
      </c>
      <c r="M448" s="20" t="n">
        <v>2.059334985946827e-36</v>
      </c>
      <c r="N448" s="20" t="n">
        <v>133</v>
      </c>
      <c r="O448" s="20" t="n">
        <v>8.87260684143952e-35</v>
      </c>
      <c r="P448" s="19">
        <f>1 - (1 - I448)^(1/12)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0.323945983</v>
      </c>
      <c r="J449" s="22" t="n">
        <v>1</v>
      </c>
      <c r="K449" s="22" t="n">
        <v>0.806681</v>
      </c>
      <c r="L449" s="17" t="n">
        <v>50</v>
      </c>
      <c r="M449" s="22" t="n">
        <v>2.059334985946827e-36</v>
      </c>
      <c r="N449" s="22" t="n">
        <v>133</v>
      </c>
      <c r="O449" s="22" t="n">
        <v>8.87260684143952e-35</v>
      </c>
      <c r="P449" s="21">
        <f>1 - (1 - I449)^(1/12)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0.323945983</v>
      </c>
      <c r="J450" s="20" t="n">
        <v>1</v>
      </c>
      <c r="K450" s="20" t="n">
        <v>0.806681</v>
      </c>
      <c r="L450" s="15" t="n">
        <v>50</v>
      </c>
      <c r="M450" s="20" t="n">
        <v>2.059334985946827e-36</v>
      </c>
      <c r="N450" s="20" t="n">
        <v>133</v>
      </c>
      <c r="O450" s="20" t="n">
        <v>8.87260684143952e-35</v>
      </c>
      <c r="P450" s="19">
        <f>1 - (1 - I450)^(1/12)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0.323945983</v>
      </c>
      <c r="J451" s="22" t="n">
        <v>1</v>
      </c>
      <c r="K451" s="22" t="n">
        <v>0.806681</v>
      </c>
      <c r="L451" s="17" t="n">
        <v>50</v>
      </c>
      <c r="M451" s="22" t="n">
        <v>2.059334985946827e-36</v>
      </c>
      <c r="N451" s="22" t="n">
        <v>133</v>
      </c>
      <c r="O451" s="22" t="n">
        <v>8.87260684143952e-35</v>
      </c>
      <c r="P451" s="21">
        <f>1 - (1 - I451)^(1/12)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0.323945983</v>
      </c>
      <c r="J452" s="20" t="n">
        <v>1</v>
      </c>
      <c r="K452" s="20" t="n">
        <v>0.806681</v>
      </c>
      <c r="L452" s="15" t="n">
        <v>50</v>
      </c>
      <c r="M452" s="20" t="n">
        <v>2.059334985946827e-36</v>
      </c>
      <c r="N452" s="20" t="n">
        <v>133</v>
      </c>
      <c r="O452" s="20" t="n">
        <v>8.87260684143952e-35</v>
      </c>
      <c r="P452" s="19">
        <f>1 - (1 - I452)^(1/12)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0.323945983</v>
      </c>
      <c r="J453" s="22" t="n">
        <v>1</v>
      </c>
      <c r="K453" s="22" t="n">
        <v>0.806681</v>
      </c>
      <c r="L453" s="17" t="n">
        <v>51</v>
      </c>
      <c r="M453" s="22" t="n">
        <v>3.981085801482546e-37</v>
      </c>
      <c r="N453" s="22" t="n">
        <v>133</v>
      </c>
      <c r="O453" s="22" t="n">
        <v>1.715243481980247e-35</v>
      </c>
      <c r="P453" s="21">
        <f>1 - (1 - I453)^(1/12)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0.323945983</v>
      </c>
      <c r="J454" s="20" t="n">
        <v>1</v>
      </c>
      <c r="K454" s="20" t="n">
        <v>0.806681</v>
      </c>
      <c r="L454" s="15" t="n">
        <v>51</v>
      </c>
      <c r="M454" s="20" t="n">
        <v>3.981085801482546e-37</v>
      </c>
      <c r="N454" s="20" t="n">
        <v>133</v>
      </c>
      <c r="O454" s="20" t="n">
        <v>1.715243481980247e-35</v>
      </c>
      <c r="P454" s="19">
        <f>1 - (1 - I454)^(1/12)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0.323945983</v>
      </c>
      <c r="J455" s="22" t="n">
        <v>1</v>
      </c>
      <c r="K455" s="22" t="n">
        <v>0.806681</v>
      </c>
      <c r="L455" s="17" t="n">
        <v>51</v>
      </c>
      <c r="M455" s="22" t="n">
        <v>3.981085801482546e-37</v>
      </c>
      <c r="N455" s="22" t="n">
        <v>133</v>
      </c>
      <c r="O455" s="22" t="n">
        <v>1.715243481980247e-35</v>
      </c>
      <c r="P455" s="21">
        <f>1 - (1 - I455)^(1/12)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0.323945983</v>
      </c>
      <c r="J456" s="20" t="n">
        <v>1</v>
      </c>
      <c r="K456" s="20" t="n">
        <v>0.806681</v>
      </c>
      <c r="L456" s="15" t="n">
        <v>51</v>
      </c>
      <c r="M456" s="20" t="n">
        <v>3.981085801482546e-37</v>
      </c>
      <c r="N456" s="20" t="n">
        <v>133</v>
      </c>
      <c r="O456" s="20" t="n">
        <v>1.715243481980247e-35</v>
      </c>
      <c r="P456" s="19">
        <f>1 - (1 - I456)^(1/12)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0.323945983</v>
      </c>
      <c r="J457" s="22" t="n">
        <v>1</v>
      </c>
      <c r="K457" s="22" t="n">
        <v>0.806681</v>
      </c>
      <c r="L457" s="17" t="n">
        <v>51</v>
      </c>
      <c r="M457" s="22" t="n">
        <v>3.981085801482546e-37</v>
      </c>
      <c r="N457" s="22" t="n">
        <v>133</v>
      </c>
      <c r="O457" s="22" t="n">
        <v>1.715243481980247e-35</v>
      </c>
      <c r="P457" s="21">
        <f>1 - (1 - I457)^(1/12)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0.323945983</v>
      </c>
      <c r="J458" s="20" t="n">
        <v>1</v>
      </c>
      <c r="K458" s="20" t="n">
        <v>0.806681</v>
      </c>
      <c r="L458" s="15" t="n">
        <v>51</v>
      </c>
      <c r="M458" s="20" t="n">
        <v>3.981085801482546e-37</v>
      </c>
      <c r="N458" s="20" t="n">
        <v>133</v>
      </c>
      <c r="O458" s="20" t="n">
        <v>1.715243481980247e-35</v>
      </c>
      <c r="P458" s="19">
        <f>1 - (1 - I458)^(1/12)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0.323945983</v>
      </c>
      <c r="J459" s="22" t="n">
        <v>1</v>
      </c>
      <c r="K459" s="22" t="n">
        <v>0.806681</v>
      </c>
      <c r="L459" s="17" t="n">
        <v>51</v>
      </c>
      <c r="M459" s="22" t="n">
        <v>3.981085801482546e-37</v>
      </c>
      <c r="N459" s="22" t="n">
        <v>133</v>
      </c>
      <c r="O459" s="22" t="n">
        <v>1.715243481980247e-35</v>
      </c>
      <c r="P459" s="21">
        <f>1 - (1 - I459)^(1/12)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0.336483729</v>
      </c>
      <c r="J460" s="20" t="n">
        <v>1</v>
      </c>
      <c r="K460" s="20" t="n">
        <v>0.550733</v>
      </c>
      <c r="L460" s="15" t="n">
        <v>51</v>
      </c>
      <c r="M460" s="20" t="n">
        <v>1.895529276795934e-18</v>
      </c>
      <c r="N460" s="20" t="n">
        <v>93</v>
      </c>
      <c r="O460" s="20" t="n">
        <v>5.931677263210213e-17</v>
      </c>
      <c r="P460" s="19">
        <f>1 - (1 - I460)^(1/12)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0.336483729</v>
      </c>
      <c r="J461" s="22" t="n">
        <v>1</v>
      </c>
      <c r="K461" s="22" t="n">
        <v>0.550733</v>
      </c>
      <c r="L461" s="17" t="n">
        <v>51</v>
      </c>
      <c r="M461" s="22" t="n">
        <v>1.895529276795934e-18</v>
      </c>
      <c r="N461" s="22" t="n">
        <v>93</v>
      </c>
      <c r="O461" s="22" t="n">
        <v>5.931677263210213e-17</v>
      </c>
      <c r="P461" s="21">
        <f>1 - (1 - I461)^(1/12)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0.336483729</v>
      </c>
      <c r="J462" s="20" t="n">
        <v>1</v>
      </c>
      <c r="K462" s="20" t="n">
        <v>0.550733</v>
      </c>
      <c r="L462" s="15" t="n">
        <v>51</v>
      </c>
      <c r="M462" s="20" t="n">
        <v>1.895529276795934e-18</v>
      </c>
      <c r="N462" s="20" t="n">
        <v>93</v>
      </c>
      <c r="O462" s="20" t="n">
        <v>5.931677263210213e-17</v>
      </c>
      <c r="P462" s="19">
        <f>1 - (1 - I462)^(1/12)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0.336483729</v>
      </c>
      <c r="J463" s="22" t="n">
        <v>1</v>
      </c>
      <c r="K463" s="22" t="n">
        <v>0.550733</v>
      </c>
      <c r="L463" s="17" t="n">
        <v>51</v>
      </c>
      <c r="M463" s="22" t="n">
        <v>1.895529276795934e-18</v>
      </c>
      <c r="N463" s="22" t="n">
        <v>93</v>
      </c>
      <c r="O463" s="22" t="n">
        <v>5.931677263210213e-17</v>
      </c>
      <c r="P463" s="21">
        <f>1 - (1 - I463)^(1/12)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0.336483729</v>
      </c>
      <c r="J464" s="20" t="n">
        <v>1</v>
      </c>
      <c r="K464" s="20" t="n">
        <v>0.550733</v>
      </c>
      <c r="L464" s="15" t="n">
        <v>51</v>
      </c>
      <c r="M464" s="20" t="n">
        <v>1.895529276795934e-18</v>
      </c>
      <c r="N464" s="20" t="n">
        <v>93</v>
      </c>
      <c r="O464" s="20" t="n">
        <v>5.931677263210213e-17</v>
      </c>
      <c r="P464" s="19">
        <f>1 - (1 - I464)^(1/12)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0.336483729</v>
      </c>
      <c r="J465" s="22" t="n">
        <v>1</v>
      </c>
      <c r="K465" s="22" t="n">
        <v>0.550733</v>
      </c>
      <c r="L465" s="17" t="n">
        <v>52</v>
      </c>
      <c r="M465" s="22" t="n">
        <v>8.515987515982788e-19</v>
      </c>
      <c r="N465" s="22" t="n">
        <v>93</v>
      </c>
      <c r="O465" s="22" t="n">
        <v>2.664906849010662e-17</v>
      </c>
      <c r="P465" s="21">
        <f>1 - (1 - I465)^(1/12)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0.336483729</v>
      </c>
      <c r="J466" s="20" t="n">
        <v>1</v>
      </c>
      <c r="K466" s="20" t="n">
        <v>0.550733</v>
      </c>
      <c r="L466" s="15" t="n">
        <v>52</v>
      </c>
      <c r="M466" s="20" t="n">
        <v>8.515987515982788e-19</v>
      </c>
      <c r="N466" s="20" t="n">
        <v>93</v>
      </c>
      <c r="O466" s="20" t="n">
        <v>2.664906849010662e-17</v>
      </c>
      <c r="P466" s="19">
        <f>1 - (1 - I466)^(1/12)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0.336483729</v>
      </c>
      <c r="J467" s="22" t="n">
        <v>1</v>
      </c>
      <c r="K467" s="22" t="n">
        <v>0.550733</v>
      </c>
      <c r="L467" s="17" t="n">
        <v>52</v>
      </c>
      <c r="M467" s="22" t="n">
        <v>8.515987515982788e-19</v>
      </c>
      <c r="N467" s="22" t="n">
        <v>93</v>
      </c>
      <c r="O467" s="22" t="n">
        <v>2.664906849010662e-17</v>
      </c>
      <c r="P467" s="21">
        <f>1 - (1 - I467)^(1/12)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0.336483729</v>
      </c>
      <c r="J468" s="20" t="n">
        <v>1</v>
      </c>
      <c r="K468" s="20" t="n">
        <v>0.550733</v>
      </c>
      <c r="L468" s="15" t="n">
        <v>52</v>
      </c>
      <c r="M468" s="20" t="n">
        <v>8.515987515982788e-19</v>
      </c>
      <c r="N468" s="20" t="n">
        <v>93</v>
      </c>
      <c r="O468" s="20" t="n">
        <v>2.664906849010662e-17</v>
      </c>
      <c r="P468" s="19">
        <f>1 - (1 - I468)^(1/12)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0.336483729</v>
      </c>
      <c r="J469" s="22" t="n">
        <v>1</v>
      </c>
      <c r="K469" s="22" t="n">
        <v>0.550733</v>
      </c>
      <c r="L469" s="17" t="n">
        <v>52</v>
      </c>
      <c r="M469" s="22" t="n">
        <v>8.515987515982788e-19</v>
      </c>
      <c r="N469" s="22" t="n">
        <v>93</v>
      </c>
      <c r="O469" s="22" t="n">
        <v>2.664906849010662e-17</v>
      </c>
      <c r="P469" s="21">
        <f>1 - (1 - I469)^(1/12)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0.336483729</v>
      </c>
      <c r="J470" s="20" t="n">
        <v>1</v>
      </c>
      <c r="K470" s="20" t="n">
        <v>0.550733</v>
      </c>
      <c r="L470" s="15" t="n">
        <v>52</v>
      </c>
      <c r="M470" s="20" t="n">
        <v>8.515987515982788e-19</v>
      </c>
      <c r="N470" s="20" t="n">
        <v>93</v>
      </c>
      <c r="O470" s="20" t="n">
        <v>2.664906849010662e-17</v>
      </c>
      <c r="P470" s="19">
        <f>1 - (1 - I470)^(1/12)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0.336483729</v>
      </c>
      <c r="J471" s="22" t="n">
        <v>1</v>
      </c>
      <c r="K471" s="22" t="n">
        <v>0.550733</v>
      </c>
      <c r="L471" s="17" t="n">
        <v>52</v>
      </c>
      <c r="M471" s="22" t="n">
        <v>8.515987515982788e-19</v>
      </c>
      <c r="N471" s="22" t="n">
        <v>93</v>
      </c>
      <c r="O471" s="22" t="n">
        <v>2.664906849010662e-17</v>
      </c>
      <c r="P471" s="21">
        <f>1 - (1 - I471)^(1/12)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0.769895085</v>
      </c>
      <c r="J472" s="20" t="n">
        <v>1</v>
      </c>
      <c r="K472" s="20" t="n">
        <v>0.431642</v>
      </c>
      <c r="L472" s="15" t="n">
        <v>52</v>
      </c>
      <c r="M472" s="20" t="n">
        <v>1.739173149675073e-13</v>
      </c>
      <c r="N472" s="20" t="n">
        <v>90</v>
      </c>
      <c r="O472" s="20" t="n">
        <v>1.205082773908927e-11</v>
      </c>
      <c r="P472" s="19">
        <f>1 - (1 - I472)^(1/12)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0.769895085</v>
      </c>
      <c r="J473" s="22" t="n">
        <v>1</v>
      </c>
      <c r="K473" s="22" t="n">
        <v>0.431642</v>
      </c>
      <c r="L473" s="17" t="n">
        <v>52</v>
      </c>
      <c r="M473" s="22" t="n">
        <v>1.739173149675073e-13</v>
      </c>
      <c r="N473" s="22" t="n">
        <v>90</v>
      </c>
      <c r="O473" s="22" t="n">
        <v>1.205082773908927e-11</v>
      </c>
      <c r="P473" s="21">
        <f>1 - (1 - I473)^(1/12)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0.769895085</v>
      </c>
      <c r="J474" s="20" t="n">
        <v>1</v>
      </c>
      <c r="K474" s="20" t="n">
        <v>0.431642</v>
      </c>
      <c r="L474" s="15" t="n">
        <v>52</v>
      </c>
      <c r="M474" s="20" t="n">
        <v>1.739173149675073e-13</v>
      </c>
      <c r="N474" s="20" t="n">
        <v>90</v>
      </c>
      <c r="O474" s="20" t="n">
        <v>1.205082773908927e-11</v>
      </c>
      <c r="P474" s="19">
        <f>1 - (1 - I474)^(1/12)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0.769895085</v>
      </c>
      <c r="J475" s="22" t="n">
        <v>1</v>
      </c>
      <c r="K475" s="22" t="n">
        <v>0.431642</v>
      </c>
      <c r="L475" s="17" t="n">
        <v>52</v>
      </c>
      <c r="M475" s="22" t="n">
        <v>1.739173149675073e-13</v>
      </c>
      <c r="N475" s="22" t="n">
        <v>90</v>
      </c>
      <c r="O475" s="22" t="n">
        <v>1.205082773908927e-11</v>
      </c>
      <c r="P475" s="21">
        <f>1 - (1 - I475)^(1/12)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0.769895085</v>
      </c>
      <c r="J476" s="20" t="n">
        <v>1</v>
      </c>
      <c r="K476" s="20" t="n">
        <v>0.431642</v>
      </c>
      <c r="L476" s="15" t="n">
        <v>52</v>
      </c>
      <c r="M476" s="20" t="n">
        <v>1.739173149675073e-13</v>
      </c>
      <c r="N476" s="20" t="n">
        <v>90</v>
      </c>
      <c r="O476" s="20" t="n">
        <v>1.205082773908927e-11</v>
      </c>
      <c r="P476" s="19">
        <f>1 - (1 - I476)^(1/12)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0.769895085</v>
      </c>
      <c r="J477" s="22" t="n">
        <v>1</v>
      </c>
      <c r="K477" s="22" t="n">
        <v>0.431642</v>
      </c>
      <c r="L477" s="17" t="n">
        <v>53</v>
      </c>
      <c r="M477" s="22" t="n">
        <v>9.88472973003025e-14</v>
      </c>
      <c r="N477" s="22" t="n">
        <v>90</v>
      </c>
      <c r="O477" s="22" t="n">
        <v>6.8491843521333e-12</v>
      </c>
      <c r="P477" s="21">
        <f>1 - (1 - I477)^(1/12)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0.769895085</v>
      </c>
      <c r="J478" s="20" t="n">
        <v>1</v>
      </c>
      <c r="K478" s="20" t="n">
        <v>0.431642</v>
      </c>
      <c r="L478" s="15" t="n">
        <v>53</v>
      </c>
      <c r="M478" s="20" t="n">
        <v>9.88472973003025e-14</v>
      </c>
      <c r="N478" s="20" t="n">
        <v>90</v>
      </c>
      <c r="O478" s="20" t="n">
        <v>6.8491843521333e-12</v>
      </c>
      <c r="P478" s="19">
        <f>1 - (1 - I478)^(1/12)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0.769895085</v>
      </c>
      <c r="J479" s="22" t="n">
        <v>1</v>
      </c>
      <c r="K479" s="22" t="n">
        <v>0.431642</v>
      </c>
      <c r="L479" s="17" t="n">
        <v>53</v>
      </c>
      <c r="M479" s="22" t="n">
        <v>9.88472973003025e-14</v>
      </c>
      <c r="N479" s="22" t="n">
        <v>90</v>
      </c>
      <c r="O479" s="22" t="n">
        <v>6.8491843521333e-12</v>
      </c>
      <c r="P479" s="21">
        <f>1 - (1 - I479)^(1/12)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0.769895085</v>
      </c>
      <c r="J480" s="20" t="n">
        <v>1</v>
      </c>
      <c r="K480" s="20" t="n">
        <v>0.431642</v>
      </c>
      <c r="L480" s="15" t="n">
        <v>53</v>
      </c>
      <c r="M480" s="20" t="n">
        <v>9.88472973003025e-14</v>
      </c>
      <c r="N480" s="20" t="n">
        <v>90</v>
      </c>
      <c r="O480" s="20" t="n">
        <v>6.8491843521333e-12</v>
      </c>
      <c r="P480" s="19">
        <f>1 - (1 - I480)^(1/12)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0.769895085</v>
      </c>
      <c r="J481" s="22" t="n">
        <v>1</v>
      </c>
      <c r="K481" s="22" t="n">
        <v>0.431642</v>
      </c>
      <c r="L481" s="17" t="n">
        <v>53</v>
      </c>
      <c r="M481" s="22" t="n">
        <v>9.88472973003025e-14</v>
      </c>
      <c r="N481" s="22" t="n">
        <v>90</v>
      </c>
      <c r="O481" s="22" t="n">
        <v>6.8491843521333e-12</v>
      </c>
      <c r="P481" s="21">
        <f>1 - (1 - I481)^(1/12)</f>
        <v/>
      </c>
    </row>
  </sheetData>
  <autoFilter ref="A1:P1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M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9" customWidth="1" min="9" max="9"/>
    <col width="20" customWidth="1" min="10" max="10"/>
    <col width="12" customWidth="1" min="11" max="11"/>
    <col width="16" customWidth="1" min="12" max="12"/>
    <col width="21" customWidth="1" min="13" max="13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  <c r="I1" s="14" t="inlineStr">
        <is>
          <t>sc_flag</t>
        </is>
      </c>
      <c r="J1" s="14" t="inlineStr">
        <is>
          <t>itm_raw</t>
        </is>
      </c>
      <c r="K1" s="14" t="inlineStr">
        <is>
          <t>itm_bucket</t>
        </is>
      </c>
      <c r="L1" s="14" t="inlineStr">
        <is>
          <t>q_lapse_annual</t>
        </is>
      </c>
      <c r="M1" s="14" t="inlineStr">
        <is>
          <t>q_lapse_monthly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5" t="n">
        <v>3</v>
      </c>
      <c r="J2" s="20" t="n">
        <v>0.7127873628832213</v>
      </c>
      <c r="K2" s="20" t="n">
        <v>0.5</v>
      </c>
      <c r="L2" s="19" t="n">
        <v>0.64</v>
      </c>
      <c r="M2" s="19">
        <f>1 - (1 - L2)^(1/12)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17" t="n">
        <v>3</v>
      </c>
      <c r="J3" s="22" t="n">
        <v>0.7127873628832213</v>
      </c>
      <c r="K3" s="22" t="n">
        <v>0.5</v>
      </c>
      <c r="L3" s="21" t="n">
        <v>0.64</v>
      </c>
      <c r="M3" s="21">
        <f>1 - (1 - L3)^(1/12)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5" t="n">
        <v>3</v>
      </c>
      <c r="J4" s="20" t="n">
        <v>0.7127873628832213</v>
      </c>
      <c r="K4" s="20" t="n">
        <v>0.5</v>
      </c>
      <c r="L4" s="19" t="n">
        <v>0.64</v>
      </c>
      <c r="M4" s="19">
        <f>1 - (1 - L4)^(1/12)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17" t="n">
        <v>3</v>
      </c>
      <c r="J5" s="22" t="n">
        <v>0.7127873628832213</v>
      </c>
      <c r="K5" s="22" t="n">
        <v>0.5</v>
      </c>
      <c r="L5" s="21" t="n">
        <v>0.64</v>
      </c>
      <c r="M5" s="21">
        <f>1 - (1 - L5)^(1/12)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5" t="n">
        <v>3</v>
      </c>
      <c r="J6" s="20" t="n">
        <v>0.7127873628832213</v>
      </c>
      <c r="K6" s="20" t="n">
        <v>0.5</v>
      </c>
      <c r="L6" s="19" t="n">
        <v>0.64</v>
      </c>
      <c r="M6" s="19">
        <f>1 - (1 - L6)^(1/12)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17" t="n">
        <v>3</v>
      </c>
      <c r="J7" s="22" t="n">
        <v>0.7127873628832213</v>
      </c>
      <c r="K7" s="22" t="n">
        <v>0.5</v>
      </c>
      <c r="L7" s="21" t="n">
        <v>0.64</v>
      </c>
      <c r="M7" s="21">
        <f>1 - (1 - L7)^(1/12)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5" t="n">
        <v>3</v>
      </c>
      <c r="J8" s="20" t="n">
        <v>0.7127873628832213</v>
      </c>
      <c r="K8" s="20" t="n">
        <v>0.5</v>
      </c>
      <c r="L8" s="19" t="n">
        <v>0.64</v>
      </c>
      <c r="M8" s="19">
        <f>1 - (1 - L8)^(1/12)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17" t="n">
        <v>3</v>
      </c>
      <c r="J9" s="22" t="n">
        <v>0.7127873628832213</v>
      </c>
      <c r="K9" s="22" t="n">
        <v>0.5</v>
      </c>
      <c r="L9" s="21" t="n">
        <v>0.64</v>
      </c>
      <c r="M9" s="21">
        <f>1 - (1 - L9)^(1/12)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5" t="n">
        <v>3</v>
      </c>
      <c r="J10" s="20" t="n">
        <v>0.7127873628832213</v>
      </c>
      <c r="K10" s="20" t="n">
        <v>0.5</v>
      </c>
      <c r="L10" s="19" t="n">
        <v>0.64</v>
      </c>
      <c r="M10" s="19">
        <f>1 - (1 - L10)^(1/12)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17" t="n">
        <v>3</v>
      </c>
      <c r="J11" s="22" t="n">
        <v>0.7127873628832213</v>
      </c>
      <c r="K11" s="22" t="n">
        <v>0.5</v>
      </c>
      <c r="L11" s="21" t="n">
        <v>0.64</v>
      </c>
      <c r="M11" s="21">
        <f>1 - (1 - L11)^(1/12)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5" t="n">
        <v>3</v>
      </c>
      <c r="J12" s="20" t="n">
        <v>0.7127873628832213</v>
      </c>
      <c r="K12" s="20" t="n">
        <v>0.5</v>
      </c>
      <c r="L12" s="19" t="n">
        <v>0.64</v>
      </c>
      <c r="M12" s="19">
        <f>1 - (1 - L12)^(1/12)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17" t="n">
        <v>3</v>
      </c>
      <c r="J13" s="22" t="n">
        <v>0.7127873628832213</v>
      </c>
      <c r="K13" s="22" t="n">
        <v>0.5</v>
      </c>
      <c r="L13" s="21" t="n">
        <v>0.64</v>
      </c>
      <c r="M13" s="21">
        <f>1 - (1 - L13)^(1/12)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5" t="n">
        <v>3</v>
      </c>
      <c r="J14" s="20" t="n">
        <v>0.7127873628832213</v>
      </c>
      <c r="K14" s="20" t="n">
        <v>0.5</v>
      </c>
      <c r="L14" s="19" t="n">
        <v>0.64</v>
      </c>
      <c r="M14" s="19">
        <f>1 - (1 - L14)^(1/12)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17" t="n">
        <v>3</v>
      </c>
      <c r="J15" s="22" t="n">
        <v>0.7127873628832213</v>
      </c>
      <c r="K15" s="22" t="n">
        <v>0.5</v>
      </c>
      <c r="L15" s="21" t="n">
        <v>0.64</v>
      </c>
      <c r="M15" s="21">
        <f>1 - (1 - L15)^(1/12)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5" t="n">
        <v>3</v>
      </c>
      <c r="J16" s="20" t="n">
        <v>0.7127873628832213</v>
      </c>
      <c r="K16" s="20" t="n">
        <v>0.5</v>
      </c>
      <c r="L16" s="19" t="n">
        <v>0.64</v>
      </c>
      <c r="M16" s="19">
        <f>1 - (1 - L16)^(1/12)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17" t="n">
        <v>3</v>
      </c>
      <c r="J17" s="22" t="n">
        <v>0.7127873628832213</v>
      </c>
      <c r="K17" s="22" t="n">
        <v>0.5</v>
      </c>
      <c r="L17" s="21" t="n">
        <v>0.64</v>
      </c>
      <c r="M17" s="21">
        <f>1 - (1 - L17)^(1/12)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5" t="n">
        <v>3</v>
      </c>
      <c r="J18" s="20" t="n">
        <v>0.7127873628832213</v>
      </c>
      <c r="K18" s="20" t="n">
        <v>0.5</v>
      </c>
      <c r="L18" s="19" t="n">
        <v>0.64</v>
      </c>
      <c r="M18" s="19">
        <f>1 - (1 - L18)^(1/12)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17" t="n">
        <v>3</v>
      </c>
      <c r="J19" s="22" t="n">
        <v>0.7127873628832213</v>
      </c>
      <c r="K19" s="22" t="n">
        <v>0.5</v>
      </c>
      <c r="L19" s="21" t="n">
        <v>0.64</v>
      </c>
      <c r="M19" s="21">
        <f>1 - (1 - L19)^(1/12)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5" t="n">
        <v>3</v>
      </c>
      <c r="J20" s="20" t="n">
        <v>0.7127873628832213</v>
      </c>
      <c r="K20" s="20" t="n">
        <v>0.5</v>
      </c>
      <c r="L20" s="19" t="n">
        <v>0.64</v>
      </c>
      <c r="M20" s="19">
        <f>1 - (1 - L20)^(1/12)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17" t="n">
        <v>3</v>
      </c>
      <c r="J21" s="22" t="n">
        <v>0.7127873628832213</v>
      </c>
      <c r="K21" s="22" t="n">
        <v>0.5</v>
      </c>
      <c r="L21" s="21" t="n">
        <v>0.64</v>
      </c>
      <c r="M21" s="21">
        <f>1 - (1 - L21)^(1/12)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5" t="n">
        <v>3</v>
      </c>
      <c r="J22" s="20" t="n">
        <v>0.7127873628832213</v>
      </c>
      <c r="K22" s="20" t="n">
        <v>0.5</v>
      </c>
      <c r="L22" s="19" t="n">
        <v>0.64</v>
      </c>
      <c r="M22" s="19">
        <f>1 - (1 - L22)^(1/12)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17" t="n">
        <v>3</v>
      </c>
      <c r="J23" s="22" t="n">
        <v>0.7127873628832213</v>
      </c>
      <c r="K23" s="22" t="n">
        <v>0.5</v>
      </c>
      <c r="L23" s="21" t="n">
        <v>0.64</v>
      </c>
      <c r="M23" s="21">
        <f>1 - (1 - L23)^(1/12)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5" t="n">
        <v>3</v>
      </c>
      <c r="J24" s="20" t="n">
        <v>0.7127873628832213</v>
      </c>
      <c r="K24" s="20" t="n">
        <v>0.5</v>
      </c>
      <c r="L24" s="19" t="n">
        <v>0.64</v>
      </c>
      <c r="M24" s="19">
        <f>1 - (1 - L24)^(1/12)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17" t="n">
        <v>3</v>
      </c>
      <c r="J25" s="22" t="n">
        <v>0.7127873628832213</v>
      </c>
      <c r="K25" s="22" t="n">
        <v>0.5</v>
      </c>
      <c r="L25" s="21" t="n">
        <v>0.64</v>
      </c>
      <c r="M25" s="21">
        <f>1 - (1 - L25)^(1/12)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5" t="n">
        <v>3</v>
      </c>
      <c r="J26" s="20" t="n">
        <v>0.7127873628832213</v>
      </c>
      <c r="K26" s="20" t="n">
        <v>0.5</v>
      </c>
      <c r="L26" s="19" t="n">
        <v>0.64</v>
      </c>
      <c r="M26" s="19">
        <f>1 - (1 - L26)^(1/12)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17" t="n">
        <v>3</v>
      </c>
      <c r="J27" s="22" t="n">
        <v>0.7127873628832213</v>
      </c>
      <c r="K27" s="22" t="n">
        <v>0.5</v>
      </c>
      <c r="L27" s="21" t="n">
        <v>0.64</v>
      </c>
      <c r="M27" s="21">
        <f>1 - (1 - L27)^(1/12)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5" t="n">
        <v>3</v>
      </c>
      <c r="J28" s="20" t="n">
        <v>0.7127873628832213</v>
      </c>
      <c r="K28" s="20" t="n">
        <v>0.5</v>
      </c>
      <c r="L28" s="19" t="n">
        <v>0.64</v>
      </c>
      <c r="M28" s="19">
        <f>1 - (1 - L28)^(1/12)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17" t="n">
        <v>3</v>
      </c>
      <c r="J29" s="22" t="n">
        <v>0.7127873628832213</v>
      </c>
      <c r="K29" s="22" t="n">
        <v>0.5</v>
      </c>
      <c r="L29" s="21" t="n">
        <v>0.64</v>
      </c>
      <c r="M29" s="21">
        <f>1 - (1 - L29)^(1/12)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5" t="n">
        <v>3</v>
      </c>
      <c r="J30" s="20" t="n">
        <v>0.7127873628832213</v>
      </c>
      <c r="K30" s="20" t="n">
        <v>0.5</v>
      </c>
      <c r="L30" s="19" t="n">
        <v>0.64</v>
      </c>
      <c r="M30" s="19">
        <f>1 - (1 - L30)^(1/12)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17" t="n">
        <v>3</v>
      </c>
      <c r="J31" s="22" t="n">
        <v>0.7127873628832213</v>
      </c>
      <c r="K31" s="22" t="n">
        <v>0.5</v>
      </c>
      <c r="L31" s="21" t="n">
        <v>0.64</v>
      </c>
      <c r="M31" s="21">
        <f>1 - (1 - L31)^(1/12)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5" t="n">
        <v>3</v>
      </c>
      <c r="J32" s="20" t="n">
        <v>0.7127873628832213</v>
      </c>
      <c r="K32" s="20" t="n">
        <v>0.5</v>
      </c>
      <c r="L32" s="19" t="n">
        <v>0.64</v>
      </c>
      <c r="M32" s="19">
        <f>1 - (1 - L32)^(1/12)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17" t="n">
        <v>3</v>
      </c>
      <c r="J33" s="22" t="n">
        <v>0.7127873628832213</v>
      </c>
      <c r="K33" s="22" t="n">
        <v>0.5</v>
      </c>
      <c r="L33" s="21" t="n">
        <v>0.64</v>
      </c>
      <c r="M33" s="21">
        <f>1 - (1 - L33)^(1/12)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5" t="n">
        <v>3</v>
      </c>
      <c r="J34" s="20" t="n">
        <v>0.7127873628832213</v>
      </c>
      <c r="K34" s="20" t="n">
        <v>0.5</v>
      </c>
      <c r="L34" s="19" t="n">
        <v>0.64</v>
      </c>
      <c r="M34" s="19">
        <f>1 - (1 - L34)^(1/12)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17" t="n">
        <v>3</v>
      </c>
      <c r="J35" s="22" t="n">
        <v>0.7127873628832213</v>
      </c>
      <c r="K35" s="22" t="n">
        <v>0.5</v>
      </c>
      <c r="L35" s="21" t="n">
        <v>0.64</v>
      </c>
      <c r="M35" s="21">
        <f>1 - (1 - L35)^(1/12)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5" t="n">
        <v>3</v>
      </c>
      <c r="J36" s="20" t="n">
        <v>0.7127873628832213</v>
      </c>
      <c r="K36" s="20" t="n">
        <v>0.5</v>
      </c>
      <c r="L36" s="19" t="n">
        <v>0.64</v>
      </c>
      <c r="M36" s="19">
        <f>1 - (1 - L36)^(1/12)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17" t="n">
        <v>3</v>
      </c>
      <c r="J37" s="22" t="n">
        <v>0.7127873628832213</v>
      </c>
      <c r="K37" s="22" t="n">
        <v>0.5</v>
      </c>
      <c r="L37" s="21" t="n">
        <v>0.64</v>
      </c>
      <c r="M37" s="21">
        <f>1 - (1 - L37)^(1/12)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5" t="n">
        <v>3</v>
      </c>
      <c r="J38" s="20" t="n">
        <v>0.7127873628832213</v>
      </c>
      <c r="K38" s="20" t="n">
        <v>0.5</v>
      </c>
      <c r="L38" s="19" t="n">
        <v>0.64</v>
      </c>
      <c r="M38" s="19">
        <f>1 - (1 - L38)^(1/12)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17" t="n">
        <v>3</v>
      </c>
      <c r="J39" s="22" t="n">
        <v>0.7127873628832213</v>
      </c>
      <c r="K39" s="22" t="n">
        <v>0.5</v>
      </c>
      <c r="L39" s="21" t="n">
        <v>0.64</v>
      </c>
      <c r="M39" s="21">
        <f>1 - (1 - L39)^(1/12)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5" t="n">
        <v>3</v>
      </c>
      <c r="J40" s="20" t="n">
        <v>0.7127873628832213</v>
      </c>
      <c r="K40" s="20" t="n">
        <v>0.5</v>
      </c>
      <c r="L40" s="19" t="n">
        <v>0.64</v>
      </c>
      <c r="M40" s="19">
        <f>1 - (1 - L40)^(1/12)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17" t="n">
        <v>3</v>
      </c>
      <c r="J41" s="22" t="n">
        <v>0.7127873628832213</v>
      </c>
      <c r="K41" s="22" t="n">
        <v>0.5</v>
      </c>
      <c r="L41" s="21" t="n">
        <v>0.64</v>
      </c>
      <c r="M41" s="21">
        <f>1 - (1 - L41)^(1/12)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5" t="n">
        <v>3</v>
      </c>
      <c r="J42" s="20" t="n">
        <v>0.7127873628832213</v>
      </c>
      <c r="K42" s="20" t="n">
        <v>0.5</v>
      </c>
      <c r="L42" s="19" t="n">
        <v>0.64</v>
      </c>
      <c r="M42" s="19">
        <f>1 - (1 - L42)^(1/12)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17" t="n">
        <v>3</v>
      </c>
      <c r="J43" s="22" t="n">
        <v>0.7127873628832213</v>
      </c>
      <c r="K43" s="22" t="n">
        <v>0.5</v>
      </c>
      <c r="L43" s="21" t="n">
        <v>0.64</v>
      </c>
      <c r="M43" s="21">
        <f>1 - (1 - L43)^(1/12)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5" t="n">
        <v>3</v>
      </c>
      <c r="J44" s="20" t="n">
        <v>0.7127873628832213</v>
      </c>
      <c r="K44" s="20" t="n">
        <v>0.5</v>
      </c>
      <c r="L44" s="19" t="n">
        <v>0.64</v>
      </c>
      <c r="M44" s="19">
        <f>1 - (1 - L44)^(1/12)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17" t="n">
        <v>3</v>
      </c>
      <c r="J45" s="22" t="n">
        <v>0.7127873628832213</v>
      </c>
      <c r="K45" s="22" t="n">
        <v>0.5</v>
      </c>
      <c r="L45" s="21" t="n">
        <v>0.64</v>
      </c>
      <c r="M45" s="21">
        <f>1 - (1 - L45)^(1/12)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5" t="n">
        <v>3</v>
      </c>
      <c r="J46" s="20" t="n">
        <v>0.7127873628832213</v>
      </c>
      <c r="K46" s="20" t="n">
        <v>0.5</v>
      </c>
      <c r="L46" s="19" t="n">
        <v>0.64</v>
      </c>
      <c r="M46" s="19">
        <f>1 - (1 - L46)^(1/12)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17" t="n">
        <v>3</v>
      </c>
      <c r="J47" s="22" t="n">
        <v>0.7127873628832213</v>
      </c>
      <c r="K47" s="22" t="n">
        <v>0.5</v>
      </c>
      <c r="L47" s="21" t="n">
        <v>0.64</v>
      </c>
      <c r="M47" s="21">
        <f>1 - (1 - L47)^(1/12)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5" t="n">
        <v>3</v>
      </c>
      <c r="J48" s="20" t="n">
        <v>0.7127873628832213</v>
      </c>
      <c r="K48" s="20" t="n">
        <v>0.5</v>
      </c>
      <c r="L48" s="19" t="n">
        <v>0.64</v>
      </c>
      <c r="M48" s="19">
        <f>1 - (1 - L48)^(1/12)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17" t="n">
        <v>3</v>
      </c>
      <c r="J49" s="22" t="n">
        <v>0.7127873628832213</v>
      </c>
      <c r="K49" s="22" t="n">
        <v>0.5</v>
      </c>
      <c r="L49" s="21" t="n">
        <v>0.64</v>
      </c>
      <c r="M49" s="21">
        <f>1 - (1 - L49)^(1/12)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5" t="n">
        <v>3</v>
      </c>
      <c r="J50" s="20" t="n">
        <v>0.7127873628832213</v>
      </c>
      <c r="K50" s="20" t="n">
        <v>0.5</v>
      </c>
      <c r="L50" s="19" t="n">
        <v>0.64</v>
      </c>
      <c r="M50" s="19">
        <f>1 - (1 - L50)^(1/12)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17" t="n">
        <v>3</v>
      </c>
      <c r="J51" s="22" t="n">
        <v>0.7127873628832213</v>
      </c>
      <c r="K51" s="22" t="n">
        <v>0.5</v>
      </c>
      <c r="L51" s="21" t="n">
        <v>0.64</v>
      </c>
      <c r="M51" s="21">
        <f>1 - (1 - L51)^(1/12)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5" t="n">
        <v>3</v>
      </c>
      <c r="J52" s="20" t="n">
        <v>0.7127873628832213</v>
      </c>
      <c r="K52" s="20" t="n">
        <v>0.5</v>
      </c>
      <c r="L52" s="19" t="n">
        <v>0.64</v>
      </c>
      <c r="M52" s="19">
        <f>1 - (1 - L52)^(1/12)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17" t="n">
        <v>3</v>
      </c>
      <c r="J53" s="22" t="n">
        <v>0.7127873628832213</v>
      </c>
      <c r="K53" s="22" t="n">
        <v>0.5</v>
      </c>
      <c r="L53" s="21" t="n">
        <v>0.64</v>
      </c>
      <c r="M53" s="21">
        <f>1 - (1 - L53)^(1/12)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5" t="n">
        <v>3</v>
      </c>
      <c r="J54" s="20" t="n">
        <v>0.7127873628832213</v>
      </c>
      <c r="K54" s="20" t="n">
        <v>0.5</v>
      </c>
      <c r="L54" s="19" t="n">
        <v>0.64</v>
      </c>
      <c r="M54" s="19">
        <f>1 - (1 - L54)^(1/12)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17" t="n">
        <v>3</v>
      </c>
      <c r="J55" s="22" t="n">
        <v>0.7127873628832213</v>
      </c>
      <c r="K55" s="22" t="n">
        <v>0.5</v>
      </c>
      <c r="L55" s="21" t="n">
        <v>0.64</v>
      </c>
      <c r="M55" s="21">
        <f>1 - (1 - L55)^(1/12)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5" t="n">
        <v>3</v>
      </c>
      <c r="J56" s="20" t="n">
        <v>0.7127873628832213</v>
      </c>
      <c r="K56" s="20" t="n">
        <v>0.5</v>
      </c>
      <c r="L56" s="19" t="n">
        <v>0.64</v>
      </c>
      <c r="M56" s="19">
        <f>1 - (1 - L56)^(1/12)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17" t="n">
        <v>3</v>
      </c>
      <c r="J57" s="22" t="n">
        <v>0.7127873628832213</v>
      </c>
      <c r="K57" s="22" t="n">
        <v>0.5</v>
      </c>
      <c r="L57" s="21" t="n">
        <v>0.64</v>
      </c>
      <c r="M57" s="21">
        <f>1 - (1 - L57)^(1/12)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5" t="n">
        <v>3</v>
      </c>
      <c r="J58" s="20" t="n">
        <v>0.7127873628832213</v>
      </c>
      <c r="K58" s="20" t="n">
        <v>0.5</v>
      </c>
      <c r="L58" s="19" t="n">
        <v>0.64</v>
      </c>
      <c r="M58" s="19">
        <f>1 - (1 - L58)^(1/12)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17" t="n">
        <v>3</v>
      </c>
      <c r="J59" s="22" t="n">
        <v>0.7127873628832213</v>
      </c>
      <c r="K59" s="22" t="n">
        <v>0.5</v>
      </c>
      <c r="L59" s="21" t="n">
        <v>0.64</v>
      </c>
      <c r="M59" s="21">
        <f>1 - (1 - L59)^(1/12)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5" t="n">
        <v>3</v>
      </c>
      <c r="J60" s="20" t="n">
        <v>0.7127873628832213</v>
      </c>
      <c r="K60" s="20" t="n">
        <v>0.5</v>
      </c>
      <c r="L60" s="19" t="n">
        <v>0.64</v>
      </c>
      <c r="M60" s="19">
        <f>1 - (1 - L60)^(1/12)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17" t="n">
        <v>3</v>
      </c>
      <c r="J61" s="22" t="n">
        <v>0.7127873628832213</v>
      </c>
      <c r="K61" s="22" t="n">
        <v>0.5</v>
      </c>
      <c r="L61" s="21" t="n">
        <v>0.64</v>
      </c>
      <c r="M61" s="21">
        <f>1 - (1 - L61)^(1/12)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5" t="n">
        <v>3</v>
      </c>
      <c r="J62" s="20" t="n">
        <v>0.7127873628832213</v>
      </c>
      <c r="K62" s="20" t="n">
        <v>0.5</v>
      </c>
      <c r="L62" s="19" t="n">
        <v>0.64</v>
      </c>
      <c r="M62" s="19">
        <f>1 - (1 - L62)^(1/12)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17" t="n">
        <v>3</v>
      </c>
      <c r="J63" s="22" t="n">
        <v>0.7127873628832213</v>
      </c>
      <c r="K63" s="22" t="n">
        <v>0.5</v>
      </c>
      <c r="L63" s="21" t="n">
        <v>0.64</v>
      </c>
      <c r="M63" s="21">
        <f>1 - (1 - L63)^(1/12)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5" t="n">
        <v>3</v>
      </c>
      <c r="J64" s="20" t="n">
        <v>0.7127873628832213</v>
      </c>
      <c r="K64" s="20" t="n">
        <v>0.5</v>
      </c>
      <c r="L64" s="19" t="n">
        <v>0.64</v>
      </c>
      <c r="M64" s="19">
        <f>1 - (1 - L64)^(1/12)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17" t="n">
        <v>3</v>
      </c>
      <c r="J65" s="22" t="n">
        <v>0.7127873628832213</v>
      </c>
      <c r="K65" s="22" t="n">
        <v>0.5</v>
      </c>
      <c r="L65" s="21" t="n">
        <v>0.64</v>
      </c>
      <c r="M65" s="21">
        <f>1 - (1 - L65)^(1/12)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5" t="n">
        <v>3</v>
      </c>
      <c r="J66" s="20" t="n">
        <v>0.7127873628832213</v>
      </c>
      <c r="K66" s="20" t="n">
        <v>0.5</v>
      </c>
      <c r="L66" s="19" t="n">
        <v>0.64</v>
      </c>
      <c r="M66" s="19">
        <f>1 - (1 - L66)^(1/12)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17" t="n">
        <v>3</v>
      </c>
      <c r="J67" s="22" t="n">
        <v>0.7127873628832213</v>
      </c>
      <c r="K67" s="22" t="n">
        <v>0.5</v>
      </c>
      <c r="L67" s="21" t="n">
        <v>0.64</v>
      </c>
      <c r="M67" s="21">
        <f>1 - (1 - L67)^(1/12)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5" t="n">
        <v>3</v>
      </c>
      <c r="J68" s="20" t="n">
        <v>0.7127873628832213</v>
      </c>
      <c r="K68" s="20" t="n">
        <v>0.5</v>
      </c>
      <c r="L68" s="19" t="n">
        <v>0.64</v>
      </c>
      <c r="M68" s="19">
        <f>1 - (1 - L68)^(1/12)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17" t="n">
        <v>3</v>
      </c>
      <c r="J69" s="22" t="n">
        <v>0.7127873628832213</v>
      </c>
      <c r="K69" s="22" t="n">
        <v>0.5</v>
      </c>
      <c r="L69" s="21" t="n">
        <v>0.64</v>
      </c>
      <c r="M69" s="21">
        <f>1 - (1 - L69)^(1/12)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5" t="n">
        <v>3</v>
      </c>
      <c r="J70" s="20" t="n">
        <v>0.7127873628832213</v>
      </c>
      <c r="K70" s="20" t="n">
        <v>0.5</v>
      </c>
      <c r="L70" s="19" t="n">
        <v>0.64</v>
      </c>
      <c r="M70" s="19">
        <f>1 - (1 - L70)^(1/12)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17" t="n">
        <v>3</v>
      </c>
      <c r="J71" s="22" t="n">
        <v>0.7127873628832213</v>
      </c>
      <c r="K71" s="22" t="n">
        <v>0.5</v>
      </c>
      <c r="L71" s="21" t="n">
        <v>0.64</v>
      </c>
      <c r="M71" s="21">
        <f>1 - (1 - L71)^(1/12)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5" t="n">
        <v>3</v>
      </c>
      <c r="J72" s="20" t="n">
        <v>0.7127873628832213</v>
      </c>
      <c r="K72" s="20" t="n">
        <v>0.5</v>
      </c>
      <c r="L72" s="19" t="n">
        <v>0.64</v>
      </c>
      <c r="M72" s="19">
        <f>1 - (1 - L72)^(1/12)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17" t="n">
        <v>3</v>
      </c>
      <c r="J73" s="22" t="n">
        <v>0.7127873628832213</v>
      </c>
      <c r="K73" s="22" t="n">
        <v>0.5</v>
      </c>
      <c r="L73" s="21" t="n">
        <v>0.64</v>
      </c>
      <c r="M73" s="21">
        <f>1 - (1 - L73)^(1/12)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5" t="n">
        <v>3</v>
      </c>
      <c r="J74" s="20" t="n">
        <v>0.7127873628832213</v>
      </c>
      <c r="K74" s="20" t="n">
        <v>0.5</v>
      </c>
      <c r="L74" s="19" t="n">
        <v>0.64</v>
      </c>
      <c r="M74" s="19">
        <f>1 - (1 - L74)^(1/12)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17" t="n">
        <v>3</v>
      </c>
      <c r="J75" s="22" t="n">
        <v>0.7127873628832213</v>
      </c>
      <c r="K75" s="22" t="n">
        <v>0.5</v>
      </c>
      <c r="L75" s="21" t="n">
        <v>0.64</v>
      </c>
      <c r="M75" s="21">
        <f>1 - (1 - L75)^(1/12)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5" t="n">
        <v>3</v>
      </c>
      <c r="J76" s="20" t="n">
        <v>0.7127873628832213</v>
      </c>
      <c r="K76" s="20" t="n">
        <v>0.5</v>
      </c>
      <c r="L76" s="19" t="n">
        <v>0.64</v>
      </c>
      <c r="M76" s="19">
        <f>1 - (1 - L76)^(1/12)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17" t="n">
        <v>3</v>
      </c>
      <c r="J77" s="22" t="n">
        <v>0.7127873628832213</v>
      </c>
      <c r="K77" s="22" t="n">
        <v>0.5</v>
      </c>
      <c r="L77" s="21" t="n">
        <v>0.64</v>
      </c>
      <c r="M77" s="21">
        <f>1 - (1 - L77)^(1/12)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5" t="n">
        <v>3</v>
      </c>
      <c r="J78" s="20" t="n">
        <v>0.7127873628832213</v>
      </c>
      <c r="K78" s="20" t="n">
        <v>0.5</v>
      </c>
      <c r="L78" s="19" t="n">
        <v>0.64</v>
      </c>
      <c r="M78" s="19">
        <f>1 - (1 - L78)^(1/12)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17" t="n">
        <v>3</v>
      </c>
      <c r="J79" s="22" t="n">
        <v>0.7127873628832213</v>
      </c>
      <c r="K79" s="22" t="n">
        <v>0.5</v>
      </c>
      <c r="L79" s="21" t="n">
        <v>0.64</v>
      </c>
      <c r="M79" s="21">
        <f>1 - (1 - L79)^(1/12)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5" t="n">
        <v>3</v>
      </c>
      <c r="J80" s="20" t="n">
        <v>0.7127873628832213</v>
      </c>
      <c r="K80" s="20" t="n">
        <v>0.5</v>
      </c>
      <c r="L80" s="19" t="n">
        <v>0.64</v>
      </c>
      <c r="M80" s="19">
        <f>1 - (1 - L80)^(1/12)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17" t="n">
        <v>3</v>
      </c>
      <c r="J81" s="22" t="n">
        <v>0.7127873628832213</v>
      </c>
      <c r="K81" s="22" t="n">
        <v>0.5</v>
      </c>
      <c r="L81" s="21" t="n">
        <v>0.64</v>
      </c>
      <c r="M81" s="21">
        <f>1 - (1 - L81)^(1/12)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5" t="n">
        <v>3</v>
      </c>
      <c r="J82" s="20" t="n">
        <v>0.7127873628832213</v>
      </c>
      <c r="K82" s="20" t="n">
        <v>0.5</v>
      </c>
      <c r="L82" s="19" t="n">
        <v>0.64</v>
      </c>
      <c r="M82" s="19">
        <f>1 - (1 - L82)^(1/12)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17" t="n">
        <v>3</v>
      </c>
      <c r="J83" s="22" t="n">
        <v>0.7127873628832213</v>
      </c>
      <c r="K83" s="22" t="n">
        <v>0.5</v>
      </c>
      <c r="L83" s="21" t="n">
        <v>0.64</v>
      </c>
      <c r="M83" s="21">
        <f>1 - (1 - L83)^(1/12)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5" t="n">
        <v>3</v>
      </c>
      <c r="J84" s="20" t="n">
        <v>0.7127873628832213</v>
      </c>
      <c r="K84" s="20" t="n">
        <v>0.5</v>
      </c>
      <c r="L84" s="19" t="n">
        <v>0.64</v>
      </c>
      <c r="M84" s="19">
        <f>1 - (1 - L84)^(1/12)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17" t="n">
        <v>3</v>
      </c>
      <c r="J85" s="22" t="n">
        <v>0.7127873628832213</v>
      </c>
      <c r="K85" s="22" t="n">
        <v>0.5</v>
      </c>
      <c r="L85" s="21" t="n">
        <v>0.64</v>
      </c>
      <c r="M85" s="21">
        <f>1 - (1 - L85)^(1/12)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5" t="n">
        <v>3</v>
      </c>
      <c r="J86" s="20" t="n">
        <v>0.7127873628832213</v>
      </c>
      <c r="K86" s="20" t="n">
        <v>0.5</v>
      </c>
      <c r="L86" s="19" t="n">
        <v>0.64</v>
      </c>
      <c r="M86" s="19">
        <f>1 - (1 - L86)^(1/12)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17" t="n">
        <v>3</v>
      </c>
      <c r="J87" s="22" t="n">
        <v>0.7127873628832213</v>
      </c>
      <c r="K87" s="22" t="n">
        <v>0.5</v>
      </c>
      <c r="L87" s="21" t="n">
        <v>0.64</v>
      </c>
      <c r="M87" s="21">
        <f>1 - (1 - L87)^(1/12)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5" t="n">
        <v>3</v>
      </c>
      <c r="J88" s="20" t="n">
        <v>0.7127873628832213</v>
      </c>
      <c r="K88" s="20" t="n">
        <v>0.5</v>
      </c>
      <c r="L88" s="19" t="n">
        <v>0.64</v>
      </c>
      <c r="M88" s="19">
        <f>1 - (1 - L88)^(1/12)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17" t="n">
        <v>3</v>
      </c>
      <c r="J89" s="22" t="n">
        <v>0.7127873628832213</v>
      </c>
      <c r="K89" s="22" t="n">
        <v>0.5</v>
      </c>
      <c r="L89" s="21" t="n">
        <v>0.64</v>
      </c>
      <c r="M89" s="21">
        <f>1 - (1 - L89)^(1/12)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5" t="n">
        <v>3</v>
      </c>
      <c r="J90" s="20" t="n">
        <v>0.7127873628832213</v>
      </c>
      <c r="K90" s="20" t="n">
        <v>0.5</v>
      </c>
      <c r="L90" s="19" t="n">
        <v>0.64</v>
      </c>
      <c r="M90" s="19">
        <f>1 - (1 - L90)^(1/12)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17" t="n">
        <v>3</v>
      </c>
      <c r="J91" s="22" t="n">
        <v>0.7127873628832213</v>
      </c>
      <c r="K91" s="22" t="n">
        <v>0.5</v>
      </c>
      <c r="L91" s="21" t="n">
        <v>0.64</v>
      </c>
      <c r="M91" s="21">
        <f>1 - (1 - L91)^(1/12)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5" t="n">
        <v>3</v>
      </c>
      <c r="J92" s="20" t="n">
        <v>0.7127873628832213</v>
      </c>
      <c r="K92" s="20" t="n">
        <v>0.5</v>
      </c>
      <c r="L92" s="19" t="n">
        <v>0.64</v>
      </c>
      <c r="M92" s="19">
        <f>1 - (1 - L92)^(1/12)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17" t="n">
        <v>3</v>
      </c>
      <c r="J93" s="22" t="n">
        <v>0.7127873628832213</v>
      </c>
      <c r="K93" s="22" t="n">
        <v>0.5</v>
      </c>
      <c r="L93" s="21" t="n">
        <v>0.64</v>
      </c>
      <c r="M93" s="21">
        <f>1 - (1 - L93)^(1/12)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5" t="n">
        <v>3</v>
      </c>
      <c r="J94" s="20" t="n">
        <v>0.7127873628832213</v>
      </c>
      <c r="K94" s="20" t="n">
        <v>0.5</v>
      </c>
      <c r="L94" s="19" t="n">
        <v>0.64</v>
      </c>
      <c r="M94" s="19">
        <f>1 - (1 - L94)^(1/12)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17" t="n">
        <v>3</v>
      </c>
      <c r="J95" s="22" t="n">
        <v>0.7127873628832213</v>
      </c>
      <c r="K95" s="22" t="n">
        <v>0.5</v>
      </c>
      <c r="L95" s="21" t="n">
        <v>0.64</v>
      </c>
      <c r="M95" s="21">
        <f>1 - (1 - L95)^(1/12)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5" t="n">
        <v>3</v>
      </c>
      <c r="J96" s="20" t="n">
        <v>0.7127873628832213</v>
      </c>
      <c r="K96" s="20" t="n">
        <v>0.5</v>
      </c>
      <c r="L96" s="19" t="n">
        <v>0.64</v>
      </c>
      <c r="M96" s="19">
        <f>1 - (1 - L96)^(1/12)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17" t="n">
        <v>3</v>
      </c>
      <c r="J97" s="22" t="n">
        <v>0.7127873628832213</v>
      </c>
      <c r="K97" s="22" t="n">
        <v>0.5</v>
      </c>
      <c r="L97" s="21" t="n">
        <v>0.64</v>
      </c>
      <c r="M97" s="21">
        <f>1 - (1 - L97)^(1/12)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5" t="n">
        <v>3</v>
      </c>
      <c r="J98" s="20" t="n">
        <v>0.7127873628832213</v>
      </c>
      <c r="K98" s="20" t="n">
        <v>0.5</v>
      </c>
      <c r="L98" s="19" t="n">
        <v>0.64</v>
      </c>
      <c r="M98" s="19">
        <f>1 - (1 - L98)^(1/12)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17" t="n">
        <v>3</v>
      </c>
      <c r="J99" s="22" t="n">
        <v>0.7127873628832213</v>
      </c>
      <c r="K99" s="22" t="n">
        <v>0.5</v>
      </c>
      <c r="L99" s="21" t="n">
        <v>0.64</v>
      </c>
      <c r="M99" s="21">
        <f>1 - (1 - L99)^(1/12)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5" t="n">
        <v>3</v>
      </c>
      <c r="J100" s="20" t="n">
        <v>0.7127873628832213</v>
      </c>
      <c r="K100" s="20" t="n">
        <v>0.5</v>
      </c>
      <c r="L100" s="19" t="n">
        <v>0.64</v>
      </c>
      <c r="M100" s="19">
        <f>1 - (1 - L100)^(1/12)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17" t="n">
        <v>3</v>
      </c>
      <c r="J101" s="22" t="n">
        <v>0.7127873628832213</v>
      </c>
      <c r="K101" s="22" t="n">
        <v>0.5</v>
      </c>
      <c r="L101" s="21" t="n">
        <v>0.64</v>
      </c>
      <c r="M101" s="21">
        <f>1 - (1 - L101)^(1/12)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5" t="n">
        <v>3</v>
      </c>
      <c r="J102" s="20" t="n">
        <v>0.7127873628832213</v>
      </c>
      <c r="K102" s="20" t="n">
        <v>0.5</v>
      </c>
      <c r="L102" s="19" t="n">
        <v>0.64</v>
      </c>
      <c r="M102" s="19">
        <f>1 - (1 - L102)^(1/12)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17" t="n">
        <v>3</v>
      </c>
      <c r="J103" s="22" t="n">
        <v>0.7127873628832213</v>
      </c>
      <c r="K103" s="22" t="n">
        <v>0.5</v>
      </c>
      <c r="L103" s="21" t="n">
        <v>0.64</v>
      </c>
      <c r="M103" s="21">
        <f>1 - (1 - L103)^(1/12)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5" t="n">
        <v>3</v>
      </c>
      <c r="J104" s="20" t="n">
        <v>0.7127873628832213</v>
      </c>
      <c r="K104" s="20" t="n">
        <v>0.5</v>
      </c>
      <c r="L104" s="19" t="n">
        <v>0.64</v>
      </c>
      <c r="M104" s="19">
        <f>1 - (1 - L104)^(1/12)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17" t="n">
        <v>3</v>
      </c>
      <c r="J105" s="22" t="n">
        <v>0.7127873628832213</v>
      </c>
      <c r="K105" s="22" t="n">
        <v>0.5</v>
      </c>
      <c r="L105" s="21" t="n">
        <v>0.64</v>
      </c>
      <c r="M105" s="21">
        <f>1 - (1 - L105)^(1/12)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5" t="n">
        <v>3</v>
      </c>
      <c r="J106" s="20" t="n">
        <v>0.7127873628832213</v>
      </c>
      <c r="K106" s="20" t="n">
        <v>0.5</v>
      </c>
      <c r="L106" s="19" t="n">
        <v>0.64</v>
      </c>
      <c r="M106" s="19">
        <f>1 - (1 - L106)^(1/12)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17" t="n">
        <v>3</v>
      </c>
      <c r="J107" s="22" t="n">
        <v>0.7127873628832213</v>
      </c>
      <c r="K107" s="22" t="n">
        <v>0.5</v>
      </c>
      <c r="L107" s="21" t="n">
        <v>0.64</v>
      </c>
      <c r="M107" s="21">
        <f>1 - (1 - L107)^(1/12)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5" t="n">
        <v>3</v>
      </c>
      <c r="J108" s="20" t="n">
        <v>0.7127873628832213</v>
      </c>
      <c r="K108" s="20" t="n">
        <v>0.5</v>
      </c>
      <c r="L108" s="19" t="n">
        <v>0.64</v>
      </c>
      <c r="M108" s="19">
        <f>1 - (1 - L108)^(1/12)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17" t="n">
        <v>3</v>
      </c>
      <c r="J109" s="22" t="n">
        <v>0.7127873628832213</v>
      </c>
      <c r="K109" s="22" t="n">
        <v>0.5</v>
      </c>
      <c r="L109" s="21" t="n">
        <v>0.64</v>
      </c>
      <c r="M109" s="21">
        <f>1 - (1 - L109)^(1/12)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5" t="n">
        <v>3</v>
      </c>
      <c r="J110" s="20" t="n">
        <v>0.7127873628832213</v>
      </c>
      <c r="K110" s="20" t="n">
        <v>0.5</v>
      </c>
      <c r="L110" s="19" t="n">
        <v>0.64</v>
      </c>
      <c r="M110" s="19">
        <f>1 - (1 - L110)^(1/12)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17" t="n">
        <v>3</v>
      </c>
      <c r="J111" s="22" t="n">
        <v>0.7127873628832213</v>
      </c>
      <c r="K111" s="22" t="n">
        <v>0.5</v>
      </c>
      <c r="L111" s="21" t="n">
        <v>0.64</v>
      </c>
      <c r="M111" s="21">
        <f>1 - (1 - L111)^(1/12)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5" t="n">
        <v>3</v>
      </c>
      <c r="J112" s="20" t="n">
        <v>0.7127873628832213</v>
      </c>
      <c r="K112" s="20" t="n">
        <v>0.5</v>
      </c>
      <c r="L112" s="19" t="n">
        <v>0.64</v>
      </c>
      <c r="M112" s="19">
        <f>1 - (1 - L112)^(1/12)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17" t="n">
        <v>3</v>
      </c>
      <c r="J113" s="22" t="n">
        <v>0.7127873628832213</v>
      </c>
      <c r="K113" s="22" t="n">
        <v>0.5</v>
      </c>
      <c r="L113" s="21" t="n">
        <v>0.64</v>
      </c>
      <c r="M113" s="21">
        <f>1 - (1 - L113)^(1/12)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5" t="n">
        <v>3</v>
      </c>
      <c r="J114" s="20" t="n">
        <v>0.7127873628832213</v>
      </c>
      <c r="K114" s="20" t="n">
        <v>0.5</v>
      </c>
      <c r="L114" s="19" t="n">
        <v>0.64</v>
      </c>
      <c r="M114" s="19">
        <f>1 - (1 - L114)^(1/12)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17" t="n">
        <v>3</v>
      </c>
      <c r="J115" s="22" t="n">
        <v>0.7127873628832213</v>
      </c>
      <c r="K115" s="22" t="n">
        <v>0.5</v>
      </c>
      <c r="L115" s="21" t="n">
        <v>0.64</v>
      </c>
      <c r="M115" s="21">
        <f>1 - (1 - L115)^(1/12)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5" t="n">
        <v>3</v>
      </c>
      <c r="J116" s="20" t="n">
        <v>0.7127873628832213</v>
      </c>
      <c r="K116" s="20" t="n">
        <v>0.5</v>
      </c>
      <c r="L116" s="19" t="n">
        <v>0.64</v>
      </c>
      <c r="M116" s="19">
        <f>1 - (1 - L116)^(1/12)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17" t="n">
        <v>3</v>
      </c>
      <c r="J117" s="22" t="n">
        <v>0.7127873628832213</v>
      </c>
      <c r="K117" s="22" t="n">
        <v>0.5</v>
      </c>
      <c r="L117" s="21" t="n">
        <v>0.64</v>
      </c>
      <c r="M117" s="21">
        <f>1 - (1 - L117)^(1/12)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5" t="n">
        <v>3</v>
      </c>
      <c r="J118" s="20" t="n">
        <v>0.7127873628832213</v>
      </c>
      <c r="K118" s="20" t="n">
        <v>0.5</v>
      </c>
      <c r="L118" s="19" t="n">
        <v>0.64</v>
      </c>
      <c r="M118" s="19">
        <f>1 - (1 - L118)^(1/12)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17" t="n">
        <v>3</v>
      </c>
      <c r="J119" s="22" t="n">
        <v>0.7127873628832213</v>
      </c>
      <c r="K119" s="22" t="n">
        <v>0.5</v>
      </c>
      <c r="L119" s="21" t="n">
        <v>0.64</v>
      </c>
      <c r="M119" s="21">
        <f>1 - (1 - L119)^(1/12)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5" t="n">
        <v>3</v>
      </c>
      <c r="J120" s="20" t="n">
        <v>0.7127873628832213</v>
      </c>
      <c r="K120" s="20" t="n">
        <v>0.5</v>
      </c>
      <c r="L120" s="19" t="n">
        <v>0.64</v>
      </c>
      <c r="M120" s="19">
        <f>1 - (1 - L120)^(1/12)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17" t="n">
        <v>3</v>
      </c>
      <c r="J121" s="22" t="n">
        <v>0.7127873628832213</v>
      </c>
      <c r="K121" s="22" t="n">
        <v>0.5</v>
      </c>
      <c r="L121" s="21" t="n">
        <v>0.64</v>
      </c>
      <c r="M121" s="21">
        <f>1 - (1 - L121)^(1/12)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5" t="n">
        <v>3</v>
      </c>
      <c r="J122" s="20" t="n">
        <v>0.7127873628832213</v>
      </c>
      <c r="K122" s="20" t="n">
        <v>0.5</v>
      </c>
      <c r="L122" s="19" t="n">
        <v>0.64</v>
      </c>
      <c r="M122" s="19">
        <f>1 - (1 - L122)^(1/12)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17" t="n">
        <v>3</v>
      </c>
      <c r="J123" s="22" t="n">
        <v>0.7127873628832213</v>
      </c>
      <c r="K123" s="22" t="n">
        <v>0.5</v>
      </c>
      <c r="L123" s="21" t="n">
        <v>0.64</v>
      </c>
      <c r="M123" s="21">
        <f>1 - (1 - L123)^(1/12)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5" t="n">
        <v>3</v>
      </c>
      <c r="J124" s="20" t="n">
        <v>0.7127873628832213</v>
      </c>
      <c r="K124" s="20" t="n">
        <v>0.5</v>
      </c>
      <c r="L124" s="19" t="n">
        <v>0.64</v>
      </c>
      <c r="M124" s="19">
        <f>1 - (1 - L124)^(1/12)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17" t="n">
        <v>3</v>
      </c>
      <c r="J125" s="22" t="n">
        <v>0.7127873628832213</v>
      </c>
      <c r="K125" s="22" t="n">
        <v>0.5</v>
      </c>
      <c r="L125" s="21" t="n">
        <v>0.64</v>
      </c>
      <c r="M125" s="21">
        <f>1 - (1 - L125)^(1/12)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5" t="n">
        <v>3</v>
      </c>
      <c r="J126" s="20" t="n">
        <v>0.7127873628832213</v>
      </c>
      <c r="K126" s="20" t="n">
        <v>0.5</v>
      </c>
      <c r="L126" s="19" t="n">
        <v>0.64</v>
      </c>
      <c r="M126" s="19">
        <f>1 - (1 - L126)^(1/12)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17" t="n">
        <v>3</v>
      </c>
      <c r="J127" s="22" t="n">
        <v>0.7127873628832213</v>
      </c>
      <c r="K127" s="22" t="n">
        <v>0.5</v>
      </c>
      <c r="L127" s="21" t="n">
        <v>0.64</v>
      </c>
      <c r="M127" s="21">
        <f>1 - (1 - L127)^(1/12)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5" t="n">
        <v>3</v>
      </c>
      <c r="J128" s="20" t="n">
        <v>0.7127873628832213</v>
      </c>
      <c r="K128" s="20" t="n">
        <v>0.5</v>
      </c>
      <c r="L128" s="19" t="n">
        <v>0.64</v>
      </c>
      <c r="M128" s="19">
        <f>1 - (1 - L128)^(1/12)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17" t="n">
        <v>3</v>
      </c>
      <c r="J129" s="22" t="n">
        <v>0.7127873628832213</v>
      </c>
      <c r="K129" s="22" t="n">
        <v>0.5</v>
      </c>
      <c r="L129" s="21" t="n">
        <v>0.64</v>
      </c>
      <c r="M129" s="21">
        <f>1 - (1 - L129)^(1/12)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5" t="n">
        <v>3</v>
      </c>
      <c r="J130" s="20" t="n">
        <v>0.7127873628832213</v>
      </c>
      <c r="K130" s="20" t="n">
        <v>0.5</v>
      </c>
      <c r="L130" s="19" t="n">
        <v>0.64</v>
      </c>
      <c r="M130" s="19">
        <f>1 - (1 - L130)^(1/12)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17" t="n">
        <v>3</v>
      </c>
      <c r="J131" s="22" t="n">
        <v>0.7127873628832213</v>
      </c>
      <c r="K131" s="22" t="n">
        <v>0.5</v>
      </c>
      <c r="L131" s="21" t="n">
        <v>0.64</v>
      </c>
      <c r="M131" s="21">
        <f>1 - (1 - L131)^(1/12)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5" t="n">
        <v>3</v>
      </c>
      <c r="J132" s="20" t="n">
        <v>0.7127873628832213</v>
      </c>
      <c r="K132" s="20" t="n">
        <v>0.5</v>
      </c>
      <c r="L132" s="19" t="n">
        <v>0.64</v>
      </c>
      <c r="M132" s="19">
        <f>1 - (1 - L132)^(1/12)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17" t="n">
        <v>3</v>
      </c>
      <c r="J133" s="22" t="n">
        <v>0.7127873628832213</v>
      </c>
      <c r="K133" s="22" t="n">
        <v>0.5</v>
      </c>
      <c r="L133" s="21" t="n">
        <v>0.64</v>
      </c>
      <c r="M133" s="21">
        <f>1 - (1 - L133)^(1/12)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5" t="n">
        <v>3</v>
      </c>
      <c r="J134" s="20" t="n">
        <v>0.7127873628832213</v>
      </c>
      <c r="K134" s="20" t="n">
        <v>0.5</v>
      </c>
      <c r="L134" s="19" t="n">
        <v>0.64</v>
      </c>
      <c r="M134" s="19">
        <f>1 - (1 - L134)^(1/12)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17" t="n">
        <v>3</v>
      </c>
      <c r="J135" s="22" t="n">
        <v>0.7127873628832213</v>
      </c>
      <c r="K135" s="22" t="n">
        <v>0.5</v>
      </c>
      <c r="L135" s="21" t="n">
        <v>0.64</v>
      </c>
      <c r="M135" s="21">
        <f>1 - (1 - L135)^(1/12)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5" t="n">
        <v>3</v>
      </c>
      <c r="J136" s="20" t="n">
        <v>0.7127873628832213</v>
      </c>
      <c r="K136" s="20" t="n">
        <v>0.5</v>
      </c>
      <c r="L136" s="19" t="n">
        <v>0.64</v>
      </c>
      <c r="M136" s="19">
        <f>1 - (1 - L136)^(1/12)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17" t="n">
        <v>3</v>
      </c>
      <c r="J137" s="22" t="n">
        <v>0.7127873628832213</v>
      </c>
      <c r="K137" s="22" t="n">
        <v>0.5</v>
      </c>
      <c r="L137" s="21" t="n">
        <v>0.64</v>
      </c>
      <c r="M137" s="21">
        <f>1 - (1 - L137)^(1/12)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5" t="n">
        <v>3</v>
      </c>
      <c r="J138" s="20" t="n">
        <v>0.7127873628832213</v>
      </c>
      <c r="K138" s="20" t="n">
        <v>0.5</v>
      </c>
      <c r="L138" s="19" t="n">
        <v>0.64</v>
      </c>
      <c r="M138" s="19">
        <f>1 - (1 - L138)^(1/12)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17" t="n">
        <v>3</v>
      </c>
      <c r="J139" s="22" t="n">
        <v>0.7127873628832213</v>
      </c>
      <c r="K139" s="22" t="n">
        <v>0.5</v>
      </c>
      <c r="L139" s="21" t="n">
        <v>0.64</v>
      </c>
      <c r="M139" s="21">
        <f>1 - (1 - L139)^(1/12)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5" t="n">
        <v>3</v>
      </c>
      <c r="J140" s="20" t="n">
        <v>0.7127873628832213</v>
      </c>
      <c r="K140" s="20" t="n">
        <v>0.5</v>
      </c>
      <c r="L140" s="19" t="n">
        <v>0.64</v>
      </c>
      <c r="M140" s="19">
        <f>1 - (1 - L140)^(1/12)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17" t="n">
        <v>3</v>
      </c>
      <c r="J141" s="22" t="n">
        <v>0.7127873628832213</v>
      </c>
      <c r="K141" s="22" t="n">
        <v>0.5</v>
      </c>
      <c r="L141" s="21" t="n">
        <v>0.64</v>
      </c>
      <c r="M141" s="21">
        <f>1 - (1 - L141)^(1/12)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5" t="n">
        <v>3</v>
      </c>
      <c r="J142" s="20" t="n">
        <v>0.7127873628832213</v>
      </c>
      <c r="K142" s="20" t="n">
        <v>0.5</v>
      </c>
      <c r="L142" s="19" t="n">
        <v>0.64</v>
      </c>
      <c r="M142" s="19">
        <f>1 - (1 - L142)^(1/12)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17" t="n">
        <v>3</v>
      </c>
      <c r="J143" s="22" t="n">
        <v>0.7127873628832213</v>
      </c>
      <c r="K143" s="22" t="n">
        <v>0.5</v>
      </c>
      <c r="L143" s="21" t="n">
        <v>0.64</v>
      </c>
      <c r="M143" s="21">
        <f>1 - (1 - L143)^(1/12)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5" t="n">
        <v>3</v>
      </c>
      <c r="J144" s="20" t="n">
        <v>0.7127873628832213</v>
      </c>
      <c r="K144" s="20" t="n">
        <v>0.5</v>
      </c>
      <c r="L144" s="19" t="n">
        <v>0.64</v>
      </c>
      <c r="M144" s="19">
        <f>1 - (1 - L144)^(1/12)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17" t="n">
        <v>3</v>
      </c>
      <c r="J145" s="22" t="n">
        <v>0.7127873628832213</v>
      </c>
      <c r="K145" s="22" t="n">
        <v>0.5</v>
      </c>
      <c r="L145" s="21" t="n">
        <v>0.64</v>
      </c>
      <c r="M145" s="21">
        <f>1 - (1 - L145)^(1/12)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5" t="n">
        <v>3</v>
      </c>
      <c r="J146" s="20" t="n">
        <v>0.7127873628832213</v>
      </c>
      <c r="K146" s="20" t="n">
        <v>0.5</v>
      </c>
      <c r="L146" s="19" t="n">
        <v>0.64</v>
      </c>
      <c r="M146" s="19">
        <f>1 - (1 - L146)^(1/12)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17" t="n">
        <v>3</v>
      </c>
      <c r="J147" s="22" t="n">
        <v>0.7127873628832213</v>
      </c>
      <c r="K147" s="22" t="n">
        <v>0.5</v>
      </c>
      <c r="L147" s="21" t="n">
        <v>0.64</v>
      </c>
      <c r="M147" s="21">
        <f>1 - (1 - L147)^(1/12)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5" t="n">
        <v>3</v>
      </c>
      <c r="J148" s="20" t="n">
        <v>0.7127873628832213</v>
      </c>
      <c r="K148" s="20" t="n">
        <v>0.5</v>
      </c>
      <c r="L148" s="19" t="n">
        <v>0.64</v>
      </c>
      <c r="M148" s="19">
        <f>1 - (1 - L148)^(1/12)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17" t="n">
        <v>3</v>
      </c>
      <c r="J149" s="22" t="n">
        <v>0.7127873628832213</v>
      </c>
      <c r="K149" s="22" t="n">
        <v>0.5</v>
      </c>
      <c r="L149" s="21" t="n">
        <v>0.64</v>
      </c>
      <c r="M149" s="21">
        <f>1 - (1 - L149)^(1/12)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5" t="n">
        <v>3</v>
      </c>
      <c r="J150" s="20" t="n">
        <v>0.7127873628832213</v>
      </c>
      <c r="K150" s="20" t="n">
        <v>0.5</v>
      </c>
      <c r="L150" s="19" t="n">
        <v>0.64</v>
      </c>
      <c r="M150" s="19">
        <f>1 - (1 - L150)^(1/12)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17" t="n">
        <v>3</v>
      </c>
      <c r="J151" s="22" t="n">
        <v>0.7127873628832213</v>
      </c>
      <c r="K151" s="22" t="n">
        <v>0.5</v>
      </c>
      <c r="L151" s="21" t="n">
        <v>0.64</v>
      </c>
      <c r="M151" s="21">
        <f>1 - (1 - L151)^(1/12)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5" t="n">
        <v>3</v>
      </c>
      <c r="J152" s="20" t="n">
        <v>0.7127873628832213</v>
      </c>
      <c r="K152" s="20" t="n">
        <v>0.5</v>
      </c>
      <c r="L152" s="19" t="n">
        <v>0.64</v>
      </c>
      <c r="M152" s="19">
        <f>1 - (1 - L152)^(1/12)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17" t="n">
        <v>3</v>
      </c>
      <c r="J153" s="22" t="n">
        <v>0.7127873628832213</v>
      </c>
      <c r="K153" s="22" t="n">
        <v>0.5</v>
      </c>
      <c r="L153" s="21" t="n">
        <v>0.64</v>
      </c>
      <c r="M153" s="21">
        <f>1 - (1 - L153)^(1/12)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5" t="n">
        <v>3</v>
      </c>
      <c r="J154" s="20" t="n">
        <v>0.7127873628832213</v>
      </c>
      <c r="K154" s="20" t="n">
        <v>0.5</v>
      </c>
      <c r="L154" s="19" t="n">
        <v>0.64</v>
      </c>
      <c r="M154" s="19">
        <f>1 - (1 - L154)^(1/12)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17" t="n">
        <v>3</v>
      </c>
      <c r="J155" s="22" t="n">
        <v>0.7127873628832213</v>
      </c>
      <c r="K155" s="22" t="n">
        <v>0.5</v>
      </c>
      <c r="L155" s="21" t="n">
        <v>0.64</v>
      </c>
      <c r="M155" s="21">
        <f>1 - (1 - L155)^(1/12)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5" t="n">
        <v>3</v>
      </c>
      <c r="J156" s="20" t="n">
        <v>0.7127873628832213</v>
      </c>
      <c r="K156" s="20" t="n">
        <v>0.5</v>
      </c>
      <c r="L156" s="19" t="n">
        <v>0.64</v>
      </c>
      <c r="M156" s="19">
        <f>1 - (1 - L156)^(1/12)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17" t="n">
        <v>3</v>
      </c>
      <c r="J157" s="22" t="n">
        <v>0.7127873628832213</v>
      </c>
      <c r="K157" s="22" t="n">
        <v>0.5</v>
      </c>
      <c r="L157" s="21" t="n">
        <v>0.64</v>
      </c>
      <c r="M157" s="21">
        <f>1 - (1 - L157)^(1/12)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5" t="n">
        <v>3</v>
      </c>
      <c r="J158" s="20" t="n">
        <v>0.7127873628832213</v>
      </c>
      <c r="K158" s="20" t="n">
        <v>0.5</v>
      </c>
      <c r="L158" s="19" t="n">
        <v>0.64</v>
      </c>
      <c r="M158" s="19">
        <f>1 - (1 - L158)^(1/12)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17" t="n">
        <v>3</v>
      </c>
      <c r="J159" s="22" t="n">
        <v>0.7127873628832213</v>
      </c>
      <c r="K159" s="22" t="n">
        <v>0.5</v>
      </c>
      <c r="L159" s="21" t="n">
        <v>0.64</v>
      </c>
      <c r="M159" s="21">
        <f>1 - (1 - L159)^(1/12)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5" t="n">
        <v>3</v>
      </c>
      <c r="J160" s="20" t="n">
        <v>0.7127873628832213</v>
      </c>
      <c r="K160" s="20" t="n">
        <v>0.5</v>
      </c>
      <c r="L160" s="19" t="n">
        <v>0.64</v>
      </c>
      <c r="M160" s="19">
        <f>1 - (1 - L160)^(1/12)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17" t="n">
        <v>3</v>
      </c>
      <c r="J161" s="22" t="n">
        <v>0.7127873628832213</v>
      </c>
      <c r="K161" s="22" t="n">
        <v>0.5</v>
      </c>
      <c r="L161" s="21" t="n">
        <v>0.64</v>
      </c>
      <c r="M161" s="21">
        <f>1 - (1 - L161)^(1/12)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5" t="n">
        <v>3</v>
      </c>
      <c r="J162" s="20" t="n">
        <v>0.7127873628832213</v>
      </c>
      <c r="K162" s="20" t="n">
        <v>0.5</v>
      </c>
      <c r="L162" s="19" t="n">
        <v>0.64</v>
      </c>
      <c r="M162" s="19">
        <f>1 - (1 - L162)^(1/12)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17" t="n">
        <v>3</v>
      </c>
      <c r="J163" s="22" t="n">
        <v>0.7127873628832213</v>
      </c>
      <c r="K163" s="22" t="n">
        <v>0.5</v>
      </c>
      <c r="L163" s="21" t="n">
        <v>0.64</v>
      </c>
      <c r="M163" s="21">
        <f>1 - (1 - L163)^(1/12)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5" t="n">
        <v>3</v>
      </c>
      <c r="J164" s="20" t="n">
        <v>0.7127873628832213</v>
      </c>
      <c r="K164" s="20" t="n">
        <v>0.5</v>
      </c>
      <c r="L164" s="19" t="n">
        <v>0.64</v>
      </c>
      <c r="M164" s="19">
        <f>1 - (1 - L164)^(1/12)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17" t="n">
        <v>3</v>
      </c>
      <c r="J165" s="22" t="n">
        <v>0.7127873628832213</v>
      </c>
      <c r="K165" s="22" t="n">
        <v>0.5</v>
      </c>
      <c r="L165" s="21" t="n">
        <v>0.64</v>
      </c>
      <c r="M165" s="21">
        <f>1 - (1 - L165)^(1/12)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5" t="n">
        <v>3</v>
      </c>
      <c r="J166" s="20" t="n">
        <v>0.7127873628832213</v>
      </c>
      <c r="K166" s="20" t="n">
        <v>0.5</v>
      </c>
      <c r="L166" s="19" t="n">
        <v>0.64</v>
      </c>
      <c r="M166" s="19">
        <f>1 - (1 - L166)^(1/12)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17" t="n">
        <v>3</v>
      </c>
      <c r="J167" s="22" t="n">
        <v>0.7127873628832213</v>
      </c>
      <c r="K167" s="22" t="n">
        <v>0.5</v>
      </c>
      <c r="L167" s="21" t="n">
        <v>0.64</v>
      </c>
      <c r="M167" s="21">
        <f>1 - (1 - L167)^(1/12)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5" t="n">
        <v>3</v>
      </c>
      <c r="J168" s="20" t="n">
        <v>0.7127873628832213</v>
      </c>
      <c r="K168" s="20" t="n">
        <v>0.5</v>
      </c>
      <c r="L168" s="19" t="n">
        <v>0.64</v>
      </c>
      <c r="M168" s="19">
        <f>1 - (1 - L168)^(1/12)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17" t="n">
        <v>3</v>
      </c>
      <c r="J169" s="22" t="n">
        <v>0.7127873628832213</v>
      </c>
      <c r="K169" s="22" t="n">
        <v>0.5</v>
      </c>
      <c r="L169" s="21" t="n">
        <v>0.64</v>
      </c>
      <c r="M169" s="21">
        <f>1 - (1 - L169)^(1/12)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5" t="n">
        <v>3</v>
      </c>
      <c r="J170" s="20" t="n">
        <v>0.7127873628832213</v>
      </c>
      <c r="K170" s="20" t="n">
        <v>0.5</v>
      </c>
      <c r="L170" s="19" t="n">
        <v>0.64</v>
      </c>
      <c r="M170" s="19">
        <f>1 - (1 - L170)^(1/12)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17" t="n">
        <v>3</v>
      </c>
      <c r="J171" s="22" t="n">
        <v>0.7127873628832213</v>
      </c>
      <c r="K171" s="22" t="n">
        <v>0.5</v>
      </c>
      <c r="L171" s="21" t="n">
        <v>0.64</v>
      </c>
      <c r="M171" s="21">
        <f>1 - (1 - L171)^(1/12)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5" t="n">
        <v>3</v>
      </c>
      <c r="J172" s="20" t="n">
        <v>0.7127873628832213</v>
      </c>
      <c r="K172" s="20" t="n">
        <v>0.5</v>
      </c>
      <c r="L172" s="19" t="n">
        <v>0.64</v>
      </c>
      <c r="M172" s="19">
        <f>1 - (1 - L172)^(1/12)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17" t="n">
        <v>3</v>
      </c>
      <c r="J173" s="22" t="n">
        <v>0.7127873628832213</v>
      </c>
      <c r="K173" s="22" t="n">
        <v>0.5</v>
      </c>
      <c r="L173" s="21" t="n">
        <v>0.64</v>
      </c>
      <c r="M173" s="21">
        <f>1 - (1 - L173)^(1/12)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5" t="n">
        <v>3</v>
      </c>
      <c r="J174" s="20" t="n">
        <v>0.7127873628832213</v>
      </c>
      <c r="K174" s="20" t="n">
        <v>0.5</v>
      </c>
      <c r="L174" s="19" t="n">
        <v>0.64</v>
      </c>
      <c r="M174" s="19">
        <f>1 - (1 - L174)^(1/12)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17" t="n">
        <v>3</v>
      </c>
      <c r="J175" s="22" t="n">
        <v>0.7127873628832213</v>
      </c>
      <c r="K175" s="22" t="n">
        <v>0.5</v>
      </c>
      <c r="L175" s="21" t="n">
        <v>0.64</v>
      </c>
      <c r="M175" s="21">
        <f>1 - (1 - L175)^(1/12)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5" t="n">
        <v>3</v>
      </c>
      <c r="J176" s="20" t="n">
        <v>0.7127873628832213</v>
      </c>
      <c r="K176" s="20" t="n">
        <v>0.5</v>
      </c>
      <c r="L176" s="19" t="n">
        <v>0.64</v>
      </c>
      <c r="M176" s="19">
        <f>1 - (1 - L176)^(1/12)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17" t="n">
        <v>3</v>
      </c>
      <c r="J177" s="22" t="n">
        <v>0.7127873628832213</v>
      </c>
      <c r="K177" s="22" t="n">
        <v>0.5</v>
      </c>
      <c r="L177" s="21" t="n">
        <v>0.64</v>
      </c>
      <c r="M177" s="21">
        <f>1 - (1 - L177)^(1/12)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5" t="n">
        <v>3</v>
      </c>
      <c r="J178" s="20" t="n">
        <v>0.7127873628832213</v>
      </c>
      <c r="K178" s="20" t="n">
        <v>0.5</v>
      </c>
      <c r="L178" s="19" t="n">
        <v>0.64</v>
      </c>
      <c r="M178" s="19">
        <f>1 - (1 - L178)^(1/12)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17" t="n">
        <v>3</v>
      </c>
      <c r="J179" s="22" t="n">
        <v>0.7127873628832213</v>
      </c>
      <c r="K179" s="22" t="n">
        <v>0.5</v>
      </c>
      <c r="L179" s="21" t="n">
        <v>0.64</v>
      </c>
      <c r="M179" s="21">
        <f>1 - (1 - L179)^(1/12)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5" t="n">
        <v>3</v>
      </c>
      <c r="J180" s="20" t="n">
        <v>0.7127873628832213</v>
      </c>
      <c r="K180" s="20" t="n">
        <v>0.5</v>
      </c>
      <c r="L180" s="19" t="n">
        <v>0.64</v>
      </c>
      <c r="M180" s="19">
        <f>1 - (1 - L180)^(1/12)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17" t="n">
        <v>3</v>
      </c>
      <c r="J181" s="22" t="n">
        <v>0.7127873628832213</v>
      </c>
      <c r="K181" s="22" t="n">
        <v>0.5</v>
      </c>
      <c r="L181" s="21" t="n">
        <v>0.64</v>
      </c>
      <c r="M181" s="21">
        <f>1 - (1 - L181)^(1/12)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5" t="n">
        <v>3</v>
      </c>
      <c r="J182" s="20" t="n">
        <v>0.7127873628832213</v>
      </c>
      <c r="K182" s="20" t="n">
        <v>0.5</v>
      </c>
      <c r="L182" s="19" t="n">
        <v>0.64</v>
      </c>
      <c r="M182" s="19">
        <f>1 - (1 - L182)^(1/12)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17" t="n">
        <v>3</v>
      </c>
      <c r="J183" s="22" t="n">
        <v>0.7127873628832213</v>
      </c>
      <c r="K183" s="22" t="n">
        <v>0.5</v>
      </c>
      <c r="L183" s="21" t="n">
        <v>0.64</v>
      </c>
      <c r="M183" s="21">
        <f>1 - (1 - L183)^(1/12)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5" t="n">
        <v>3</v>
      </c>
      <c r="J184" s="20" t="n">
        <v>0.7127873628832213</v>
      </c>
      <c r="K184" s="20" t="n">
        <v>0.5</v>
      </c>
      <c r="L184" s="19" t="n">
        <v>0.64</v>
      </c>
      <c r="M184" s="19">
        <f>1 - (1 - L184)^(1/12)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17" t="n">
        <v>3</v>
      </c>
      <c r="J185" s="22" t="n">
        <v>0.7127873628832213</v>
      </c>
      <c r="K185" s="22" t="n">
        <v>0.5</v>
      </c>
      <c r="L185" s="21" t="n">
        <v>0.64</v>
      </c>
      <c r="M185" s="21">
        <f>1 - (1 - L185)^(1/12)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5" t="n">
        <v>3</v>
      </c>
      <c r="J186" s="20" t="n">
        <v>0.7127873628832213</v>
      </c>
      <c r="K186" s="20" t="n">
        <v>0.5</v>
      </c>
      <c r="L186" s="19" t="n">
        <v>0.64</v>
      </c>
      <c r="M186" s="19">
        <f>1 - (1 - L186)^(1/12)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17" t="n">
        <v>3</v>
      </c>
      <c r="J187" s="22" t="n">
        <v>0.7127873628832213</v>
      </c>
      <c r="K187" s="22" t="n">
        <v>0.5</v>
      </c>
      <c r="L187" s="21" t="n">
        <v>0.64</v>
      </c>
      <c r="M187" s="21">
        <f>1 - (1 - L187)^(1/12)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5" t="n">
        <v>3</v>
      </c>
      <c r="J188" s="20" t="n">
        <v>0.7127873628832213</v>
      </c>
      <c r="K188" s="20" t="n">
        <v>0.5</v>
      </c>
      <c r="L188" s="19" t="n">
        <v>0.64</v>
      </c>
      <c r="M188" s="19">
        <f>1 - (1 - L188)^(1/12)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17" t="n">
        <v>3</v>
      </c>
      <c r="J189" s="22" t="n">
        <v>0.7127873628832213</v>
      </c>
      <c r="K189" s="22" t="n">
        <v>0.5</v>
      </c>
      <c r="L189" s="21" t="n">
        <v>0.64</v>
      </c>
      <c r="M189" s="21">
        <f>1 - (1 - L189)^(1/12)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5" t="n">
        <v>3</v>
      </c>
      <c r="J190" s="20" t="n">
        <v>0.7127873628832213</v>
      </c>
      <c r="K190" s="20" t="n">
        <v>0.5</v>
      </c>
      <c r="L190" s="19" t="n">
        <v>0.64</v>
      </c>
      <c r="M190" s="19">
        <f>1 - (1 - L190)^(1/12)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17" t="n">
        <v>3</v>
      </c>
      <c r="J191" s="22" t="n">
        <v>0.7127873628832213</v>
      </c>
      <c r="K191" s="22" t="n">
        <v>0.5</v>
      </c>
      <c r="L191" s="21" t="n">
        <v>0.64</v>
      </c>
      <c r="M191" s="21">
        <f>1 - (1 - L191)^(1/12)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5" t="n">
        <v>3</v>
      </c>
      <c r="J192" s="20" t="n">
        <v>0.7127873628832213</v>
      </c>
      <c r="K192" s="20" t="n">
        <v>0.5</v>
      </c>
      <c r="L192" s="19" t="n">
        <v>0.64</v>
      </c>
      <c r="M192" s="19">
        <f>1 - (1 - L192)^(1/12)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17" t="n">
        <v>3</v>
      </c>
      <c r="J193" s="22" t="n">
        <v>0.7127873628832213</v>
      </c>
      <c r="K193" s="22" t="n">
        <v>0.5</v>
      </c>
      <c r="L193" s="21" t="n">
        <v>0.64</v>
      </c>
      <c r="M193" s="21">
        <f>1 - (1 - L193)^(1/12)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5" t="n">
        <v>3</v>
      </c>
      <c r="J194" s="20" t="n">
        <v>0.7127873628832213</v>
      </c>
      <c r="K194" s="20" t="n">
        <v>0.5</v>
      </c>
      <c r="L194" s="19" t="n">
        <v>0.64</v>
      </c>
      <c r="M194" s="19">
        <f>1 - (1 - L194)^(1/12)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17" t="n">
        <v>3</v>
      </c>
      <c r="J195" s="22" t="n">
        <v>0.7127873628832213</v>
      </c>
      <c r="K195" s="22" t="n">
        <v>0.5</v>
      </c>
      <c r="L195" s="21" t="n">
        <v>0.64</v>
      </c>
      <c r="M195" s="21">
        <f>1 - (1 - L195)^(1/12)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5" t="n">
        <v>3</v>
      </c>
      <c r="J196" s="20" t="n">
        <v>0.7127873628832213</v>
      </c>
      <c r="K196" s="20" t="n">
        <v>0.5</v>
      </c>
      <c r="L196" s="19" t="n">
        <v>0.64</v>
      </c>
      <c r="M196" s="19">
        <f>1 - (1 - L196)^(1/12)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17" t="n">
        <v>3</v>
      </c>
      <c r="J197" s="22" t="n">
        <v>0.7127873628832213</v>
      </c>
      <c r="K197" s="22" t="n">
        <v>0.5</v>
      </c>
      <c r="L197" s="21" t="n">
        <v>0.64</v>
      </c>
      <c r="M197" s="21">
        <f>1 - (1 - L197)^(1/12)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5" t="n">
        <v>3</v>
      </c>
      <c r="J198" s="20" t="n">
        <v>0.7127873628832213</v>
      </c>
      <c r="K198" s="20" t="n">
        <v>0.5</v>
      </c>
      <c r="L198" s="19" t="n">
        <v>0.64</v>
      </c>
      <c r="M198" s="19">
        <f>1 - (1 - L198)^(1/12)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17" t="n">
        <v>3</v>
      </c>
      <c r="J199" s="22" t="n">
        <v>0.7127873628832213</v>
      </c>
      <c r="K199" s="22" t="n">
        <v>0.5</v>
      </c>
      <c r="L199" s="21" t="n">
        <v>0.64</v>
      </c>
      <c r="M199" s="21">
        <f>1 - (1 - L199)^(1/12)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5" t="n">
        <v>3</v>
      </c>
      <c r="J200" s="20" t="n">
        <v>0.7127873628832213</v>
      </c>
      <c r="K200" s="20" t="n">
        <v>0.5</v>
      </c>
      <c r="L200" s="19" t="n">
        <v>0.64</v>
      </c>
      <c r="M200" s="19">
        <f>1 - (1 - L200)^(1/12)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17" t="n">
        <v>3</v>
      </c>
      <c r="J201" s="22" t="n">
        <v>0.7127873628832213</v>
      </c>
      <c r="K201" s="22" t="n">
        <v>0.5</v>
      </c>
      <c r="L201" s="21" t="n">
        <v>0.64</v>
      </c>
      <c r="M201" s="21">
        <f>1 - (1 - L201)^(1/12)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5" t="n">
        <v>3</v>
      </c>
      <c r="J202" s="20" t="n">
        <v>0.7127873628832213</v>
      </c>
      <c r="K202" s="20" t="n">
        <v>0.5</v>
      </c>
      <c r="L202" s="19" t="n">
        <v>0.64</v>
      </c>
      <c r="M202" s="19">
        <f>1 - (1 - L202)^(1/12)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17" t="n">
        <v>3</v>
      </c>
      <c r="J203" s="22" t="n">
        <v>0.7127873628832213</v>
      </c>
      <c r="K203" s="22" t="n">
        <v>0.5</v>
      </c>
      <c r="L203" s="21" t="n">
        <v>0.64</v>
      </c>
      <c r="M203" s="21">
        <f>1 - (1 - L203)^(1/12)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5" t="n">
        <v>3</v>
      </c>
      <c r="J204" s="20" t="n">
        <v>0.7127873628832213</v>
      </c>
      <c r="K204" s="20" t="n">
        <v>0.5</v>
      </c>
      <c r="L204" s="19" t="n">
        <v>0.64</v>
      </c>
      <c r="M204" s="19">
        <f>1 - (1 - L204)^(1/12)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17" t="n">
        <v>3</v>
      </c>
      <c r="J205" s="22" t="n">
        <v>0.7127873628832213</v>
      </c>
      <c r="K205" s="22" t="n">
        <v>0.5</v>
      </c>
      <c r="L205" s="21" t="n">
        <v>0.64</v>
      </c>
      <c r="M205" s="21">
        <f>1 - (1 - L205)^(1/12)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5" t="n">
        <v>3</v>
      </c>
      <c r="J206" s="20" t="n">
        <v>0.7127873628832213</v>
      </c>
      <c r="K206" s="20" t="n">
        <v>0.5</v>
      </c>
      <c r="L206" s="19" t="n">
        <v>0.64</v>
      </c>
      <c r="M206" s="19">
        <f>1 - (1 - L206)^(1/12)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17" t="n">
        <v>3</v>
      </c>
      <c r="J207" s="22" t="n">
        <v>0.7127873628832213</v>
      </c>
      <c r="K207" s="22" t="n">
        <v>0.5</v>
      </c>
      <c r="L207" s="21" t="n">
        <v>0.64</v>
      </c>
      <c r="M207" s="21">
        <f>1 - (1 - L207)^(1/12)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5" t="n">
        <v>3</v>
      </c>
      <c r="J208" s="20" t="n">
        <v>0.7127873628832213</v>
      </c>
      <c r="K208" s="20" t="n">
        <v>0.5</v>
      </c>
      <c r="L208" s="19" t="n">
        <v>0.64</v>
      </c>
      <c r="M208" s="19">
        <f>1 - (1 - L208)^(1/12)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17" t="n">
        <v>3</v>
      </c>
      <c r="J209" s="22" t="n">
        <v>0.7127873628832213</v>
      </c>
      <c r="K209" s="22" t="n">
        <v>0.5</v>
      </c>
      <c r="L209" s="21" t="n">
        <v>0.64</v>
      </c>
      <c r="M209" s="21">
        <f>1 - (1 - L209)^(1/12)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5" t="n">
        <v>3</v>
      </c>
      <c r="J210" s="20" t="n">
        <v>0.7127873628832213</v>
      </c>
      <c r="K210" s="20" t="n">
        <v>0.5</v>
      </c>
      <c r="L210" s="19" t="n">
        <v>0.64</v>
      </c>
      <c r="M210" s="19">
        <f>1 - (1 - L210)^(1/12)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17" t="n">
        <v>3</v>
      </c>
      <c r="J211" s="22" t="n">
        <v>0.7127873628832213</v>
      </c>
      <c r="K211" s="22" t="n">
        <v>0.5</v>
      </c>
      <c r="L211" s="21" t="n">
        <v>0.64</v>
      </c>
      <c r="M211" s="21">
        <f>1 - (1 - L211)^(1/12)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5" t="n">
        <v>3</v>
      </c>
      <c r="J212" s="20" t="n">
        <v>0.7127873628832213</v>
      </c>
      <c r="K212" s="20" t="n">
        <v>0.5</v>
      </c>
      <c r="L212" s="19" t="n">
        <v>0.64</v>
      </c>
      <c r="M212" s="19">
        <f>1 - (1 - L212)^(1/12)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17" t="n">
        <v>3</v>
      </c>
      <c r="J213" s="22" t="n">
        <v>0.7127873628832213</v>
      </c>
      <c r="K213" s="22" t="n">
        <v>0.5</v>
      </c>
      <c r="L213" s="21" t="n">
        <v>0.64</v>
      </c>
      <c r="M213" s="21">
        <f>1 - (1 - L213)^(1/12)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5" t="n">
        <v>3</v>
      </c>
      <c r="J214" s="20" t="n">
        <v>0.7127873628832213</v>
      </c>
      <c r="K214" s="20" t="n">
        <v>0.5</v>
      </c>
      <c r="L214" s="19" t="n">
        <v>0.64</v>
      </c>
      <c r="M214" s="19">
        <f>1 - (1 - L214)^(1/12)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17" t="n">
        <v>3</v>
      </c>
      <c r="J215" s="22" t="n">
        <v>0.7127873628832213</v>
      </c>
      <c r="K215" s="22" t="n">
        <v>0.5</v>
      </c>
      <c r="L215" s="21" t="n">
        <v>0.64</v>
      </c>
      <c r="M215" s="21">
        <f>1 - (1 - L215)^(1/12)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5" t="n">
        <v>3</v>
      </c>
      <c r="J216" s="20" t="n">
        <v>0.7127873628832213</v>
      </c>
      <c r="K216" s="20" t="n">
        <v>0.5</v>
      </c>
      <c r="L216" s="19" t="n">
        <v>0.64</v>
      </c>
      <c r="M216" s="19">
        <f>1 - (1 - L216)^(1/12)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17" t="n">
        <v>3</v>
      </c>
      <c r="J217" s="22" t="n">
        <v>0.7127873628832213</v>
      </c>
      <c r="K217" s="22" t="n">
        <v>0.5</v>
      </c>
      <c r="L217" s="21" t="n">
        <v>0.64</v>
      </c>
      <c r="M217" s="21">
        <f>1 - (1 - L217)^(1/12)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5" t="n">
        <v>3</v>
      </c>
      <c r="J218" s="20" t="n">
        <v>0.7127873628832213</v>
      </c>
      <c r="K218" s="20" t="n">
        <v>0.5</v>
      </c>
      <c r="L218" s="19" t="n">
        <v>0.64</v>
      </c>
      <c r="M218" s="19">
        <f>1 - (1 - L218)^(1/12)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17" t="n">
        <v>3</v>
      </c>
      <c r="J219" s="22" t="n">
        <v>0.7127873628832213</v>
      </c>
      <c r="K219" s="22" t="n">
        <v>0.5</v>
      </c>
      <c r="L219" s="21" t="n">
        <v>0.64</v>
      </c>
      <c r="M219" s="21">
        <f>1 - (1 - L219)^(1/12)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5" t="n">
        <v>3</v>
      </c>
      <c r="J220" s="20" t="n">
        <v>0.7127873628832213</v>
      </c>
      <c r="K220" s="20" t="n">
        <v>0.5</v>
      </c>
      <c r="L220" s="19" t="n">
        <v>0.64</v>
      </c>
      <c r="M220" s="19">
        <f>1 - (1 - L220)^(1/12)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17" t="n">
        <v>3</v>
      </c>
      <c r="J221" s="22" t="n">
        <v>0.7127873628832213</v>
      </c>
      <c r="K221" s="22" t="n">
        <v>0.5</v>
      </c>
      <c r="L221" s="21" t="n">
        <v>0.64</v>
      </c>
      <c r="M221" s="21">
        <f>1 - (1 - L221)^(1/12)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5" t="n">
        <v>3</v>
      </c>
      <c r="J222" s="20" t="n">
        <v>0.7127873628832213</v>
      </c>
      <c r="K222" s="20" t="n">
        <v>0.5</v>
      </c>
      <c r="L222" s="19" t="n">
        <v>0.64</v>
      </c>
      <c r="M222" s="19">
        <f>1 - (1 - L222)^(1/12)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17" t="n">
        <v>3</v>
      </c>
      <c r="J223" s="22" t="n">
        <v>0.7127873628832213</v>
      </c>
      <c r="K223" s="22" t="n">
        <v>0.5</v>
      </c>
      <c r="L223" s="21" t="n">
        <v>0.64</v>
      </c>
      <c r="M223" s="21">
        <f>1 - (1 - L223)^(1/12)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5" t="n">
        <v>3</v>
      </c>
      <c r="J224" s="20" t="n">
        <v>0.7127873628832213</v>
      </c>
      <c r="K224" s="20" t="n">
        <v>0.5</v>
      </c>
      <c r="L224" s="19" t="n">
        <v>0.64</v>
      </c>
      <c r="M224" s="19">
        <f>1 - (1 - L224)^(1/12)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17" t="n">
        <v>3</v>
      </c>
      <c r="J225" s="22" t="n">
        <v>0.7127873628832213</v>
      </c>
      <c r="K225" s="22" t="n">
        <v>0.5</v>
      </c>
      <c r="L225" s="21" t="n">
        <v>0.64</v>
      </c>
      <c r="M225" s="21">
        <f>1 - (1 - L225)^(1/12)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5" t="n">
        <v>3</v>
      </c>
      <c r="J226" s="20" t="n">
        <v>0.7127873628832213</v>
      </c>
      <c r="K226" s="20" t="n">
        <v>0.5</v>
      </c>
      <c r="L226" s="19" t="n">
        <v>0.64</v>
      </c>
      <c r="M226" s="19">
        <f>1 - (1 - L226)^(1/12)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17" t="n">
        <v>3</v>
      </c>
      <c r="J227" s="22" t="n">
        <v>0.7127873628832213</v>
      </c>
      <c r="K227" s="22" t="n">
        <v>0.5</v>
      </c>
      <c r="L227" s="21" t="n">
        <v>0.64</v>
      </c>
      <c r="M227" s="21">
        <f>1 - (1 - L227)^(1/12)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5" t="n">
        <v>3</v>
      </c>
      <c r="J228" s="20" t="n">
        <v>0.7127873628832213</v>
      </c>
      <c r="K228" s="20" t="n">
        <v>0.5</v>
      </c>
      <c r="L228" s="19" t="n">
        <v>0.64</v>
      </c>
      <c r="M228" s="19">
        <f>1 - (1 - L228)^(1/12)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17" t="n">
        <v>3</v>
      </c>
      <c r="J229" s="22" t="n">
        <v>0.7127873628832213</v>
      </c>
      <c r="K229" s="22" t="n">
        <v>0.5</v>
      </c>
      <c r="L229" s="21" t="n">
        <v>0.64</v>
      </c>
      <c r="M229" s="21">
        <f>1 - (1 - L229)^(1/12)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5" t="n">
        <v>3</v>
      </c>
      <c r="J230" s="20" t="n">
        <v>0.7127873628832213</v>
      </c>
      <c r="K230" s="20" t="n">
        <v>0.5</v>
      </c>
      <c r="L230" s="19" t="n">
        <v>0.64</v>
      </c>
      <c r="M230" s="19">
        <f>1 - (1 - L230)^(1/12)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17" t="n">
        <v>3</v>
      </c>
      <c r="J231" s="22" t="n">
        <v>0.7127873628832213</v>
      </c>
      <c r="K231" s="22" t="n">
        <v>0.5</v>
      </c>
      <c r="L231" s="21" t="n">
        <v>0.64</v>
      </c>
      <c r="M231" s="21">
        <f>1 - (1 - L231)^(1/12)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5" t="n">
        <v>3</v>
      </c>
      <c r="J232" s="20" t="n">
        <v>0.7127873628832213</v>
      </c>
      <c r="K232" s="20" t="n">
        <v>0.5</v>
      </c>
      <c r="L232" s="19" t="n">
        <v>0.64</v>
      </c>
      <c r="M232" s="19">
        <f>1 - (1 - L232)^(1/12)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17" t="n">
        <v>3</v>
      </c>
      <c r="J233" s="22" t="n">
        <v>0.7127873628832213</v>
      </c>
      <c r="K233" s="22" t="n">
        <v>0.5</v>
      </c>
      <c r="L233" s="21" t="n">
        <v>0.64</v>
      </c>
      <c r="M233" s="21">
        <f>1 - (1 - L233)^(1/12)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5" t="n">
        <v>3</v>
      </c>
      <c r="J234" s="20" t="n">
        <v>0.7127873628832213</v>
      </c>
      <c r="K234" s="20" t="n">
        <v>0.5</v>
      </c>
      <c r="L234" s="19" t="n">
        <v>0.64</v>
      </c>
      <c r="M234" s="19">
        <f>1 - (1 - L234)^(1/12)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17" t="n">
        <v>3</v>
      </c>
      <c r="J235" s="22" t="n">
        <v>0.7127873628832213</v>
      </c>
      <c r="K235" s="22" t="n">
        <v>0.5</v>
      </c>
      <c r="L235" s="21" t="n">
        <v>0.64</v>
      </c>
      <c r="M235" s="21">
        <f>1 - (1 - L235)^(1/12)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5" t="n">
        <v>3</v>
      </c>
      <c r="J236" s="20" t="n">
        <v>0.7127873628832213</v>
      </c>
      <c r="K236" s="20" t="n">
        <v>0.5</v>
      </c>
      <c r="L236" s="19" t="n">
        <v>0.64</v>
      </c>
      <c r="M236" s="19">
        <f>1 - (1 - L236)^(1/12)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17" t="n">
        <v>3</v>
      </c>
      <c r="J237" s="22" t="n">
        <v>0.7127873628832213</v>
      </c>
      <c r="K237" s="22" t="n">
        <v>0.5</v>
      </c>
      <c r="L237" s="21" t="n">
        <v>0.64</v>
      </c>
      <c r="M237" s="21">
        <f>1 - (1 - L237)^(1/12)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5" t="n">
        <v>3</v>
      </c>
      <c r="J238" s="20" t="n">
        <v>0.7127873628832213</v>
      </c>
      <c r="K238" s="20" t="n">
        <v>0.5</v>
      </c>
      <c r="L238" s="19" t="n">
        <v>0.64</v>
      </c>
      <c r="M238" s="19">
        <f>1 - (1 - L238)^(1/12)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17" t="n">
        <v>3</v>
      </c>
      <c r="J239" s="22" t="n">
        <v>0.7127873628832213</v>
      </c>
      <c r="K239" s="22" t="n">
        <v>0.5</v>
      </c>
      <c r="L239" s="21" t="n">
        <v>0.64</v>
      </c>
      <c r="M239" s="21">
        <f>1 - (1 - L239)^(1/12)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5" t="n">
        <v>3</v>
      </c>
      <c r="J240" s="20" t="n">
        <v>0.7127873628832213</v>
      </c>
      <c r="K240" s="20" t="n">
        <v>0.5</v>
      </c>
      <c r="L240" s="19" t="n">
        <v>0.64</v>
      </c>
      <c r="M240" s="19">
        <f>1 - (1 - L240)^(1/12)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17" t="n">
        <v>3</v>
      </c>
      <c r="J241" s="22" t="n">
        <v>0.7127873628832213</v>
      </c>
      <c r="K241" s="22" t="n">
        <v>0.5</v>
      </c>
      <c r="L241" s="21" t="n">
        <v>0.64</v>
      </c>
      <c r="M241" s="21">
        <f>1 - (1 - L241)^(1/12)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5" t="n">
        <v>3</v>
      </c>
      <c r="J242" s="20" t="n">
        <v>0.7127873628832213</v>
      </c>
      <c r="K242" s="20" t="n">
        <v>0.5</v>
      </c>
      <c r="L242" s="19" t="n">
        <v>0.64</v>
      </c>
      <c r="M242" s="19">
        <f>1 - (1 - L242)^(1/12)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17" t="n">
        <v>3</v>
      </c>
      <c r="J243" s="22" t="n">
        <v>0.7127873628832213</v>
      </c>
      <c r="K243" s="22" t="n">
        <v>0.5</v>
      </c>
      <c r="L243" s="21" t="n">
        <v>0.64</v>
      </c>
      <c r="M243" s="21">
        <f>1 - (1 - L243)^(1/12)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5" t="n">
        <v>3</v>
      </c>
      <c r="J244" s="20" t="n">
        <v>0.7127873628832213</v>
      </c>
      <c r="K244" s="20" t="n">
        <v>0.5</v>
      </c>
      <c r="L244" s="19" t="n">
        <v>0.64</v>
      </c>
      <c r="M244" s="19">
        <f>1 - (1 - L244)^(1/12)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17" t="n">
        <v>3</v>
      </c>
      <c r="J245" s="22" t="n">
        <v>0.7127873628832213</v>
      </c>
      <c r="K245" s="22" t="n">
        <v>0.5</v>
      </c>
      <c r="L245" s="21" t="n">
        <v>0.64</v>
      </c>
      <c r="M245" s="21">
        <f>1 - (1 - L245)^(1/12)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5" t="n">
        <v>3</v>
      </c>
      <c r="J246" s="20" t="n">
        <v>0.7127873628832213</v>
      </c>
      <c r="K246" s="20" t="n">
        <v>0.5</v>
      </c>
      <c r="L246" s="19" t="n">
        <v>0.64</v>
      </c>
      <c r="M246" s="19">
        <f>1 - (1 - L246)^(1/12)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17" t="n">
        <v>3</v>
      </c>
      <c r="J247" s="22" t="n">
        <v>0.7127873628832213</v>
      </c>
      <c r="K247" s="22" t="n">
        <v>0.5</v>
      </c>
      <c r="L247" s="21" t="n">
        <v>0.64</v>
      </c>
      <c r="M247" s="21">
        <f>1 - (1 - L247)^(1/12)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5" t="n">
        <v>3</v>
      </c>
      <c r="J248" s="20" t="n">
        <v>0.7127873628832213</v>
      </c>
      <c r="K248" s="20" t="n">
        <v>0.5</v>
      </c>
      <c r="L248" s="19" t="n">
        <v>0.64</v>
      </c>
      <c r="M248" s="19">
        <f>1 - (1 - L248)^(1/12)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17" t="n">
        <v>3</v>
      </c>
      <c r="J249" s="22" t="n">
        <v>0.7127873628832213</v>
      </c>
      <c r="K249" s="22" t="n">
        <v>0.5</v>
      </c>
      <c r="L249" s="21" t="n">
        <v>0.64</v>
      </c>
      <c r="M249" s="21">
        <f>1 - (1 - L249)^(1/12)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5" t="n">
        <v>3</v>
      </c>
      <c r="J250" s="20" t="n">
        <v>0.7127873628832213</v>
      </c>
      <c r="K250" s="20" t="n">
        <v>0.5</v>
      </c>
      <c r="L250" s="19" t="n">
        <v>0.64</v>
      </c>
      <c r="M250" s="19">
        <f>1 - (1 - L250)^(1/12)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17" t="n">
        <v>3</v>
      </c>
      <c r="J251" s="22" t="n">
        <v>0.7127873628832213</v>
      </c>
      <c r="K251" s="22" t="n">
        <v>0.5</v>
      </c>
      <c r="L251" s="21" t="n">
        <v>0.64</v>
      </c>
      <c r="M251" s="21">
        <f>1 - (1 - L251)^(1/12)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5" t="n">
        <v>3</v>
      </c>
      <c r="J252" s="20" t="n">
        <v>0.7127873628832213</v>
      </c>
      <c r="K252" s="20" t="n">
        <v>0.5</v>
      </c>
      <c r="L252" s="19" t="n">
        <v>0.64</v>
      </c>
      <c r="M252" s="19">
        <f>1 - (1 - L252)^(1/12)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17" t="n">
        <v>3</v>
      </c>
      <c r="J253" s="22" t="n">
        <v>0.7127873628832213</v>
      </c>
      <c r="K253" s="22" t="n">
        <v>0.5</v>
      </c>
      <c r="L253" s="21" t="n">
        <v>0.64</v>
      </c>
      <c r="M253" s="21">
        <f>1 - (1 - L253)^(1/12)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5" t="n">
        <v>3</v>
      </c>
      <c r="J254" s="20" t="n">
        <v>0.7127873628832213</v>
      </c>
      <c r="K254" s="20" t="n">
        <v>0.5</v>
      </c>
      <c r="L254" s="19" t="n">
        <v>0.64</v>
      </c>
      <c r="M254" s="19">
        <f>1 - (1 - L254)^(1/12)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17" t="n">
        <v>3</v>
      </c>
      <c r="J255" s="22" t="n">
        <v>0.7127873628832213</v>
      </c>
      <c r="K255" s="22" t="n">
        <v>0.5</v>
      </c>
      <c r="L255" s="21" t="n">
        <v>0.64</v>
      </c>
      <c r="M255" s="21">
        <f>1 - (1 - L255)^(1/12)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5" t="n">
        <v>3</v>
      </c>
      <c r="J256" s="20" t="n">
        <v>0.7127873628832213</v>
      </c>
      <c r="K256" s="20" t="n">
        <v>0.5</v>
      </c>
      <c r="L256" s="19" t="n">
        <v>0.64</v>
      </c>
      <c r="M256" s="19">
        <f>1 - (1 - L256)^(1/12)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17" t="n">
        <v>3</v>
      </c>
      <c r="J257" s="22" t="n">
        <v>0.7127873628832213</v>
      </c>
      <c r="K257" s="22" t="n">
        <v>0.5</v>
      </c>
      <c r="L257" s="21" t="n">
        <v>0.64</v>
      </c>
      <c r="M257" s="21">
        <f>1 - (1 - L257)^(1/12)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5" t="n">
        <v>3</v>
      </c>
      <c r="J258" s="20" t="n">
        <v>0.7127873628832213</v>
      </c>
      <c r="K258" s="20" t="n">
        <v>0.5</v>
      </c>
      <c r="L258" s="19" t="n">
        <v>0.64</v>
      </c>
      <c r="M258" s="19">
        <f>1 - (1 - L258)^(1/12)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17" t="n">
        <v>3</v>
      </c>
      <c r="J259" s="22" t="n">
        <v>0.7127873628832213</v>
      </c>
      <c r="K259" s="22" t="n">
        <v>0.5</v>
      </c>
      <c r="L259" s="21" t="n">
        <v>0.64</v>
      </c>
      <c r="M259" s="21">
        <f>1 - (1 - L259)^(1/12)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5" t="n">
        <v>3</v>
      </c>
      <c r="J260" s="20" t="n">
        <v>0.7127873628832213</v>
      </c>
      <c r="K260" s="20" t="n">
        <v>0.5</v>
      </c>
      <c r="L260" s="19" t="n">
        <v>0.64</v>
      </c>
      <c r="M260" s="19">
        <f>1 - (1 - L260)^(1/12)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17" t="n">
        <v>3</v>
      </c>
      <c r="J261" s="22" t="n">
        <v>0.7127873628832213</v>
      </c>
      <c r="K261" s="22" t="n">
        <v>0.5</v>
      </c>
      <c r="L261" s="21" t="n">
        <v>0.64</v>
      </c>
      <c r="M261" s="21">
        <f>1 - (1 - L261)^(1/12)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5" t="n">
        <v>3</v>
      </c>
      <c r="J262" s="20" t="n">
        <v>0.7127873628832213</v>
      </c>
      <c r="K262" s="20" t="n">
        <v>0.5</v>
      </c>
      <c r="L262" s="19" t="n">
        <v>0.64</v>
      </c>
      <c r="M262" s="19">
        <f>1 - (1 - L262)^(1/12)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17" t="n">
        <v>3</v>
      </c>
      <c r="J263" s="22" t="n">
        <v>0.7127873628832213</v>
      </c>
      <c r="K263" s="22" t="n">
        <v>0.5</v>
      </c>
      <c r="L263" s="21" t="n">
        <v>0.64</v>
      </c>
      <c r="M263" s="21">
        <f>1 - (1 - L263)^(1/12)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5" t="n">
        <v>3</v>
      </c>
      <c r="J264" s="20" t="n">
        <v>0.7127873628832213</v>
      </c>
      <c r="K264" s="20" t="n">
        <v>0.5</v>
      </c>
      <c r="L264" s="19" t="n">
        <v>0.64</v>
      </c>
      <c r="M264" s="19">
        <f>1 - (1 - L264)^(1/12)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17" t="n">
        <v>3</v>
      </c>
      <c r="J265" s="22" t="n">
        <v>0.7127873628832213</v>
      </c>
      <c r="K265" s="22" t="n">
        <v>0.5</v>
      </c>
      <c r="L265" s="21" t="n">
        <v>0.64</v>
      </c>
      <c r="M265" s="21">
        <f>1 - (1 - L265)^(1/12)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5" t="n">
        <v>3</v>
      </c>
      <c r="J266" s="20" t="n">
        <v>0.7127873628832213</v>
      </c>
      <c r="K266" s="20" t="n">
        <v>0.5</v>
      </c>
      <c r="L266" s="19" t="n">
        <v>0.64</v>
      </c>
      <c r="M266" s="19">
        <f>1 - (1 - L266)^(1/12)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17" t="n">
        <v>3</v>
      </c>
      <c r="J267" s="22" t="n">
        <v>0.7127873628832213</v>
      </c>
      <c r="K267" s="22" t="n">
        <v>0.5</v>
      </c>
      <c r="L267" s="21" t="n">
        <v>0.64</v>
      </c>
      <c r="M267" s="21">
        <f>1 - (1 - L267)^(1/12)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5" t="n">
        <v>3</v>
      </c>
      <c r="J268" s="20" t="n">
        <v>0.7127873628832213</v>
      </c>
      <c r="K268" s="20" t="n">
        <v>0.5</v>
      </c>
      <c r="L268" s="19" t="n">
        <v>0.64</v>
      </c>
      <c r="M268" s="19">
        <f>1 - (1 - L268)^(1/12)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17" t="n">
        <v>3</v>
      </c>
      <c r="J269" s="22" t="n">
        <v>0.7127873628832213</v>
      </c>
      <c r="K269" s="22" t="n">
        <v>0.5</v>
      </c>
      <c r="L269" s="21" t="n">
        <v>0.64</v>
      </c>
      <c r="M269" s="21">
        <f>1 - (1 - L269)^(1/12)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5" t="n">
        <v>3</v>
      </c>
      <c r="J270" s="20" t="n">
        <v>0.7127873628832213</v>
      </c>
      <c r="K270" s="20" t="n">
        <v>0.5</v>
      </c>
      <c r="L270" s="19" t="n">
        <v>0.64</v>
      </c>
      <c r="M270" s="19">
        <f>1 - (1 - L270)^(1/12)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17" t="n">
        <v>3</v>
      </c>
      <c r="J271" s="22" t="n">
        <v>0.7127873628832213</v>
      </c>
      <c r="K271" s="22" t="n">
        <v>0.5</v>
      </c>
      <c r="L271" s="21" t="n">
        <v>0.64</v>
      </c>
      <c r="M271" s="21">
        <f>1 - (1 - L271)^(1/12)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5" t="n">
        <v>3</v>
      </c>
      <c r="J272" s="20" t="n">
        <v>0.7127873628832213</v>
      </c>
      <c r="K272" s="20" t="n">
        <v>0.5</v>
      </c>
      <c r="L272" s="19" t="n">
        <v>0.64</v>
      </c>
      <c r="M272" s="19">
        <f>1 - (1 - L272)^(1/12)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17" t="n">
        <v>3</v>
      </c>
      <c r="J273" s="22" t="n">
        <v>0.7127873628832213</v>
      </c>
      <c r="K273" s="22" t="n">
        <v>0.5</v>
      </c>
      <c r="L273" s="21" t="n">
        <v>0.64</v>
      </c>
      <c r="M273" s="21">
        <f>1 - (1 - L273)^(1/12)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5" t="n">
        <v>3</v>
      </c>
      <c r="J274" s="20" t="n">
        <v>0.7127873628832213</v>
      </c>
      <c r="K274" s="20" t="n">
        <v>0.5</v>
      </c>
      <c r="L274" s="19" t="n">
        <v>0.64</v>
      </c>
      <c r="M274" s="19">
        <f>1 - (1 - L274)^(1/12)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17" t="n">
        <v>3</v>
      </c>
      <c r="J275" s="22" t="n">
        <v>0.7127873628832213</v>
      </c>
      <c r="K275" s="22" t="n">
        <v>0.5</v>
      </c>
      <c r="L275" s="21" t="n">
        <v>0.64</v>
      </c>
      <c r="M275" s="21">
        <f>1 - (1 - L275)^(1/12)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5" t="n">
        <v>3</v>
      </c>
      <c r="J276" s="20" t="n">
        <v>0.7127873628832213</v>
      </c>
      <c r="K276" s="20" t="n">
        <v>0.5</v>
      </c>
      <c r="L276" s="19" t="n">
        <v>0.64</v>
      </c>
      <c r="M276" s="19">
        <f>1 - (1 - L276)^(1/12)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17" t="n">
        <v>3</v>
      </c>
      <c r="J277" s="22" t="n">
        <v>0.7127873628832213</v>
      </c>
      <c r="K277" s="22" t="n">
        <v>0.5</v>
      </c>
      <c r="L277" s="21" t="n">
        <v>0.64</v>
      </c>
      <c r="M277" s="21">
        <f>1 - (1 - L277)^(1/12)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5" t="n">
        <v>3</v>
      </c>
      <c r="J278" s="20" t="n">
        <v>0.7127873628832213</v>
      </c>
      <c r="K278" s="20" t="n">
        <v>0.5</v>
      </c>
      <c r="L278" s="19" t="n">
        <v>0.64</v>
      </c>
      <c r="M278" s="19">
        <f>1 - (1 - L278)^(1/12)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17" t="n">
        <v>3</v>
      </c>
      <c r="J279" s="22" t="n">
        <v>0.7127873628832213</v>
      </c>
      <c r="K279" s="22" t="n">
        <v>0.5</v>
      </c>
      <c r="L279" s="21" t="n">
        <v>0.64</v>
      </c>
      <c r="M279" s="21">
        <f>1 - (1 - L279)^(1/12)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5" t="n">
        <v>3</v>
      </c>
      <c r="J280" s="20" t="n">
        <v>0.7127873628832213</v>
      </c>
      <c r="K280" s="20" t="n">
        <v>0.5</v>
      </c>
      <c r="L280" s="19" t="n">
        <v>0.64</v>
      </c>
      <c r="M280" s="19">
        <f>1 - (1 - L280)^(1/12)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17" t="n">
        <v>3</v>
      </c>
      <c r="J281" s="22" t="n">
        <v>0.7127873628832213</v>
      </c>
      <c r="K281" s="22" t="n">
        <v>0.5</v>
      </c>
      <c r="L281" s="21" t="n">
        <v>0.64</v>
      </c>
      <c r="M281" s="21">
        <f>1 - (1 - L281)^(1/12)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5" t="n">
        <v>3</v>
      </c>
      <c r="J282" s="20" t="n">
        <v>0.7127873628832213</v>
      </c>
      <c r="K282" s="20" t="n">
        <v>0.5</v>
      </c>
      <c r="L282" s="19" t="n">
        <v>0.64</v>
      </c>
      <c r="M282" s="19">
        <f>1 - (1 - L282)^(1/12)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17" t="n">
        <v>3</v>
      </c>
      <c r="J283" s="22" t="n">
        <v>0.7127873628832213</v>
      </c>
      <c r="K283" s="22" t="n">
        <v>0.5</v>
      </c>
      <c r="L283" s="21" t="n">
        <v>0.64</v>
      </c>
      <c r="M283" s="21">
        <f>1 - (1 - L283)^(1/12)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5" t="n">
        <v>3</v>
      </c>
      <c r="J284" s="20" t="n">
        <v>0.7127873628832213</v>
      </c>
      <c r="K284" s="20" t="n">
        <v>0.5</v>
      </c>
      <c r="L284" s="19" t="n">
        <v>0.64</v>
      </c>
      <c r="M284" s="19">
        <f>1 - (1 - L284)^(1/12)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17" t="n">
        <v>3</v>
      </c>
      <c r="J285" s="22" t="n">
        <v>0.7127873628832213</v>
      </c>
      <c r="K285" s="22" t="n">
        <v>0.5</v>
      </c>
      <c r="L285" s="21" t="n">
        <v>0.64</v>
      </c>
      <c r="M285" s="21">
        <f>1 - (1 - L285)^(1/12)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5" t="n">
        <v>3</v>
      </c>
      <c r="J286" s="20" t="n">
        <v>0.7127873628832213</v>
      </c>
      <c r="K286" s="20" t="n">
        <v>0.5</v>
      </c>
      <c r="L286" s="19" t="n">
        <v>0.64</v>
      </c>
      <c r="M286" s="19">
        <f>1 - (1 - L286)^(1/12)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17" t="n">
        <v>3</v>
      </c>
      <c r="J287" s="22" t="n">
        <v>0.7127873628832213</v>
      </c>
      <c r="K287" s="22" t="n">
        <v>0.5</v>
      </c>
      <c r="L287" s="21" t="n">
        <v>0.64</v>
      </c>
      <c r="M287" s="21">
        <f>1 - (1 - L287)^(1/12)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5" t="n">
        <v>3</v>
      </c>
      <c r="J288" s="20" t="n">
        <v>0.7127873628832213</v>
      </c>
      <c r="K288" s="20" t="n">
        <v>0.5</v>
      </c>
      <c r="L288" s="19" t="n">
        <v>0.64</v>
      </c>
      <c r="M288" s="19">
        <f>1 - (1 - L288)^(1/12)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17" t="n">
        <v>3</v>
      </c>
      <c r="J289" s="22" t="n">
        <v>0.7127873628832213</v>
      </c>
      <c r="K289" s="22" t="n">
        <v>0.5</v>
      </c>
      <c r="L289" s="21" t="n">
        <v>0.64</v>
      </c>
      <c r="M289" s="21">
        <f>1 - (1 - L289)^(1/12)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5" t="n">
        <v>3</v>
      </c>
      <c r="J290" s="20" t="n">
        <v>0.7127873628832213</v>
      </c>
      <c r="K290" s="20" t="n">
        <v>0.5</v>
      </c>
      <c r="L290" s="19" t="n">
        <v>0.64</v>
      </c>
      <c r="M290" s="19">
        <f>1 - (1 - L290)^(1/12)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17" t="n">
        <v>3</v>
      </c>
      <c r="J291" s="22" t="n">
        <v>0.7127873628832213</v>
      </c>
      <c r="K291" s="22" t="n">
        <v>0.5</v>
      </c>
      <c r="L291" s="21" t="n">
        <v>0.64</v>
      </c>
      <c r="M291" s="21">
        <f>1 - (1 - L291)^(1/12)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5" t="n">
        <v>3</v>
      </c>
      <c r="J292" s="20" t="n">
        <v>0.7127873628832213</v>
      </c>
      <c r="K292" s="20" t="n">
        <v>0.5</v>
      </c>
      <c r="L292" s="19" t="n">
        <v>0.64</v>
      </c>
      <c r="M292" s="19">
        <f>1 - (1 - L292)^(1/12)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17" t="n">
        <v>3</v>
      </c>
      <c r="J293" s="22" t="n">
        <v>0.7127873628832213</v>
      </c>
      <c r="K293" s="22" t="n">
        <v>0.5</v>
      </c>
      <c r="L293" s="21" t="n">
        <v>0.64</v>
      </c>
      <c r="M293" s="21">
        <f>1 - (1 - L293)^(1/12)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5" t="n">
        <v>3</v>
      </c>
      <c r="J294" s="20" t="n">
        <v>0.7127873628832213</v>
      </c>
      <c r="K294" s="20" t="n">
        <v>0.5</v>
      </c>
      <c r="L294" s="19" t="n">
        <v>0.64</v>
      </c>
      <c r="M294" s="19">
        <f>1 - (1 - L294)^(1/12)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17" t="n">
        <v>3</v>
      </c>
      <c r="J295" s="22" t="n">
        <v>0.7127873628832213</v>
      </c>
      <c r="K295" s="22" t="n">
        <v>0.5</v>
      </c>
      <c r="L295" s="21" t="n">
        <v>0.64</v>
      </c>
      <c r="M295" s="21">
        <f>1 - (1 - L295)^(1/12)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5" t="n">
        <v>3</v>
      </c>
      <c r="J296" s="20" t="n">
        <v>0.7127873628832213</v>
      </c>
      <c r="K296" s="20" t="n">
        <v>0.5</v>
      </c>
      <c r="L296" s="19" t="n">
        <v>0.64</v>
      </c>
      <c r="M296" s="19">
        <f>1 - (1 - L296)^(1/12)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17" t="n">
        <v>3</v>
      </c>
      <c r="J297" s="22" t="n">
        <v>0.7127873628832213</v>
      </c>
      <c r="K297" s="22" t="n">
        <v>0.5</v>
      </c>
      <c r="L297" s="21" t="n">
        <v>0.64</v>
      </c>
      <c r="M297" s="21">
        <f>1 - (1 - L297)^(1/12)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5" t="n">
        <v>3</v>
      </c>
      <c r="J298" s="20" t="n">
        <v>0.7127873628832213</v>
      </c>
      <c r="K298" s="20" t="n">
        <v>0.5</v>
      </c>
      <c r="L298" s="19" t="n">
        <v>0.64</v>
      </c>
      <c r="M298" s="19">
        <f>1 - (1 - L298)^(1/12)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17" t="n">
        <v>3</v>
      </c>
      <c r="J299" s="22" t="n">
        <v>0.7127873628832213</v>
      </c>
      <c r="K299" s="22" t="n">
        <v>0.5</v>
      </c>
      <c r="L299" s="21" t="n">
        <v>0.64</v>
      </c>
      <c r="M299" s="21">
        <f>1 - (1 - L299)^(1/12)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5" t="n">
        <v>3</v>
      </c>
      <c r="J300" s="20" t="n">
        <v>0.7127873628832213</v>
      </c>
      <c r="K300" s="20" t="n">
        <v>0.5</v>
      </c>
      <c r="L300" s="19" t="n">
        <v>0.64</v>
      </c>
      <c r="M300" s="19">
        <f>1 - (1 - L300)^(1/12)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17" t="n">
        <v>3</v>
      </c>
      <c r="J301" s="22" t="n">
        <v>0.7127873628832213</v>
      </c>
      <c r="K301" s="22" t="n">
        <v>0.5</v>
      </c>
      <c r="L301" s="21" t="n">
        <v>0.64</v>
      </c>
      <c r="M301" s="21">
        <f>1 - (1 - L301)^(1/12)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5" t="n">
        <v>3</v>
      </c>
      <c r="J302" s="20" t="n">
        <v>0.7127873628832213</v>
      </c>
      <c r="K302" s="20" t="n">
        <v>0.5</v>
      </c>
      <c r="L302" s="19" t="n">
        <v>0.64</v>
      </c>
      <c r="M302" s="19">
        <f>1 - (1 - L302)^(1/12)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17" t="n">
        <v>3</v>
      </c>
      <c r="J303" s="22" t="n">
        <v>0.7127873628832213</v>
      </c>
      <c r="K303" s="22" t="n">
        <v>0.5</v>
      </c>
      <c r="L303" s="21" t="n">
        <v>0.64</v>
      </c>
      <c r="M303" s="21">
        <f>1 - (1 - L303)^(1/12)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5" t="n">
        <v>3</v>
      </c>
      <c r="J304" s="20" t="n">
        <v>0.7127873628832213</v>
      </c>
      <c r="K304" s="20" t="n">
        <v>0.5</v>
      </c>
      <c r="L304" s="19" t="n">
        <v>0.64</v>
      </c>
      <c r="M304" s="19">
        <f>1 - (1 - L304)^(1/12)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17" t="n">
        <v>3</v>
      </c>
      <c r="J305" s="22" t="n">
        <v>0.7127873628832213</v>
      </c>
      <c r="K305" s="22" t="n">
        <v>0.5</v>
      </c>
      <c r="L305" s="21" t="n">
        <v>0.64</v>
      </c>
      <c r="M305" s="21">
        <f>1 - (1 - L305)^(1/12)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5" t="n">
        <v>3</v>
      </c>
      <c r="J306" s="20" t="n">
        <v>0.7127873628832213</v>
      </c>
      <c r="K306" s="20" t="n">
        <v>0.5</v>
      </c>
      <c r="L306" s="19" t="n">
        <v>0.64</v>
      </c>
      <c r="M306" s="19">
        <f>1 - (1 - L306)^(1/12)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17" t="n">
        <v>3</v>
      </c>
      <c r="J307" s="22" t="n">
        <v>0.7127873628832213</v>
      </c>
      <c r="K307" s="22" t="n">
        <v>0.5</v>
      </c>
      <c r="L307" s="21" t="n">
        <v>0.64</v>
      </c>
      <c r="M307" s="21">
        <f>1 - (1 - L307)^(1/12)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5" t="n">
        <v>3</v>
      </c>
      <c r="J308" s="20" t="n">
        <v>0.7127873628832213</v>
      </c>
      <c r="K308" s="20" t="n">
        <v>0.5</v>
      </c>
      <c r="L308" s="19" t="n">
        <v>0.64</v>
      </c>
      <c r="M308" s="19">
        <f>1 - (1 - L308)^(1/12)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17" t="n">
        <v>3</v>
      </c>
      <c r="J309" s="22" t="n">
        <v>0.7127873628832213</v>
      </c>
      <c r="K309" s="22" t="n">
        <v>0.5</v>
      </c>
      <c r="L309" s="21" t="n">
        <v>0.64</v>
      </c>
      <c r="M309" s="21">
        <f>1 - (1 - L309)^(1/12)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5" t="n">
        <v>3</v>
      </c>
      <c r="J310" s="20" t="n">
        <v>0.7127873628832213</v>
      </c>
      <c r="K310" s="20" t="n">
        <v>0.5</v>
      </c>
      <c r="L310" s="19" t="n">
        <v>0.64</v>
      </c>
      <c r="M310" s="19">
        <f>1 - (1 - L310)^(1/12)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17" t="n">
        <v>3</v>
      </c>
      <c r="J311" s="22" t="n">
        <v>0.7127873628832213</v>
      </c>
      <c r="K311" s="22" t="n">
        <v>0.5</v>
      </c>
      <c r="L311" s="21" t="n">
        <v>0.64</v>
      </c>
      <c r="M311" s="21">
        <f>1 - (1 - L311)^(1/12)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5" t="n">
        <v>3</v>
      </c>
      <c r="J312" s="20" t="n">
        <v>0.7127873628832213</v>
      </c>
      <c r="K312" s="20" t="n">
        <v>0.5</v>
      </c>
      <c r="L312" s="19" t="n">
        <v>0.64</v>
      </c>
      <c r="M312" s="19">
        <f>1 - (1 - L312)^(1/12)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17" t="n">
        <v>3</v>
      </c>
      <c r="J313" s="22" t="n">
        <v>0.7127873628832213</v>
      </c>
      <c r="K313" s="22" t="n">
        <v>0.5</v>
      </c>
      <c r="L313" s="21" t="n">
        <v>0.64</v>
      </c>
      <c r="M313" s="21">
        <f>1 - (1 - L313)^(1/12)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5" t="n">
        <v>3</v>
      </c>
      <c r="J314" s="20" t="n">
        <v>0.7127873628832213</v>
      </c>
      <c r="K314" s="20" t="n">
        <v>0.5</v>
      </c>
      <c r="L314" s="19" t="n">
        <v>0.64</v>
      </c>
      <c r="M314" s="19">
        <f>1 - (1 - L314)^(1/12)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17" t="n">
        <v>3</v>
      </c>
      <c r="J315" s="22" t="n">
        <v>0.7127873628832213</v>
      </c>
      <c r="K315" s="22" t="n">
        <v>0.5</v>
      </c>
      <c r="L315" s="21" t="n">
        <v>0.64</v>
      </c>
      <c r="M315" s="21">
        <f>1 - (1 - L315)^(1/12)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5" t="n">
        <v>3</v>
      </c>
      <c r="J316" s="20" t="n">
        <v>0.7127873628832213</v>
      </c>
      <c r="K316" s="20" t="n">
        <v>0.5</v>
      </c>
      <c r="L316" s="19" t="n">
        <v>0.64</v>
      </c>
      <c r="M316" s="19">
        <f>1 - (1 - L316)^(1/12)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17" t="n">
        <v>3</v>
      </c>
      <c r="J317" s="22" t="n">
        <v>0.7127873628832213</v>
      </c>
      <c r="K317" s="22" t="n">
        <v>0.5</v>
      </c>
      <c r="L317" s="21" t="n">
        <v>0.64</v>
      </c>
      <c r="M317" s="21">
        <f>1 - (1 - L317)^(1/12)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5" t="n">
        <v>3</v>
      </c>
      <c r="J318" s="20" t="n">
        <v>0.7127873628832213</v>
      </c>
      <c r="K318" s="20" t="n">
        <v>0.5</v>
      </c>
      <c r="L318" s="19" t="n">
        <v>0.64</v>
      </c>
      <c r="M318" s="19">
        <f>1 - (1 - L318)^(1/12)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17" t="n">
        <v>3</v>
      </c>
      <c r="J319" s="22" t="n">
        <v>0.7127873628832213</v>
      </c>
      <c r="K319" s="22" t="n">
        <v>0.5</v>
      </c>
      <c r="L319" s="21" t="n">
        <v>0.64</v>
      </c>
      <c r="M319" s="21">
        <f>1 - (1 - L319)^(1/12)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5" t="n">
        <v>3</v>
      </c>
      <c r="J320" s="20" t="n">
        <v>0.7127873628832213</v>
      </c>
      <c r="K320" s="20" t="n">
        <v>0.5</v>
      </c>
      <c r="L320" s="19" t="n">
        <v>0.64</v>
      </c>
      <c r="M320" s="19">
        <f>1 - (1 - L320)^(1/12)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17" t="n">
        <v>3</v>
      </c>
      <c r="J321" s="22" t="n">
        <v>0.7127873628832213</v>
      </c>
      <c r="K321" s="22" t="n">
        <v>0.5</v>
      </c>
      <c r="L321" s="21" t="n">
        <v>0.64</v>
      </c>
      <c r="M321" s="21">
        <f>1 - (1 - L321)^(1/12)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5" t="n">
        <v>3</v>
      </c>
      <c r="J322" s="20" t="n">
        <v>0.7127873628832213</v>
      </c>
      <c r="K322" s="20" t="n">
        <v>0.5</v>
      </c>
      <c r="L322" s="19" t="n">
        <v>0.64</v>
      </c>
      <c r="M322" s="19">
        <f>1 - (1 - L322)^(1/12)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17" t="n">
        <v>3</v>
      </c>
      <c r="J323" s="22" t="n">
        <v>0.7127873628832213</v>
      </c>
      <c r="K323" s="22" t="n">
        <v>0.5</v>
      </c>
      <c r="L323" s="21" t="n">
        <v>0.64</v>
      </c>
      <c r="M323" s="21">
        <f>1 - (1 - L323)^(1/12)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5" t="n">
        <v>3</v>
      </c>
      <c r="J324" s="20" t="n">
        <v>0.7127873628832213</v>
      </c>
      <c r="K324" s="20" t="n">
        <v>0.5</v>
      </c>
      <c r="L324" s="19" t="n">
        <v>0.64</v>
      </c>
      <c r="M324" s="19">
        <f>1 - (1 - L324)^(1/12)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17" t="n">
        <v>3</v>
      </c>
      <c r="J325" s="22" t="n">
        <v>0.7127873628832213</v>
      </c>
      <c r="K325" s="22" t="n">
        <v>0.5</v>
      </c>
      <c r="L325" s="21" t="n">
        <v>0.64</v>
      </c>
      <c r="M325" s="21">
        <f>1 - (1 - L325)^(1/12)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5" t="n">
        <v>3</v>
      </c>
      <c r="J326" s="20" t="n">
        <v>0.7127873628832213</v>
      </c>
      <c r="K326" s="20" t="n">
        <v>0.5</v>
      </c>
      <c r="L326" s="19" t="n">
        <v>0.64</v>
      </c>
      <c r="M326" s="19">
        <f>1 - (1 - L326)^(1/12)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17" t="n">
        <v>3</v>
      </c>
      <c r="J327" s="22" t="n">
        <v>0.7127873628832213</v>
      </c>
      <c r="K327" s="22" t="n">
        <v>0.5</v>
      </c>
      <c r="L327" s="21" t="n">
        <v>0.64</v>
      </c>
      <c r="M327" s="21">
        <f>1 - (1 - L327)^(1/12)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5" t="n">
        <v>3</v>
      </c>
      <c r="J328" s="20" t="n">
        <v>0.7127873628832213</v>
      </c>
      <c r="K328" s="20" t="n">
        <v>0.5</v>
      </c>
      <c r="L328" s="19" t="n">
        <v>0.64</v>
      </c>
      <c r="M328" s="19">
        <f>1 - (1 - L328)^(1/12)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17" t="n">
        <v>3</v>
      </c>
      <c r="J329" s="22" t="n">
        <v>0.7127873628832213</v>
      </c>
      <c r="K329" s="22" t="n">
        <v>0.5</v>
      </c>
      <c r="L329" s="21" t="n">
        <v>0.64</v>
      </c>
      <c r="M329" s="21">
        <f>1 - (1 - L329)^(1/12)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5" t="n">
        <v>3</v>
      </c>
      <c r="J330" s="20" t="n">
        <v>0.7127873628832213</v>
      </c>
      <c r="K330" s="20" t="n">
        <v>0.5</v>
      </c>
      <c r="L330" s="19" t="n">
        <v>0.64</v>
      </c>
      <c r="M330" s="19">
        <f>1 - (1 - L330)^(1/12)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17" t="n">
        <v>3</v>
      </c>
      <c r="J331" s="22" t="n">
        <v>0.7127873628832213</v>
      </c>
      <c r="K331" s="22" t="n">
        <v>0.5</v>
      </c>
      <c r="L331" s="21" t="n">
        <v>0.64</v>
      </c>
      <c r="M331" s="21">
        <f>1 - (1 - L331)^(1/12)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5" t="n">
        <v>3</v>
      </c>
      <c r="J332" s="20" t="n">
        <v>0.7127873628832213</v>
      </c>
      <c r="K332" s="20" t="n">
        <v>0.5</v>
      </c>
      <c r="L332" s="19" t="n">
        <v>0.64</v>
      </c>
      <c r="M332" s="19">
        <f>1 - (1 - L332)^(1/12)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17" t="n">
        <v>3</v>
      </c>
      <c r="J333" s="22" t="n">
        <v>0.7127873628832213</v>
      </c>
      <c r="K333" s="22" t="n">
        <v>0.5</v>
      </c>
      <c r="L333" s="21" t="n">
        <v>0.64</v>
      </c>
      <c r="M333" s="21">
        <f>1 - (1 - L333)^(1/12)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5" t="n">
        <v>3</v>
      </c>
      <c r="J334" s="20" t="n">
        <v>0.7127873628832213</v>
      </c>
      <c r="K334" s="20" t="n">
        <v>0.5</v>
      </c>
      <c r="L334" s="19" t="n">
        <v>0.64</v>
      </c>
      <c r="M334" s="19">
        <f>1 - (1 - L334)^(1/12)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17" t="n">
        <v>3</v>
      </c>
      <c r="J335" s="22" t="n">
        <v>0.7127873628832213</v>
      </c>
      <c r="K335" s="22" t="n">
        <v>0.5</v>
      </c>
      <c r="L335" s="21" t="n">
        <v>0.64</v>
      </c>
      <c r="M335" s="21">
        <f>1 - (1 - L335)^(1/12)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5" t="n">
        <v>3</v>
      </c>
      <c r="J336" s="20" t="n">
        <v>0.7127873628832213</v>
      </c>
      <c r="K336" s="20" t="n">
        <v>0.5</v>
      </c>
      <c r="L336" s="19" t="n">
        <v>0.64</v>
      </c>
      <c r="M336" s="19">
        <f>1 - (1 - L336)^(1/12)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17" t="n">
        <v>3</v>
      </c>
      <c r="J337" s="22" t="n">
        <v>0.7127873628832213</v>
      </c>
      <c r="K337" s="22" t="n">
        <v>0.5</v>
      </c>
      <c r="L337" s="21" t="n">
        <v>0.64</v>
      </c>
      <c r="M337" s="21">
        <f>1 - (1 - L337)^(1/12)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5" t="n">
        <v>3</v>
      </c>
      <c r="J338" s="20" t="n">
        <v>0.7127873628832213</v>
      </c>
      <c r="K338" s="20" t="n">
        <v>0.5</v>
      </c>
      <c r="L338" s="19" t="n">
        <v>0.64</v>
      </c>
      <c r="M338" s="19">
        <f>1 - (1 - L338)^(1/12)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17" t="n">
        <v>3</v>
      </c>
      <c r="J339" s="22" t="n">
        <v>0.7127873628832213</v>
      </c>
      <c r="K339" s="22" t="n">
        <v>0.5</v>
      </c>
      <c r="L339" s="21" t="n">
        <v>0.64</v>
      </c>
      <c r="M339" s="21">
        <f>1 - (1 - L339)^(1/12)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5" t="n">
        <v>3</v>
      </c>
      <c r="J340" s="20" t="n">
        <v>0.7127873628832213</v>
      </c>
      <c r="K340" s="20" t="n">
        <v>0.5</v>
      </c>
      <c r="L340" s="19" t="n">
        <v>0.64</v>
      </c>
      <c r="M340" s="19">
        <f>1 - (1 - L340)^(1/12)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17" t="n">
        <v>3</v>
      </c>
      <c r="J341" s="22" t="n">
        <v>0.7127873628832213</v>
      </c>
      <c r="K341" s="22" t="n">
        <v>0.5</v>
      </c>
      <c r="L341" s="21" t="n">
        <v>0.64</v>
      </c>
      <c r="M341" s="21">
        <f>1 - (1 - L341)^(1/12)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5" t="n">
        <v>3</v>
      </c>
      <c r="J342" s="20" t="n">
        <v>0.7127873628832213</v>
      </c>
      <c r="K342" s="20" t="n">
        <v>0.5</v>
      </c>
      <c r="L342" s="19" t="n">
        <v>0.64</v>
      </c>
      <c r="M342" s="19">
        <f>1 - (1 - L342)^(1/12)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17" t="n">
        <v>3</v>
      </c>
      <c r="J343" s="22" t="n">
        <v>0.7127873628832213</v>
      </c>
      <c r="K343" s="22" t="n">
        <v>0.5</v>
      </c>
      <c r="L343" s="21" t="n">
        <v>0.64</v>
      </c>
      <c r="M343" s="21">
        <f>1 - (1 - L343)^(1/12)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5" t="n">
        <v>3</v>
      </c>
      <c r="J344" s="20" t="n">
        <v>0.7127873628832213</v>
      </c>
      <c r="K344" s="20" t="n">
        <v>0.5</v>
      </c>
      <c r="L344" s="19" t="n">
        <v>0.64</v>
      </c>
      <c r="M344" s="19">
        <f>1 - (1 - L344)^(1/12)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17" t="n">
        <v>3</v>
      </c>
      <c r="J345" s="22" t="n">
        <v>0.7127873628832213</v>
      </c>
      <c r="K345" s="22" t="n">
        <v>0.5</v>
      </c>
      <c r="L345" s="21" t="n">
        <v>0.64</v>
      </c>
      <c r="M345" s="21">
        <f>1 - (1 - L345)^(1/12)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5" t="n">
        <v>3</v>
      </c>
      <c r="J346" s="20" t="n">
        <v>0.7127873628832213</v>
      </c>
      <c r="K346" s="20" t="n">
        <v>0.5</v>
      </c>
      <c r="L346" s="19" t="n">
        <v>0.64</v>
      </c>
      <c r="M346" s="19">
        <f>1 - (1 - L346)^(1/12)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17" t="n">
        <v>3</v>
      </c>
      <c r="J347" s="22" t="n">
        <v>0.7127873628832213</v>
      </c>
      <c r="K347" s="22" t="n">
        <v>0.5</v>
      </c>
      <c r="L347" s="21" t="n">
        <v>0.64</v>
      </c>
      <c r="M347" s="21">
        <f>1 - (1 - L347)^(1/12)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5" t="n">
        <v>3</v>
      </c>
      <c r="J348" s="20" t="n">
        <v>0.7127873628832213</v>
      </c>
      <c r="K348" s="20" t="n">
        <v>0.5</v>
      </c>
      <c r="L348" s="19" t="n">
        <v>0.64</v>
      </c>
      <c r="M348" s="19">
        <f>1 - (1 - L348)^(1/12)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17" t="n">
        <v>3</v>
      </c>
      <c r="J349" s="22" t="n">
        <v>0.7127873628832213</v>
      </c>
      <c r="K349" s="22" t="n">
        <v>0.5</v>
      </c>
      <c r="L349" s="21" t="n">
        <v>0.64</v>
      </c>
      <c r="M349" s="21">
        <f>1 - (1 - L349)^(1/12)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5" t="n">
        <v>3</v>
      </c>
      <c r="J350" s="20" t="n">
        <v>0.7127873628832213</v>
      </c>
      <c r="K350" s="20" t="n">
        <v>0.5</v>
      </c>
      <c r="L350" s="19" t="n">
        <v>0.64</v>
      </c>
      <c r="M350" s="19">
        <f>1 - (1 - L350)^(1/12)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17" t="n">
        <v>3</v>
      </c>
      <c r="J351" s="22" t="n">
        <v>0.7127873628832213</v>
      </c>
      <c r="K351" s="22" t="n">
        <v>0.5</v>
      </c>
      <c r="L351" s="21" t="n">
        <v>0.64</v>
      </c>
      <c r="M351" s="21">
        <f>1 - (1 - L351)^(1/12)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5" t="n">
        <v>3</v>
      </c>
      <c r="J352" s="20" t="n">
        <v>0.7127873628832213</v>
      </c>
      <c r="K352" s="20" t="n">
        <v>0.5</v>
      </c>
      <c r="L352" s="19" t="n">
        <v>0.64</v>
      </c>
      <c r="M352" s="19">
        <f>1 - (1 - L352)^(1/12)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17" t="n">
        <v>3</v>
      </c>
      <c r="J353" s="22" t="n">
        <v>0.7127873628832213</v>
      </c>
      <c r="K353" s="22" t="n">
        <v>0.5</v>
      </c>
      <c r="L353" s="21" t="n">
        <v>0.64</v>
      </c>
      <c r="M353" s="21">
        <f>1 - (1 - L353)^(1/12)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5" t="n">
        <v>3</v>
      </c>
      <c r="J354" s="20" t="n">
        <v>0.7127873628832213</v>
      </c>
      <c r="K354" s="20" t="n">
        <v>0.5</v>
      </c>
      <c r="L354" s="19" t="n">
        <v>0.64</v>
      </c>
      <c r="M354" s="19">
        <f>1 - (1 - L354)^(1/12)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17" t="n">
        <v>3</v>
      </c>
      <c r="J355" s="22" t="n">
        <v>0.7127873628832213</v>
      </c>
      <c r="K355" s="22" t="n">
        <v>0.5</v>
      </c>
      <c r="L355" s="21" t="n">
        <v>0.64</v>
      </c>
      <c r="M355" s="21">
        <f>1 - (1 - L355)^(1/12)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5" t="n">
        <v>3</v>
      </c>
      <c r="J356" s="20" t="n">
        <v>0.7127873628832213</v>
      </c>
      <c r="K356" s="20" t="n">
        <v>0.5</v>
      </c>
      <c r="L356" s="19" t="n">
        <v>0.64</v>
      </c>
      <c r="M356" s="19">
        <f>1 - (1 - L356)^(1/12)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17" t="n">
        <v>3</v>
      </c>
      <c r="J357" s="22" t="n">
        <v>0.7127873628832213</v>
      </c>
      <c r="K357" s="22" t="n">
        <v>0.5</v>
      </c>
      <c r="L357" s="21" t="n">
        <v>0.64</v>
      </c>
      <c r="M357" s="21">
        <f>1 - (1 - L357)^(1/12)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5" t="n">
        <v>3</v>
      </c>
      <c r="J358" s="20" t="n">
        <v>0.7127873628832213</v>
      </c>
      <c r="K358" s="20" t="n">
        <v>0.5</v>
      </c>
      <c r="L358" s="19" t="n">
        <v>0.64</v>
      </c>
      <c r="M358" s="19">
        <f>1 - (1 - L358)^(1/12)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17" t="n">
        <v>3</v>
      </c>
      <c r="J359" s="22" t="n">
        <v>0.7127873628832213</v>
      </c>
      <c r="K359" s="22" t="n">
        <v>0.5</v>
      </c>
      <c r="L359" s="21" t="n">
        <v>0.64</v>
      </c>
      <c r="M359" s="21">
        <f>1 - (1 - L359)^(1/12)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5" t="n">
        <v>3</v>
      </c>
      <c r="J360" s="20" t="n">
        <v>0.7127873628832213</v>
      </c>
      <c r="K360" s="20" t="n">
        <v>0.5</v>
      </c>
      <c r="L360" s="19" t="n">
        <v>0.64</v>
      </c>
      <c r="M360" s="19">
        <f>1 - (1 - L360)^(1/12)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17" t="n">
        <v>3</v>
      </c>
      <c r="J361" s="22" t="n">
        <v>0.7127873628832213</v>
      </c>
      <c r="K361" s="22" t="n">
        <v>0.5</v>
      </c>
      <c r="L361" s="21" t="n">
        <v>0.64</v>
      </c>
      <c r="M361" s="21">
        <f>1 - (1 - L361)^(1/12)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5" t="n">
        <v>3</v>
      </c>
      <c r="J362" s="20" t="n">
        <v>0.7127873628832213</v>
      </c>
      <c r="K362" s="20" t="n">
        <v>0.5</v>
      </c>
      <c r="L362" s="19" t="n">
        <v>0.64</v>
      </c>
      <c r="M362" s="19">
        <f>1 - (1 - L362)^(1/12)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17" t="n">
        <v>3</v>
      </c>
      <c r="J363" s="22" t="n">
        <v>0.7127873628832213</v>
      </c>
      <c r="K363" s="22" t="n">
        <v>0.5</v>
      </c>
      <c r="L363" s="21" t="n">
        <v>0.64</v>
      </c>
      <c r="M363" s="21">
        <f>1 - (1 - L363)^(1/12)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5" t="n">
        <v>3</v>
      </c>
      <c r="J364" s="20" t="n">
        <v>0.7127873628832213</v>
      </c>
      <c r="K364" s="20" t="n">
        <v>0.5</v>
      </c>
      <c r="L364" s="19" t="n">
        <v>0.64</v>
      </c>
      <c r="M364" s="19">
        <f>1 - (1 - L364)^(1/12)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17" t="n">
        <v>3</v>
      </c>
      <c r="J365" s="22" t="n">
        <v>0.7127873628832213</v>
      </c>
      <c r="K365" s="22" t="n">
        <v>0.5</v>
      </c>
      <c r="L365" s="21" t="n">
        <v>0.64</v>
      </c>
      <c r="M365" s="21">
        <f>1 - (1 - L365)^(1/12)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5" t="n">
        <v>3</v>
      </c>
      <c r="J366" s="20" t="n">
        <v>0.7127873628832213</v>
      </c>
      <c r="K366" s="20" t="n">
        <v>0.5</v>
      </c>
      <c r="L366" s="19" t="n">
        <v>0.64</v>
      </c>
      <c r="M366" s="19">
        <f>1 - (1 - L366)^(1/12)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17" t="n">
        <v>3</v>
      </c>
      <c r="J367" s="22" t="n">
        <v>0.7127873628832213</v>
      </c>
      <c r="K367" s="22" t="n">
        <v>0.5</v>
      </c>
      <c r="L367" s="21" t="n">
        <v>0.64</v>
      </c>
      <c r="M367" s="21">
        <f>1 - (1 - L367)^(1/12)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5" t="n">
        <v>3</v>
      </c>
      <c r="J368" s="20" t="n">
        <v>0.7127873628832213</v>
      </c>
      <c r="K368" s="20" t="n">
        <v>0.5</v>
      </c>
      <c r="L368" s="19" t="n">
        <v>0.64</v>
      </c>
      <c r="M368" s="19">
        <f>1 - (1 - L368)^(1/12)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17" t="n">
        <v>3</v>
      </c>
      <c r="J369" s="22" t="n">
        <v>0.7127873628832213</v>
      </c>
      <c r="K369" s="22" t="n">
        <v>0.5</v>
      </c>
      <c r="L369" s="21" t="n">
        <v>0.64</v>
      </c>
      <c r="M369" s="21">
        <f>1 - (1 - L369)^(1/12)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5" t="n">
        <v>3</v>
      </c>
      <c r="J370" s="20" t="n">
        <v>0.7127873628832213</v>
      </c>
      <c r="K370" s="20" t="n">
        <v>0.5</v>
      </c>
      <c r="L370" s="19" t="n">
        <v>0.64</v>
      </c>
      <c r="M370" s="19">
        <f>1 - (1 - L370)^(1/12)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17" t="n">
        <v>3</v>
      </c>
      <c r="J371" s="22" t="n">
        <v>0.7127873628832213</v>
      </c>
      <c r="K371" s="22" t="n">
        <v>0.5</v>
      </c>
      <c r="L371" s="21" t="n">
        <v>0.64</v>
      </c>
      <c r="M371" s="21">
        <f>1 - (1 - L371)^(1/12)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5" t="n">
        <v>3</v>
      </c>
      <c r="J372" s="20" t="n">
        <v>0.7127873628832213</v>
      </c>
      <c r="K372" s="20" t="n">
        <v>0.5</v>
      </c>
      <c r="L372" s="19" t="n">
        <v>0.64</v>
      </c>
      <c r="M372" s="19">
        <f>1 - (1 - L372)^(1/12)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17" t="n">
        <v>3</v>
      </c>
      <c r="J373" s="22" t="n">
        <v>0.7127873628832213</v>
      </c>
      <c r="K373" s="22" t="n">
        <v>0.5</v>
      </c>
      <c r="L373" s="21" t="n">
        <v>0.64</v>
      </c>
      <c r="M373" s="21">
        <f>1 - (1 - L373)^(1/12)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5" t="n">
        <v>3</v>
      </c>
      <c r="J374" s="20" t="n">
        <v>0.7127873628832213</v>
      </c>
      <c r="K374" s="20" t="n">
        <v>0.5</v>
      </c>
      <c r="L374" s="19" t="n">
        <v>0.64</v>
      </c>
      <c r="M374" s="19">
        <f>1 - (1 - L374)^(1/12)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17" t="n">
        <v>3</v>
      </c>
      <c r="J375" s="22" t="n">
        <v>0.7127873628832213</v>
      </c>
      <c r="K375" s="22" t="n">
        <v>0.5</v>
      </c>
      <c r="L375" s="21" t="n">
        <v>0.64</v>
      </c>
      <c r="M375" s="21">
        <f>1 - (1 - L375)^(1/12)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5" t="n">
        <v>3</v>
      </c>
      <c r="J376" s="20" t="n">
        <v>0.7127873628832213</v>
      </c>
      <c r="K376" s="20" t="n">
        <v>0.5</v>
      </c>
      <c r="L376" s="19" t="n">
        <v>0.64</v>
      </c>
      <c r="M376" s="19">
        <f>1 - (1 - L376)^(1/12)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17" t="n">
        <v>3</v>
      </c>
      <c r="J377" s="22" t="n">
        <v>0.7127873628832213</v>
      </c>
      <c r="K377" s="22" t="n">
        <v>0.5</v>
      </c>
      <c r="L377" s="21" t="n">
        <v>0.64</v>
      </c>
      <c r="M377" s="21">
        <f>1 - (1 - L377)^(1/12)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5" t="n">
        <v>3</v>
      </c>
      <c r="J378" s="20" t="n">
        <v>0.7127873628832213</v>
      </c>
      <c r="K378" s="20" t="n">
        <v>0.5</v>
      </c>
      <c r="L378" s="19" t="n">
        <v>0.64</v>
      </c>
      <c r="M378" s="19">
        <f>1 - (1 - L378)^(1/12)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17" t="n">
        <v>3</v>
      </c>
      <c r="J379" s="22" t="n">
        <v>0.7127873628832213</v>
      </c>
      <c r="K379" s="22" t="n">
        <v>0.5</v>
      </c>
      <c r="L379" s="21" t="n">
        <v>0.64</v>
      </c>
      <c r="M379" s="21">
        <f>1 - (1 - L379)^(1/12)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5" t="n">
        <v>3</v>
      </c>
      <c r="J380" s="20" t="n">
        <v>0.7127873628832213</v>
      </c>
      <c r="K380" s="20" t="n">
        <v>0.5</v>
      </c>
      <c r="L380" s="19" t="n">
        <v>0.64</v>
      </c>
      <c r="M380" s="19">
        <f>1 - (1 - L380)^(1/12)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17" t="n">
        <v>3</v>
      </c>
      <c r="J381" s="22" t="n">
        <v>0.7127873628832213</v>
      </c>
      <c r="K381" s="22" t="n">
        <v>0.5</v>
      </c>
      <c r="L381" s="21" t="n">
        <v>0.64</v>
      </c>
      <c r="M381" s="21">
        <f>1 - (1 - L381)^(1/12)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5" t="n">
        <v>3</v>
      </c>
      <c r="J382" s="20" t="n">
        <v>0.7127873628832213</v>
      </c>
      <c r="K382" s="20" t="n">
        <v>0.5</v>
      </c>
      <c r="L382" s="19" t="n">
        <v>0.64</v>
      </c>
      <c r="M382" s="19">
        <f>1 - (1 - L382)^(1/12)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17" t="n">
        <v>3</v>
      </c>
      <c r="J383" s="22" t="n">
        <v>0.7127873628832213</v>
      </c>
      <c r="K383" s="22" t="n">
        <v>0.5</v>
      </c>
      <c r="L383" s="21" t="n">
        <v>0.64</v>
      </c>
      <c r="M383" s="21">
        <f>1 - (1 - L383)^(1/12)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5" t="n">
        <v>3</v>
      </c>
      <c r="J384" s="20" t="n">
        <v>0.7127873628832213</v>
      </c>
      <c r="K384" s="20" t="n">
        <v>0.5</v>
      </c>
      <c r="L384" s="19" t="n">
        <v>0.64</v>
      </c>
      <c r="M384" s="19">
        <f>1 - (1 - L384)^(1/12)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17" t="n">
        <v>3</v>
      </c>
      <c r="J385" s="22" t="n">
        <v>0.7127873628832213</v>
      </c>
      <c r="K385" s="22" t="n">
        <v>0.5</v>
      </c>
      <c r="L385" s="21" t="n">
        <v>0.64</v>
      </c>
      <c r="M385" s="21">
        <f>1 - (1 - L385)^(1/12)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5" t="n">
        <v>3</v>
      </c>
      <c r="J386" s="20" t="n">
        <v>0.7127873628832213</v>
      </c>
      <c r="K386" s="20" t="n">
        <v>0.5</v>
      </c>
      <c r="L386" s="19" t="n">
        <v>0.64</v>
      </c>
      <c r="M386" s="19">
        <f>1 - (1 - L386)^(1/12)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17" t="n">
        <v>3</v>
      </c>
      <c r="J387" s="22" t="n">
        <v>0.7127873628832213</v>
      </c>
      <c r="K387" s="22" t="n">
        <v>0.5</v>
      </c>
      <c r="L387" s="21" t="n">
        <v>0.64</v>
      </c>
      <c r="M387" s="21">
        <f>1 - (1 - L387)^(1/12)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5" t="n">
        <v>3</v>
      </c>
      <c r="J388" s="20" t="n">
        <v>0.7127873628832213</v>
      </c>
      <c r="K388" s="20" t="n">
        <v>0.5</v>
      </c>
      <c r="L388" s="19" t="n">
        <v>0.64</v>
      </c>
      <c r="M388" s="19">
        <f>1 - (1 - L388)^(1/12)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17" t="n">
        <v>3</v>
      </c>
      <c r="J389" s="22" t="n">
        <v>0.7127873628832213</v>
      </c>
      <c r="K389" s="22" t="n">
        <v>0.5</v>
      </c>
      <c r="L389" s="21" t="n">
        <v>0.64</v>
      </c>
      <c r="M389" s="21">
        <f>1 - (1 - L389)^(1/12)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5" t="n">
        <v>3</v>
      </c>
      <c r="J390" s="20" t="n">
        <v>0.7127873628832213</v>
      </c>
      <c r="K390" s="20" t="n">
        <v>0.5</v>
      </c>
      <c r="L390" s="19" t="n">
        <v>0.64</v>
      </c>
      <c r="M390" s="19">
        <f>1 - (1 - L390)^(1/12)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17" t="n">
        <v>3</v>
      </c>
      <c r="J391" s="22" t="n">
        <v>0.7127873628832213</v>
      </c>
      <c r="K391" s="22" t="n">
        <v>0.5</v>
      </c>
      <c r="L391" s="21" t="n">
        <v>0.64</v>
      </c>
      <c r="M391" s="21">
        <f>1 - (1 - L391)^(1/12)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5" t="n">
        <v>3</v>
      </c>
      <c r="J392" s="20" t="n">
        <v>0.7127873628832213</v>
      </c>
      <c r="K392" s="20" t="n">
        <v>0.5</v>
      </c>
      <c r="L392" s="19" t="n">
        <v>0.64</v>
      </c>
      <c r="M392" s="19">
        <f>1 - (1 - L392)^(1/12)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17" t="n">
        <v>3</v>
      </c>
      <c r="J393" s="22" t="n">
        <v>0.7127873628832213</v>
      </c>
      <c r="K393" s="22" t="n">
        <v>0.5</v>
      </c>
      <c r="L393" s="21" t="n">
        <v>0.64</v>
      </c>
      <c r="M393" s="21">
        <f>1 - (1 - L393)^(1/12)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5" t="n">
        <v>3</v>
      </c>
      <c r="J394" s="20" t="n">
        <v>0.7127873628832213</v>
      </c>
      <c r="K394" s="20" t="n">
        <v>0.5</v>
      </c>
      <c r="L394" s="19" t="n">
        <v>0.64</v>
      </c>
      <c r="M394" s="19">
        <f>1 - (1 - L394)^(1/12)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17" t="n">
        <v>3</v>
      </c>
      <c r="J395" s="22" t="n">
        <v>0.7127873628832213</v>
      </c>
      <c r="K395" s="22" t="n">
        <v>0.5</v>
      </c>
      <c r="L395" s="21" t="n">
        <v>0.64</v>
      </c>
      <c r="M395" s="21">
        <f>1 - (1 - L395)^(1/12)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5" t="n">
        <v>3</v>
      </c>
      <c r="J396" s="20" t="n">
        <v>0.7127873628832213</v>
      </c>
      <c r="K396" s="20" t="n">
        <v>0.5</v>
      </c>
      <c r="L396" s="19" t="n">
        <v>0.64</v>
      </c>
      <c r="M396" s="19">
        <f>1 - (1 - L396)^(1/12)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17" t="n">
        <v>3</v>
      </c>
      <c r="J397" s="22" t="n">
        <v>0.7127873628832213</v>
      </c>
      <c r="K397" s="22" t="n">
        <v>0.5</v>
      </c>
      <c r="L397" s="21" t="n">
        <v>0.64</v>
      </c>
      <c r="M397" s="21">
        <f>1 - (1 - L397)^(1/12)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5" t="n">
        <v>3</v>
      </c>
      <c r="J398" s="20" t="n">
        <v>0.7127873628832213</v>
      </c>
      <c r="K398" s="20" t="n">
        <v>0.5</v>
      </c>
      <c r="L398" s="19" t="n">
        <v>0.64</v>
      </c>
      <c r="M398" s="19">
        <f>1 - (1 - L398)^(1/12)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17" t="n">
        <v>3</v>
      </c>
      <c r="J399" s="22" t="n">
        <v>0.7127873628832213</v>
      </c>
      <c r="K399" s="22" t="n">
        <v>0.5</v>
      </c>
      <c r="L399" s="21" t="n">
        <v>0.64</v>
      </c>
      <c r="M399" s="21">
        <f>1 - (1 - L399)^(1/12)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5" t="n">
        <v>3</v>
      </c>
      <c r="J400" s="20" t="n">
        <v>0.7127873628832213</v>
      </c>
      <c r="K400" s="20" t="n">
        <v>0.5</v>
      </c>
      <c r="L400" s="19" t="n">
        <v>0.64</v>
      </c>
      <c r="M400" s="19">
        <f>1 - (1 - L400)^(1/12)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17" t="n">
        <v>3</v>
      </c>
      <c r="J401" s="22" t="n">
        <v>0.7127873628832213</v>
      </c>
      <c r="K401" s="22" t="n">
        <v>0.5</v>
      </c>
      <c r="L401" s="21" t="n">
        <v>0.64</v>
      </c>
      <c r="M401" s="21">
        <f>1 - (1 - L401)^(1/12)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5" t="n">
        <v>3</v>
      </c>
      <c r="J402" s="20" t="n">
        <v>0.7127873628832213</v>
      </c>
      <c r="K402" s="20" t="n">
        <v>0.5</v>
      </c>
      <c r="L402" s="19" t="n">
        <v>0.64</v>
      </c>
      <c r="M402" s="19">
        <f>1 - (1 - L402)^(1/12)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17" t="n">
        <v>3</v>
      </c>
      <c r="J403" s="22" t="n">
        <v>0.7127873628832213</v>
      </c>
      <c r="K403" s="22" t="n">
        <v>0.5</v>
      </c>
      <c r="L403" s="21" t="n">
        <v>0.64</v>
      </c>
      <c r="M403" s="21">
        <f>1 - (1 - L403)^(1/12)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5" t="n">
        <v>3</v>
      </c>
      <c r="J404" s="20" t="n">
        <v>0.7127873628832213</v>
      </c>
      <c r="K404" s="20" t="n">
        <v>0.5</v>
      </c>
      <c r="L404" s="19" t="n">
        <v>0.64</v>
      </c>
      <c r="M404" s="19">
        <f>1 - (1 - L404)^(1/12)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17" t="n">
        <v>3</v>
      </c>
      <c r="J405" s="22" t="n">
        <v>0.7127873628832213</v>
      </c>
      <c r="K405" s="22" t="n">
        <v>0.5</v>
      </c>
      <c r="L405" s="21" t="n">
        <v>0.64</v>
      </c>
      <c r="M405" s="21">
        <f>1 - (1 - L405)^(1/12)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5" t="n">
        <v>3</v>
      </c>
      <c r="J406" s="20" t="n">
        <v>0.7127873628832213</v>
      </c>
      <c r="K406" s="20" t="n">
        <v>0.5</v>
      </c>
      <c r="L406" s="19" t="n">
        <v>0.64</v>
      </c>
      <c r="M406" s="19">
        <f>1 - (1 - L406)^(1/12)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17" t="n">
        <v>3</v>
      </c>
      <c r="J407" s="22" t="n">
        <v>0.7127873628832213</v>
      </c>
      <c r="K407" s="22" t="n">
        <v>0.5</v>
      </c>
      <c r="L407" s="21" t="n">
        <v>0.64</v>
      </c>
      <c r="M407" s="21">
        <f>1 - (1 - L407)^(1/12)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5" t="n">
        <v>3</v>
      </c>
      <c r="J408" s="20" t="n">
        <v>0.7127873628832213</v>
      </c>
      <c r="K408" s="20" t="n">
        <v>0.5</v>
      </c>
      <c r="L408" s="19" t="n">
        <v>0.64</v>
      </c>
      <c r="M408" s="19">
        <f>1 - (1 - L408)^(1/12)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17" t="n">
        <v>3</v>
      </c>
      <c r="J409" s="22" t="n">
        <v>0.7127873628832213</v>
      </c>
      <c r="K409" s="22" t="n">
        <v>0.5</v>
      </c>
      <c r="L409" s="21" t="n">
        <v>0.64</v>
      </c>
      <c r="M409" s="21">
        <f>1 - (1 - L409)^(1/12)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5" t="n">
        <v>3</v>
      </c>
      <c r="J410" s="20" t="n">
        <v>0.7127873628832213</v>
      </c>
      <c r="K410" s="20" t="n">
        <v>0.5</v>
      </c>
      <c r="L410" s="19" t="n">
        <v>0.64</v>
      </c>
      <c r="M410" s="19">
        <f>1 - (1 - L410)^(1/12)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17" t="n">
        <v>3</v>
      </c>
      <c r="J411" s="22" t="n">
        <v>0.7127873628832213</v>
      </c>
      <c r="K411" s="22" t="n">
        <v>0.5</v>
      </c>
      <c r="L411" s="21" t="n">
        <v>0.64</v>
      </c>
      <c r="M411" s="21">
        <f>1 - (1 - L411)^(1/12)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5" t="n">
        <v>3</v>
      </c>
      <c r="J412" s="20" t="n">
        <v>0.7127873628832213</v>
      </c>
      <c r="K412" s="20" t="n">
        <v>0.5</v>
      </c>
      <c r="L412" s="19" t="n">
        <v>0.64</v>
      </c>
      <c r="M412" s="19">
        <f>1 - (1 - L412)^(1/12)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17" t="n">
        <v>3</v>
      </c>
      <c r="J413" s="22" t="n">
        <v>0.7127873628832213</v>
      </c>
      <c r="K413" s="22" t="n">
        <v>0.5</v>
      </c>
      <c r="L413" s="21" t="n">
        <v>0.64</v>
      </c>
      <c r="M413" s="21">
        <f>1 - (1 - L413)^(1/12)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5" t="n">
        <v>3</v>
      </c>
      <c r="J414" s="20" t="n">
        <v>0.7127873628832213</v>
      </c>
      <c r="K414" s="20" t="n">
        <v>0.5</v>
      </c>
      <c r="L414" s="19" t="n">
        <v>0.64</v>
      </c>
      <c r="M414" s="19">
        <f>1 - (1 - L414)^(1/12)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17" t="n">
        <v>3</v>
      </c>
      <c r="J415" s="22" t="n">
        <v>0.7127873628832213</v>
      </c>
      <c r="K415" s="22" t="n">
        <v>0.5</v>
      </c>
      <c r="L415" s="21" t="n">
        <v>0.64</v>
      </c>
      <c r="M415" s="21">
        <f>1 - (1 - L415)^(1/12)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5" t="n">
        <v>3</v>
      </c>
      <c r="J416" s="20" t="n">
        <v>0.7127873628832213</v>
      </c>
      <c r="K416" s="20" t="n">
        <v>0.5</v>
      </c>
      <c r="L416" s="19" t="n">
        <v>0.64</v>
      </c>
      <c r="M416" s="19">
        <f>1 - (1 - L416)^(1/12)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17" t="n">
        <v>3</v>
      </c>
      <c r="J417" s="22" t="n">
        <v>0.7127873628832213</v>
      </c>
      <c r="K417" s="22" t="n">
        <v>0.5</v>
      </c>
      <c r="L417" s="21" t="n">
        <v>0.64</v>
      </c>
      <c r="M417" s="21">
        <f>1 - (1 - L417)^(1/12)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5" t="n">
        <v>3</v>
      </c>
      <c r="J418" s="20" t="n">
        <v>0.7127873628832213</v>
      </c>
      <c r="K418" s="20" t="n">
        <v>0.5</v>
      </c>
      <c r="L418" s="19" t="n">
        <v>0.64</v>
      </c>
      <c r="M418" s="19">
        <f>1 - (1 - L418)^(1/12)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17" t="n">
        <v>3</v>
      </c>
      <c r="J419" s="22" t="n">
        <v>0.7127873628832213</v>
      </c>
      <c r="K419" s="22" t="n">
        <v>0.5</v>
      </c>
      <c r="L419" s="21" t="n">
        <v>0.64</v>
      </c>
      <c r="M419" s="21">
        <f>1 - (1 - L419)^(1/12)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5" t="n">
        <v>3</v>
      </c>
      <c r="J420" s="20" t="n">
        <v>0.7127873628832213</v>
      </c>
      <c r="K420" s="20" t="n">
        <v>0.5</v>
      </c>
      <c r="L420" s="19" t="n">
        <v>0.64</v>
      </c>
      <c r="M420" s="19">
        <f>1 - (1 - L420)^(1/12)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17" t="n">
        <v>3</v>
      </c>
      <c r="J421" s="22" t="n">
        <v>0.7127873628832213</v>
      </c>
      <c r="K421" s="22" t="n">
        <v>0.5</v>
      </c>
      <c r="L421" s="21" t="n">
        <v>0.64</v>
      </c>
      <c r="M421" s="21">
        <f>1 - (1 - L421)^(1/12)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5" t="n">
        <v>3</v>
      </c>
      <c r="J422" s="20" t="n">
        <v>0.7127873628832213</v>
      </c>
      <c r="K422" s="20" t="n">
        <v>0.5</v>
      </c>
      <c r="L422" s="19" t="n">
        <v>0.64</v>
      </c>
      <c r="M422" s="19">
        <f>1 - (1 - L422)^(1/12)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17" t="n">
        <v>3</v>
      </c>
      <c r="J423" s="22" t="n">
        <v>0.7127873628832213</v>
      </c>
      <c r="K423" s="22" t="n">
        <v>0.5</v>
      </c>
      <c r="L423" s="21" t="n">
        <v>0.64</v>
      </c>
      <c r="M423" s="21">
        <f>1 - (1 - L423)^(1/12)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5" t="n">
        <v>3</v>
      </c>
      <c r="J424" s="20" t="n">
        <v>0.7127873628832213</v>
      </c>
      <c r="K424" s="20" t="n">
        <v>0.5</v>
      </c>
      <c r="L424" s="19" t="n">
        <v>0.64</v>
      </c>
      <c r="M424" s="19">
        <f>1 - (1 - L424)^(1/12)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17" t="n">
        <v>3</v>
      </c>
      <c r="J425" s="22" t="n">
        <v>0.7127873628832213</v>
      </c>
      <c r="K425" s="22" t="n">
        <v>0.5</v>
      </c>
      <c r="L425" s="21" t="n">
        <v>0.64</v>
      </c>
      <c r="M425" s="21">
        <f>1 - (1 - L425)^(1/12)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5" t="n">
        <v>3</v>
      </c>
      <c r="J426" s="20" t="n">
        <v>0.7127873628832213</v>
      </c>
      <c r="K426" s="20" t="n">
        <v>0.5</v>
      </c>
      <c r="L426" s="19" t="n">
        <v>0.64</v>
      </c>
      <c r="M426" s="19">
        <f>1 - (1 - L426)^(1/12)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17" t="n">
        <v>3</v>
      </c>
      <c r="J427" s="22" t="n">
        <v>0.7127873628832213</v>
      </c>
      <c r="K427" s="22" t="n">
        <v>0.5</v>
      </c>
      <c r="L427" s="21" t="n">
        <v>0.64</v>
      </c>
      <c r="M427" s="21">
        <f>1 - (1 - L427)^(1/12)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5" t="n">
        <v>3</v>
      </c>
      <c r="J428" s="20" t="n">
        <v>0.7127873628832213</v>
      </c>
      <c r="K428" s="20" t="n">
        <v>0.5</v>
      </c>
      <c r="L428" s="19" t="n">
        <v>0.64</v>
      </c>
      <c r="M428" s="19">
        <f>1 - (1 - L428)^(1/12)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17" t="n">
        <v>3</v>
      </c>
      <c r="J429" s="22" t="n">
        <v>0.7127873628832213</v>
      </c>
      <c r="K429" s="22" t="n">
        <v>0.5</v>
      </c>
      <c r="L429" s="21" t="n">
        <v>0.64</v>
      </c>
      <c r="M429" s="21">
        <f>1 - (1 - L429)^(1/12)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5" t="n">
        <v>3</v>
      </c>
      <c r="J430" s="20" t="n">
        <v>0.7127873628832213</v>
      </c>
      <c r="K430" s="20" t="n">
        <v>0.5</v>
      </c>
      <c r="L430" s="19" t="n">
        <v>0.64</v>
      </c>
      <c r="M430" s="19">
        <f>1 - (1 - L430)^(1/12)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17" t="n">
        <v>3</v>
      </c>
      <c r="J431" s="22" t="n">
        <v>0.7127873628832213</v>
      </c>
      <c r="K431" s="22" t="n">
        <v>0.5</v>
      </c>
      <c r="L431" s="21" t="n">
        <v>0.64</v>
      </c>
      <c r="M431" s="21">
        <f>1 - (1 - L431)^(1/12)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5" t="n">
        <v>3</v>
      </c>
      <c r="J432" s="20" t="n">
        <v>0.7127873628832213</v>
      </c>
      <c r="K432" s="20" t="n">
        <v>0.5</v>
      </c>
      <c r="L432" s="19" t="n">
        <v>0.64</v>
      </c>
      <c r="M432" s="19">
        <f>1 - (1 - L432)^(1/12)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17" t="n">
        <v>3</v>
      </c>
      <c r="J433" s="22" t="n">
        <v>0.7127873628832213</v>
      </c>
      <c r="K433" s="22" t="n">
        <v>0.5</v>
      </c>
      <c r="L433" s="21" t="n">
        <v>0.64</v>
      </c>
      <c r="M433" s="21">
        <f>1 - (1 - L433)^(1/12)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5" t="n">
        <v>3</v>
      </c>
      <c r="J434" s="20" t="n">
        <v>0.7127873628832213</v>
      </c>
      <c r="K434" s="20" t="n">
        <v>0.5</v>
      </c>
      <c r="L434" s="19" t="n">
        <v>0.64</v>
      </c>
      <c r="M434" s="19">
        <f>1 - (1 - L434)^(1/12)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17" t="n">
        <v>3</v>
      </c>
      <c r="J435" s="22" t="n">
        <v>0.7127873628832213</v>
      </c>
      <c r="K435" s="22" t="n">
        <v>0.5</v>
      </c>
      <c r="L435" s="21" t="n">
        <v>0.64</v>
      </c>
      <c r="M435" s="21">
        <f>1 - (1 - L435)^(1/12)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5" t="n">
        <v>3</v>
      </c>
      <c r="J436" s="20" t="n">
        <v>0.7127873628832213</v>
      </c>
      <c r="K436" s="20" t="n">
        <v>0.5</v>
      </c>
      <c r="L436" s="19" t="n">
        <v>0.64</v>
      </c>
      <c r="M436" s="19">
        <f>1 - (1 - L436)^(1/12)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17" t="n">
        <v>3</v>
      </c>
      <c r="J437" s="22" t="n">
        <v>0.7127873628832213</v>
      </c>
      <c r="K437" s="22" t="n">
        <v>0.5</v>
      </c>
      <c r="L437" s="21" t="n">
        <v>0.64</v>
      </c>
      <c r="M437" s="21">
        <f>1 - (1 - L437)^(1/12)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5" t="n">
        <v>3</v>
      </c>
      <c r="J438" s="20" t="n">
        <v>0.7127873628832213</v>
      </c>
      <c r="K438" s="20" t="n">
        <v>0.5</v>
      </c>
      <c r="L438" s="19" t="n">
        <v>0.64</v>
      </c>
      <c r="M438" s="19">
        <f>1 - (1 - L438)^(1/12)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17" t="n">
        <v>3</v>
      </c>
      <c r="J439" s="22" t="n">
        <v>0.7127873628832213</v>
      </c>
      <c r="K439" s="22" t="n">
        <v>0.5</v>
      </c>
      <c r="L439" s="21" t="n">
        <v>0.64</v>
      </c>
      <c r="M439" s="21">
        <f>1 - (1 - L439)^(1/12)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5" t="n">
        <v>3</v>
      </c>
      <c r="J440" s="20" t="n">
        <v>0.7127873628832213</v>
      </c>
      <c r="K440" s="20" t="n">
        <v>0.5</v>
      </c>
      <c r="L440" s="19" t="n">
        <v>0.64</v>
      </c>
      <c r="M440" s="19">
        <f>1 - (1 - L440)^(1/12)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17" t="n">
        <v>3</v>
      </c>
      <c r="J441" s="22" t="n">
        <v>0.7127873628832213</v>
      </c>
      <c r="K441" s="22" t="n">
        <v>0.5</v>
      </c>
      <c r="L441" s="21" t="n">
        <v>0.64</v>
      </c>
      <c r="M441" s="21">
        <f>1 - (1 - L441)^(1/12)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5" t="n">
        <v>3</v>
      </c>
      <c r="J442" s="20" t="n">
        <v>0.7127873628832213</v>
      </c>
      <c r="K442" s="20" t="n">
        <v>0.5</v>
      </c>
      <c r="L442" s="19" t="n">
        <v>0.64</v>
      </c>
      <c r="M442" s="19">
        <f>1 - (1 - L442)^(1/12)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17" t="n">
        <v>3</v>
      </c>
      <c r="J443" s="22" t="n">
        <v>0.7127873628832213</v>
      </c>
      <c r="K443" s="22" t="n">
        <v>0.5</v>
      </c>
      <c r="L443" s="21" t="n">
        <v>0.64</v>
      </c>
      <c r="M443" s="21">
        <f>1 - (1 - L443)^(1/12)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5" t="n">
        <v>3</v>
      </c>
      <c r="J444" s="20" t="n">
        <v>0.7127873628832213</v>
      </c>
      <c r="K444" s="20" t="n">
        <v>0.5</v>
      </c>
      <c r="L444" s="19" t="n">
        <v>0.64</v>
      </c>
      <c r="M444" s="19">
        <f>1 - (1 - L444)^(1/12)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17" t="n">
        <v>3</v>
      </c>
      <c r="J445" s="22" t="n">
        <v>0.7127873628832213</v>
      </c>
      <c r="K445" s="22" t="n">
        <v>0.5</v>
      </c>
      <c r="L445" s="21" t="n">
        <v>0.64</v>
      </c>
      <c r="M445" s="21">
        <f>1 - (1 - L445)^(1/12)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5" t="n">
        <v>3</v>
      </c>
      <c r="J446" s="20" t="n">
        <v>0.7127873628832213</v>
      </c>
      <c r="K446" s="20" t="n">
        <v>0.5</v>
      </c>
      <c r="L446" s="19" t="n">
        <v>0.64</v>
      </c>
      <c r="M446" s="19">
        <f>1 - (1 - L446)^(1/12)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17" t="n">
        <v>3</v>
      </c>
      <c r="J447" s="22" t="n">
        <v>0.7127873628832213</v>
      </c>
      <c r="K447" s="22" t="n">
        <v>0.5</v>
      </c>
      <c r="L447" s="21" t="n">
        <v>0.64</v>
      </c>
      <c r="M447" s="21">
        <f>1 - (1 - L447)^(1/12)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5" t="n">
        <v>3</v>
      </c>
      <c r="J448" s="20" t="n">
        <v>0.7127873628832213</v>
      </c>
      <c r="K448" s="20" t="n">
        <v>0.5</v>
      </c>
      <c r="L448" s="19" t="n">
        <v>0.64</v>
      </c>
      <c r="M448" s="19">
        <f>1 - (1 - L448)^(1/12)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17" t="n">
        <v>3</v>
      </c>
      <c r="J449" s="22" t="n">
        <v>0.7127873628832213</v>
      </c>
      <c r="K449" s="22" t="n">
        <v>0.5</v>
      </c>
      <c r="L449" s="21" t="n">
        <v>0.64</v>
      </c>
      <c r="M449" s="21">
        <f>1 - (1 - L449)^(1/12)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5" t="n">
        <v>3</v>
      </c>
      <c r="J450" s="20" t="n">
        <v>0.7127873628832213</v>
      </c>
      <c r="K450" s="20" t="n">
        <v>0.5</v>
      </c>
      <c r="L450" s="19" t="n">
        <v>0.64</v>
      </c>
      <c r="M450" s="19">
        <f>1 - (1 - L450)^(1/12)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17" t="n">
        <v>3</v>
      </c>
      <c r="J451" s="22" t="n">
        <v>0.7127873628832213</v>
      </c>
      <c r="K451" s="22" t="n">
        <v>0.5</v>
      </c>
      <c r="L451" s="21" t="n">
        <v>0.64</v>
      </c>
      <c r="M451" s="21">
        <f>1 - (1 - L451)^(1/12)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5" t="n">
        <v>3</v>
      </c>
      <c r="J452" s="20" t="n">
        <v>0.7127873628832213</v>
      </c>
      <c r="K452" s="20" t="n">
        <v>0.5</v>
      </c>
      <c r="L452" s="19" t="n">
        <v>0.64</v>
      </c>
      <c r="M452" s="19">
        <f>1 - (1 - L452)^(1/12)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17" t="n">
        <v>3</v>
      </c>
      <c r="J453" s="22" t="n">
        <v>0.7127873628832213</v>
      </c>
      <c r="K453" s="22" t="n">
        <v>0.5</v>
      </c>
      <c r="L453" s="21" t="n">
        <v>0.64</v>
      </c>
      <c r="M453" s="21">
        <f>1 - (1 - L453)^(1/12)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5" t="n">
        <v>3</v>
      </c>
      <c r="J454" s="20" t="n">
        <v>0.7127873628832213</v>
      </c>
      <c r="K454" s="20" t="n">
        <v>0.5</v>
      </c>
      <c r="L454" s="19" t="n">
        <v>0.64</v>
      </c>
      <c r="M454" s="19">
        <f>1 - (1 - L454)^(1/12)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17" t="n">
        <v>3</v>
      </c>
      <c r="J455" s="22" t="n">
        <v>0.7127873628832213</v>
      </c>
      <c r="K455" s="22" t="n">
        <v>0.5</v>
      </c>
      <c r="L455" s="21" t="n">
        <v>0.64</v>
      </c>
      <c r="M455" s="21">
        <f>1 - (1 - L455)^(1/12)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5" t="n">
        <v>3</v>
      </c>
      <c r="J456" s="20" t="n">
        <v>0.7127873628832213</v>
      </c>
      <c r="K456" s="20" t="n">
        <v>0.5</v>
      </c>
      <c r="L456" s="19" t="n">
        <v>0.64</v>
      </c>
      <c r="M456" s="19">
        <f>1 - (1 - L456)^(1/12)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17" t="n">
        <v>3</v>
      </c>
      <c r="J457" s="22" t="n">
        <v>0.7127873628832213</v>
      </c>
      <c r="K457" s="22" t="n">
        <v>0.5</v>
      </c>
      <c r="L457" s="21" t="n">
        <v>0.64</v>
      </c>
      <c r="M457" s="21">
        <f>1 - (1 - L457)^(1/12)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5" t="n">
        <v>3</v>
      </c>
      <c r="J458" s="20" t="n">
        <v>0.7127873628832213</v>
      </c>
      <c r="K458" s="20" t="n">
        <v>0.5</v>
      </c>
      <c r="L458" s="19" t="n">
        <v>0.64</v>
      </c>
      <c r="M458" s="19">
        <f>1 - (1 - L458)^(1/12)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17" t="n">
        <v>3</v>
      </c>
      <c r="J459" s="22" t="n">
        <v>0.7127873628832213</v>
      </c>
      <c r="K459" s="22" t="n">
        <v>0.5</v>
      </c>
      <c r="L459" s="21" t="n">
        <v>0.64</v>
      </c>
      <c r="M459" s="21">
        <f>1 - (1 - L459)^(1/12)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5" t="n">
        <v>3</v>
      </c>
      <c r="J460" s="20" t="n">
        <v>0.7127873628832213</v>
      </c>
      <c r="K460" s="20" t="n">
        <v>0.5</v>
      </c>
      <c r="L460" s="19" t="n">
        <v>0.64</v>
      </c>
      <c r="M460" s="19">
        <f>1 - (1 - L460)^(1/12)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17" t="n">
        <v>3</v>
      </c>
      <c r="J461" s="22" t="n">
        <v>0.7127873628832213</v>
      </c>
      <c r="K461" s="22" t="n">
        <v>0.5</v>
      </c>
      <c r="L461" s="21" t="n">
        <v>0.64</v>
      </c>
      <c r="M461" s="21">
        <f>1 - (1 - L461)^(1/12)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5" t="n">
        <v>3</v>
      </c>
      <c r="J462" s="20" t="n">
        <v>0.7127873628832213</v>
      </c>
      <c r="K462" s="20" t="n">
        <v>0.5</v>
      </c>
      <c r="L462" s="19" t="n">
        <v>0.64</v>
      </c>
      <c r="M462" s="19">
        <f>1 - (1 - L462)^(1/12)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17" t="n">
        <v>3</v>
      </c>
      <c r="J463" s="22" t="n">
        <v>0.7127873628832213</v>
      </c>
      <c r="K463" s="22" t="n">
        <v>0.5</v>
      </c>
      <c r="L463" s="21" t="n">
        <v>0.64</v>
      </c>
      <c r="M463" s="21">
        <f>1 - (1 - L463)^(1/12)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5" t="n">
        <v>3</v>
      </c>
      <c r="J464" s="20" t="n">
        <v>0.7127873628832213</v>
      </c>
      <c r="K464" s="20" t="n">
        <v>0.5</v>
      </c>
      <c r="L464" s="19" t="n">
        <v>0.64</v>
      </c>
      <c r="M464" s="19">
        <f>1 - (1 - L464)^(1/12)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17" t="n">
        <v>3</v>
      </c>
      <c r="J465" s="22" t="n">
        <v>0.7127873628832213</v>
      </c>
      <c r="K465" s="22" t="n">
        <v>0.5</v>
      </c>
      <c r="L465" s="21" t="n">
        <v>0.64</v>
      </c>
      <c r="M465" s="21">
        <f>1 - (1 - L465)^(1/12)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5" t="n">
        <v>3</v>
      </c>
      <c r="J466" s="20" t="n">
        <v>0.7127873628832213</v>
      </c>
      <c r="K466" s="20" t="n">
        <v>0.5</v>
      </c>
      <c r="L466" s="19" t="n">
        <v>0.64</v>
      </c>
      <c r="M466" s="19">
        <f>1 - (1 - L466)^(1/12)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17" t="n">
        <v>3</v>
      </c>
      <c r="J467" s="22" t="n">
        <v>0.7127873628832213</v>
      </c>
      <c r="K467" s="22" t="n">
        <v>0.5</v>
      </c>
      <c r="L467" s="21" t="n">
        <v>0.64</v>
      </c>
      <c r="M467" s="21">
        <f>1 - (1 - L467)^(1/12)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5" t="n">
        <v>3</v>
      </c>
      <c r="J468" s="20" t="n">
        <v>0.7127873628832213</v>
      </c>
      <c r="K468" s="20" t="n">
        <v>0.5</v>
      </c>
      <c r="L468" s="19" t="n">
        <v>0.64</v>
      </c>
      <c r="M468" s="19">
        <f>1 - (1 - L468)^(1/12)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17" t="n">
        <v>3</v>
      </c>
      <c r="J469" s="22" t="n">
        <v>0.7127873628832213</v>
      </c>
      <c r="K469" s="22" t="n">
        <v>0.5</v>
      </c>
      <c r="L469" s="21" t="n">
        <v>0.64</v>
      </c>
      <c r="M469" s="21">
        <f>1 - (1 - L469)^(1/12)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5" t="n">
        <v>3</v>
      </c>
      <c r="J470" s="20" t="n">
        <v>0.7127873628832213</v>
      </c>
      <c r="K470" s="20" t="n">
        <v>0.5</v>
      </c>
      <c r="L470" s="19" t="n">
        <v>0.64</v>
      </c>
      <c r="M470" s="19">
        <f>1 - (1 - L470)^(1/12)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17" t="n">
        <v>3</v>
      </c>
      <c r="J471" s="22" t="n">
        <v>0.7127873628832213</v>
      </c>
      <c r="K471" s="22" t="n">
        <v>0.5</v>
      </c>
      <c r="L471" s="21" t="n">
        <v>0.64</v>
      </c>
      <c r="M471" s="21">
        <f>1 - (1 - L471)^(1/12)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5" t="n">
        <v>3</v>
      </c>
      <c r="J472" s="20" t="n">
        <v>0.7127873628832213</v>
      </c>
      <c r="K472" s="20" t="n">
        <v>0.5</v>
      </c>
      <c r="L472" s="19" t="n">
        <v>0.64</v>
      </c>
      <c r="M472" s="19">
        <f>1 - (1 - L472)^(1/12)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17" t="n">
        <v>3</v>
      </c>
      <c r="J473" s="22" t="n">
        <v>0.7127873628832213</v>
      </c>
      <c r="K473" s="22" t="n">
        <v>0.5</v>
      </c>
      <c r="L473" s="21" t="n">
        <v>0.64</v>
      </c>
      <c r="M473" s="21">
        <f>1 - (1 - L473)^(1/12)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5" t="n">
        <v>3</v>
      </c>
      <c r="J474" s="20" t="n">
        <v>0.7127873628832213</v>
      </c>
      <c r="K474" s="20" t="n">
        <v>0.5</v>
      </c>
      <c r="L474" s="19" t="n">
        <v>0.64</v>
      </c>
      <c r="M474" s="19">
        <f>1 - (1 - L474)^(1/12)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17" t="n">
        <v>3</v>
      </c>
      <c r="J475" s="22" t="n">
        <v>0.7127873628832213</v>
      </c>
      <c r="K475" s="22" t="n">
        <v>0.5</v>
      </c>
      <c r="L475" s="21" t="n">
        <v>0.64</v>
      </c>
      <c r="M475" s="21">
        <f>1 - (1 - L475)^(1/12)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5" t="n">
        <v>3</v>
      </c>
      <c r="J476" s="20" t="n">
        <v>0.7127873628832213</v>
      </c>
      <c r="K476" s="20" t="n">
        <v>0.5</v>
      </c>
      <c r="L476" s="19" t="n">
        <v>0.64</v>
      </c>
      <c r="M476" s="19">
        <f>1 - (1 - L476)^(1/12)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17" t="n">
        <v>3</v>
      </c>
      <c r="J477" s="22" t="n">
        <v>0.7127873628832213</v>
      </c>
      <c r="K477" s="22" t="n">
        <v>0.5</v>
      </c>
      <c r="L477" s="21" t="n">
        <v>0.64</v>
      </c>
      <c r="M477" s="21">
        <f>1 - (1 - L477)^(1/12)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5" t="n">
        <v>3</v>
      </c>
      <c r="J478" s="20" t="n">
        <v>0.7127873628832213</v>
      </c>
      <c r="K478" s="20" t="n">
        <v>0.5</v>
      </c>
      <c r="L478" s="19" t="n">
        <v>0.64</v>
      </c>
      <c r="M478" s="19">
        <f>1 - (1 - L478)^(1/12)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17" t="n">
        <v>3</v>
      </c>
      <c r="J479" s="22" t="n">
        <v>0.7127873628832213</v>
      </c>
      <c r="K479" s="22" t="n">
        <v>0.5</v>
      </c>
      <c r="L479" s="21" t="n">
        <v>0.64</v>
      </c>
      <c r="M479" s="21">
        <f>1 - (1 - L479)^(1/12)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5" t="n">
        <v>3</v>
      </c>
      <c r="J480" s="20" t="n">
        <v>0.7127873628832213</v>
      </c>
      <c r="K480" s="20" t="n">
        <v>0.5</v>
      </c>
      <c r="L480" s="19" t="n">
        <v>0.64</v>
      </c>
      <c r="M480" s="19">
        <f>1 - (1 - L480)^(1/12)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17" t="n">
        <v>3</v>
      </c>
      <c r="J481" s="22" t="n">
        <v>0.7127873628832213</v>
      </c>
      <c r="K481" s="22" t="n">
        <v>0.5</v>
      </c>
      <c r="L481" s="21" t="n">
        <v>0.64</v>
      </c>
      <c r="M481" s="21">
        <f>1 - (1 - L481)^(1/12)</f>
        <v/>
      </c>
    </row>
  </sheetData>
  <autoFilter ref="A1:M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/>
  </sheetPr>
  <dimension ref="A1:L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4" customWidth="1" min="9" max="9"/>
    <col width="21" customWidth="1" min="10" max="10"/>
    <col width="22" customWidth="1" min="11" max="11"/>
    <col width="22" customWidth="1" min="12" max="12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  <c r="I1" s="14" t="inlineStr">
        <is>
          <t>q_mort_monthly</t>
        </is>
      </c>
      <c r="J1" s="14" t="inlineStr">
        <is>
          <t>q_lapse_monthly</t>
        </is>
      </c>
      <c r="K1" s="14" t="inlineStr">
        <is>
          <t>lives_bop</t>
        </is>
      </c>
      <c r="L1" s="14" t="inlineStr">
        <is>
          <t>lives_eop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0.003532676028288341</v>
      </c>
      <c r="J2" s="19" t="n">
        <v>0.08161409783155471</v>
      </c>
      <c r="K2" s="20">
        <f>1</f>
        <v/>
      </c>
      <c r="L2" s="20">
        <f>K2 * (1 - I2) * (1 - J2)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0.003545200071596757</v>
      </c>
      <c r="J3" s="21" t="n">
        <v>0.08161409783155471</v>
      </c>
      <c r="K3" s="22">
        <f>L2</f>
        <v/>
      </c>
      <c r="L3" s="22">
        <f>K3 * (1 - I3) * (1 - J3)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4.595665217539587e-05</v>
      </c>
      <c r="J4" s="19" t="n">
        <v>0.08161409783155471</v>
      </c>
      <c r="K4" s="20">
        <f>L3</f>
        <v/>
      </c>
      <c r="L4" s="20">
        <f>K4 * (1 - I4) * (1 - J4)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4.595876428634059e-05</v>
      </c>
      <c r="J5" s="21" t="n">
        <v>0.08161409783155471</v>
      </c>
      <c r="K5" s="22">
        <f>L4</f>
        <v/>
      </c>
      <c r="L5" s="22">
        <f>K5 * (1 - I5) * (1 - J5)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4.596087659143425e-05</v>
      </c>
      <c r="J6" s="19" t="n">
        <v>0.08161409783155471</v>
      </c>
      <c r="K6" s="20">
        <f>L5</f>
        <v/>
      </c>
      <c r="L6" s="20">
        <f>K6 * (1 - I6) * (1 - J6)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4.596298909070363e-05</v>
      </c>
      <c r="J7" s="21" t="n">
        <v>0.08161409783155471</v>
      </c>
      <c r="K7" s="22">
        <f>L6</f>
        <v/>
      </c>
      <c r="L7" s="22">
        <f>K7 * (1 - I7) * (1 - J7)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4.596510178417548e-05</v>
      </c>
      <c r="J8" s="19" t="n">
        <v>0.08161409783155471</v>
      </c>
      <c r="K8" s="20">
        <f>L7</f>
        <v/>
      </c>
      <c r="L8" s="20">
        <f>K8 * (1 - I8) * (1 - J8)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1.924266065806335e-05</v>
      </c>
      <c r="J9" s="21" t="n">
        <v>0.08161409783155471</v>
      </c>
      <c r="K9" s="22">
        <f>L8</f>
        <v/>
      </c>
      <c r="L9" s="22">
        <f>K9 * (1 - I9) * (1 - J9)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1.924303094517786e-05</v>
      </c>
      <c r="J10" s="19" t="n">
        <v>0.08161409783155471</v>
      </c>
      <c r="K10" s="20">
        <f>L9</f>
        <v/>
      </c>
      <c r="L10" s="20">
        <f>K10 * (1 - I10) * (1 - J10)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1.924340124654354e-05</v>
      </c>
      <c r="J11" s="21" t="n">
        <v>0.08161409783155471</v>
      </c>
      <c r="K11" s="22">
        <f>L10</f>
        <v/>
      </c>
      <c r="L11" s="22">
        <f>K11 * (1 - I11) * (1 - J11)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1.924377156216121e-05</v>
      </c>
      <c r="J12" s="19" t="n">
        <v>0.08161409783155471</v>
      </c>
      <c r="K12" s="20">
        <f>L11</f>
        <v/>
      </c>
      <c r="L12" s="20">
        <f>K12 * (1 - I12) * (1 - J12)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1.924414189203169e-05</v>
      </c>
      <c r="J13" s="21" t="n">
        <v>0.08161409783155471</v>
      </c>
      <c r="K13" s="22">
        <f>L12</f>
        <v/>
      </c>
      <c r="L13" s="22">
        <f>K13 * (1 - I13) * (1 - J13)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1.92445122361558e-05</v>
      </c>
      <c r="J14" s="19" t="n">
        <v>0.08161409783155471</v>
      </c>
      <c r="K14" s="20">
        <f>L13</f>
        <v/>
      </c>
      <c r="L14" s="20">
        <f>K14 * (1 - I14) * (1 - J14)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1.924488259453438e-05</v>
      </c>
      <c r="J15" s="21" t="n">
        <v>0.08161409783155471</v>
      </c>
      <c r="K15" s="22">
        <f>L14</f>
        <v/>
      </c>
      <c r="L15" s="22">
        <f>K15 * (1 - I15) * (1 - J15)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3.110240786488837e-16</v>
      </c>
      <c r="J16" s="19" t="n">
        <v>0.08161409783155471</v>
      </c>
      <c r="K16" s="20">
        <f>L15</f>
        <v/>
      </c>
      <c r="L16" s="20">
        <f>K16 * (1 - I16) * (1 - J16)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3.110240786488838e-16</v>
      </c>
      <c r="J17" s="21" t="n">
        <v>0.08161409783155471</v>
      </c>
      <c r="K17" s="22">
        <f>L16</f>
        <v/>
      </c>
      <c r="L17" s="22">
        <f>K17 * (1 - I17) * (1 - J17)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3.110240786488839e-16</v>
      </c>
      <c r="J18" s="19" t="n">
        <v>0.08161409783155471</v>
      </c>
      <c r="K18" s="20">
        <f>L17</f>
        <v/>
      </c>
      <c r="L18" s="20">
        <f>K18 * (1 - I18) * (1 - J18)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3.11024078648884e-16</v>
      </c>
      <c r="J19" s="21" t="n">
        <v>0.08161409783155471</v>
      </c>
      <c r="K19" s="22">
        <f>L18</f>
        <v/>
      </c>
      <c r="L19" s="22">
        <f>K19 * (1 - I19) * (1 - J19)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3.110240786488841e-16</v>
      </c>
      <c r="J20" s="19" t="n">
        <v>0.08161409783155471</v>
      </c>
      <c r="K20" s="20">
        <f>L19</f>
        <v/>
      </c>
      <c r="L20" s="20">
        <f>K20 * (1 - I20) * (1 - J20)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2.121588547687629e-17</v>
      </c>
      <c r="J21" s="21" t="n">
        <v>0.08161409783155471</v>
      </c>
      <c r="K21" s="22">
        <f>L20</f>
        <v/>
      </c>
      <c r="L21" s="22">
        <f>K21 * (1 - I21) * (1 - J21)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2.121588547687629e-17</v>
      </c>
      <c r="J22" s="19" t="n">
        <v>0.08161409783155471</v>
      </c>
      <c r="K22" s="20">
        <f>L21</f>
        <v/>
      </c>
      <c r="L22" s="20">
        <f>K22 * (1 - I22) * (1 - J22)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2.121588547687629e-17</v>
      </c>
      <c r="J23" s="21" t="n">
        <v>0.08161409783155471</v>
      </c>
      <c r="K23" s="22">
        <f>L22</f>
        <v/>
      </c>
      <c r="L23" s="22">
        <f>K23 * (1 - I23) * (1 - J23)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2.12158854768763e-17</v>
      </c>
      <c r="J24" s="19" t="n">
        <v>0.08161409783155471</v>
      </c>
      <c r="K24" s="20">
        <f>L23</f>
        <v/>
      </c>
      <c r="L24" s="20">
        <f>K24 * (1 - I24) * (1 - J24)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2.12158854768763e-17</v>
      </c>
      <c r="J25" s="21" t="n">
        <v>0.08161409783155471</v>
      </c>
      <c r="K25" s="22">
        <f>L24</f>
        <v/>
      </c>
      <c r="L25" s="22">
        <f>K25 * (1 - I25) * (1 - J25)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2.12158854768763e-17</v>
      </c>
      <c r="J26" s="19" t="n">
        <v>0.08161409783155471</v>
      </c>
      <c r="K26" s="20">
        <f>L25</f>
        <v/>
      </c>
      <c r="L26" s="20">
        <f>K26 * (1 - I26) * (1 - J26)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2.12158854768763e-17</v>
      </c>
      <c r="J27" s="21" t="n">
        <v>0.08161409783155471</v>
      </c>
      <c r="K27" s="22">
        <f>L26</f>
        <v/>
      </c>
      <c r="L27" s="22">
        <f>K27 * (1 - I27) * (1 - J27)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5.543859056944555e-10</v>
      </c>
      <c r="J28" s="19" t="n">
        <v>0.08161409783155471</v>
      </c>
      <c r="K28" s="20">
        <f>L27</f>
        <v/>
      </c>
      <c r="L28" s="20">
        <f>K28 * (1 - I28) * (1 - J28)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5.543859060017992e-10</v>
      </c>
      <c r="J29" s="21" t="n">
        <v>0.08161409783155471</v>
      </c>
      <c r="K29" s="22">
        <f>L28</f>
        <v/>
      </c>
      <c r="L29" s="22">
        <f>K29 * (1 - I29) * (1 - J29)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5.54385906309143e-10</v>
      </c>
      <c r="J30" s="19" t="n">
        <v>0.08161409783155471</v>
      </c>
      <c r="K30" s="20">
        <f>L29</f>
        <v/>
      </c>
      <c r="L30" s="20">
        <f>K30 * (1 - I30) * (1 - J30)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5.543859066164867e-10</v>
      </c>
      <c r="J31" s="21" t="n">
        <v>0.08161409783155471</v>
      </c>
      <c r="K31" s="22">
        <f>L30</f>
        <v/>
      </c>
      <c r="L31" s="22">
        <f>K31 * (1 - I31) * (1 - J31)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5.543859069238305e-10</v>
      </c>
      <c r="J32" s="19" t="n">
        <v>0.08161409783155471</v>
      </c>
      <c r="K32" s="20">
        <f>L31</f>
        <v/>
      </c>
      <c r="L32" s="20">
        <f>K32 * (1 - I32) * (1 - J32)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1.168462542537685e-10</v>
      </c>
      <c r="J33" s="21" t="n">
        <v>0.08161409783155471</v>
      </c>
      <c r="K33" s="22">
        <f>L32</f>
        <v/>
      </c>
      <c r="L33" s="22">
        <f>K33 * (1 - I33) * (1 - J33)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1.168462542674216e-10</v>
      </c>
      <c r="J34" s="19" t="n">
        <v>0.08161409783155471</v>
      </c>
      <c r="K34" s="20">
        <f>L33</f>
        <v/>
      </c>
      <c r="L34" s="20">
        <f>K34 * (1 - I34) * (1 - J34)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1.168462542810746e-10</v>
      </c>
      <c r="J35" s="21" t="n">
        <v>0.08161409783155471</v>
      </c>
      <c r="K35" s="22">
        <f>L34</f>
        <v/>
      </c>
      <c r="L35" s="22">
        <f>K35 * (1 - I35) * (1 - J35)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1.168462542947277e-10</v>
      </c>
      <c r="J36" s="19" t="n">
        <v>0.08161409783155471</v>
      </c>
      <c r="K36" s="20">
        <f>L35</f>
        <v/>
      </c>
      <c r="L36" s="20">
        <f>K36 * (1 - I36) * (1 - J36)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1.168462543083807e-10</v>
      </c>
      <c r="J37" s="21" t="n">
        <v>0.08161409783155471</v>
      </c>
      <c r="K37" s="22">
        <f>L36</f>
        <v/>
      </c>
      <c r="L37" s="22">
        <f>K37 * (1 - I37) * (1 - J37)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1.168462543220338e-10</v>
      </c>
      <c r="J38" s="19" t="n">
        <v>0.08161409783155471</v>
      </c>
      <c r="K38" s="20">
        <f>L37</f>
        <v/>
      </c>
      <c r="L38" s="20">
        <f>K38 * (1 - I38) * (1 - J38)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1.168462543356868e-10</v>
      </c>
      <c r="J39" s="21" t="n">
        <v>0.08161409783155471</v>
      </c>
      <c r="K39" s="22">
        <f>L38</f>
        <v/>
      </c>
      <c r="L39" s="22">
        <f>K39 * (1 - I39) * (1 - J39)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0.0007095646985525937</v>
      </c>
      <c r="J40" s="19" t="n">
        <v>0.08161409783155471</v>
      </c>
      <c r="K40" s="20">
        <f>L39</f>
        <v/>
      </c>
      <c r="L40" s="20">
        <f>K40 * (1 - I40) * (1 - J40)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0.0007100685381207971</v>
      </c>
      <c r="J41" s="21" t="n">
        <v>0.08161409783155471</v>
      </c>
      <c r="K41" s="22">
        <f>L40</f>
        <v/>
      </c>
      <c r="L41" s="22">
        <f>K41 * (1 - I41) * (1 - J41)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0.0007105730937186818</v>
      </c>
      <c r="J42" s="19" t="n">
        <v>0.08161409783155471</v>
      </c>
      <c r="K42" s="20">
        <f>L41</f>
        <v/>
      </c>
      <c r="L42" s="20">
        <f>K42 * (1 - I42) * (1 - J42)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0.0007110783668737077</v>
      </c>
      <c r="J43" s="21" t="n">
        <v>0.08161409783155471</v>
      </c>
      <c r="K43" s="22">
        <f>L42</f>
        <v/>
      </c>
      <c r="L43" s="22">
        <f>K43 * (1 - I43) * (1 - J43)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0.000711584359117682</v>
      </c>
      <c r="J44" s="19" t="n">
        <v>0.08161409783155471</v>
      </c>
      <c r="K44" s="20">
        <f>L43</f>
        <v/>
      </c>
      <c r="L44" s="20">
        <f>K44 * (1 - I44) * (1 - J44)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0.0004578906409867936</v>
      </c>
      <c r="J45" s="21" t="n">
        <v>0.08161409783155471</v>
      </c>
      <c r="K45" s="22">
        <f>L44</f>
        <v/>
      </c>
      <c r="L45" s="22">
        <f>K45 * (1 - I45) * (1 - J45)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0.0004581004008729856</v>
      </c>
      <c r="J46" s="19" t="n">
        <v>0.08161409783155471</v>
      </c>
      <c r="K46" s="20">
        <f>L45</f>
        <v/>
      </c>
      <c r="L46" s="20">
        <f>K46 * (1 - I46) * (1 - J46)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0.0004583103530294326</v>
      </c>
      <c r="J47" s="21" t="n">
        <v>0.08161409783155471</v>
      </c>
      <c r="K47" s="22">
        <f>L46</f>
        <v/>
      </c>
      <c r="L47" s="22">
        <f>K47 * (1 - I47) * (1 - J47)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0.0004585204977206142</v>
      </c>
      <c r="J48" s="19" t="n">
        <v>0.08161409783155471</v>
      </c>
      <c r="K48" s="20">
        <f>L47</f>
        <v/>
      </c>
      <c r="L48" s="20">
        <f>K48 * (1 - I48) * (1 - J48)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0.0004587308352114951</v>
      </c>
      <c r="J49" s="21" t="n">
        <v>0.08161409783155471</v>
      </c>
      <c r="K49" s="22">
        <f>L48</f>
        <v/>
      </c>
      <c r="L49" s="22">
        <f>K49 * (1 - I49) * (1 - J49)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0.0004589413657675268</v>
      </c>
      <c r="J50" s="19" t="n">
        <v>0.08161409783155471</v>
      </c>
      <c r="K50" s="20">
        <f>L49</f>
        <v/>
      </c>
      <c r="L50" s="20">
        <f>K50 * (1 - I50) * (1 - J50)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0.000459152089654648</v>
      </c>
      <c r="J51" s="21" t="n">
        <v>0.08161409783155471</v>
      </c>
      <c r="K51" s="22">
        <f>L50</f>
        <v/>
      </c>
      <c r="L51" s="22">
        <f>K51 * (1 - I51) * (1 - J51)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2.494979383412869e-05</v>
      </c>
      <c r="J52" s="19" t="n">
        <v>0.08161409783155471</v>
      </c>
      <c r="K52" s="20">
        <f>L51</f>
        <v/>
      </c>
      <c r="L52" s="20">
        <f>K52 * (1 - I52) * (1 - J52)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2.49504163418725e-05</v>
      </c>
      <c r="J53" s="21" t="n">
        <v>0.08161409783155471</v>
      </c>
      <c r="K53" s="22">
        <f>L52</f>
        <v/>
      </c>
      <c r="L53" s="22">
        <f>K53 * (1 - I53) * (1 - J53)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2.495103888068073e-05</v>
      </c>
      <c r="J54" s="19" t="n">
        <v>0.08161409783155471</v>
      </c>
      <c r="K54" s="20">
        <f>L53</f>
        <v/>
      </c>
      <c r="L54" s="20">
        <f>K54 * (1 - I54) * (1 - J54)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2.495166145055572e-05</v>
      </c>
      <c r="J55" s="21" t="n">
        <v>0.08161409783155471</v>
      </c>
      <c r="K55" s="22">
        <f>L54</f>
        <v/>
      </c>
      <c r="L55" s="22">
        <f>K55 * (1 - I55) * (1 - J55)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2.495228405149979e-05</v>
      </c>
      <c r="J56" s="19" t="n">
        <v>0.08161409783155471</v>
      </c>
      <c r="K56" s="20">
        <f>L55</f>
        <v/>
      </c>
      <c r="L56" s="20">
        <f>K56 * (1 - I56) * (1 - J56)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1.428934363608142e-05</v>
      </c>
      <c r="J57" s="21" t="n">
        <v>0.08161409783155471</v>
      </c>
      <c r="K57" s="22">
        <f>L56</f>
        <v/>
      </c>
      <c r="L57" s="22">
        <f>K57 * (1 - I57) * (1 - J57)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1.428954782434069e-05</v>
      </c>
      <c r="J58" s="19" t="n">
        <v>0.08161409783155471</v>
      </c>
      <c r="K58" s="20">
        <f>L57</f>
        <v/>
      </c>
      <c r="L58" s="20">
        <f>K58 * (1 - I58) * (1 - J58)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1.428975201843555e-05</v>
      </c>
      <c r="J59" s="21" t="n">
        <v>0.08161409783155471</v>
      </c>
      <c r="K59" s="22">
        <f>L58</f>
        <v/>
      </c>
      <c r="L59" s="22">
        <f>K59 * (1 - I59) * (1 - J59)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1.428995621836627e-05</v>
      </c>
      <c r="J60" s="19" t="n">
        <v>0.08161409783155471</v>
      </c>
      <c r="K60" s="20">
        <f>L59</f>
        <v/>
      </c>
      <c r="L60" s="20">
        <f>K60 * (1 - I60) * (1 - J60)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1.429016042413308e-05</v>
      </c>
      <c r="J61" s="21" t="n">
        <v>0.08161409783155471</v>
      </c>
      <c r="K61" s="22">
        <f>L60</f>
        <v/>
      </c>
      <c r="L61" s="22">
        <f>K61 * (1 - I61) * (1 - J61)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1.429036463573625e-05</v>
      </c>
      <c r="J62" s="19" t="n">
        <v>0.08161409783155471</v>
      </c>
      <c r="K62" s="20">
        <f>L61</f>
        <v/>
      </c>
      <c r="L62" s="20">
        <f>K62 * (1 - I62) * (1 - J62)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1.429056885317601e-05</v>
      </c>
      <c r="J63" s="21" t="n">
        <v>0.08161409783155471</v>
      </c>
      <c r="K63" s="22">
        <f>L62</f>
        <v/>
      </c>
      <c r="L63" s="22">
        <f>K63 * (1 - I63) * (1 - J63)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2.200971939732471e-08</v>
      </c>
      <c r="J64" s="19" t="n">
        <v>0.08161409783155471</v>
      </c>
      <c r="K64" s="20">
        <f>L63</f>
        <v/>
      </c>
      <c r="L64" s="20">
        <f>K64 * (1 - I64) * (1 - J64)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2.200971988175246e-08</v>
      </c>
      <c r="J65" s="21" t="n">
        <v>0.08161409783155471</v>
      </c>
      <c r="K65" s="22">
        <f>L64</f>
        <v/>
      </c>
      <c r="L65" s="22">
        <f>K65 * (1 - I65) * (1 - J65)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2.200972036618024e-08</v>
      </c>
      <c r="J66" s="19" t="n">
        <v>0.08161409783155471</v>
      </c>
      <c r="K66" s="20">
        <f>L65</f>
        <v/>
      </c>
      <c r="L66" s="20">
        <f>K66 * (1 - I66) * (1 - J66)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2.200972085060804e-08</v>
      </c>
      <c r="J67" s="21" t="n">
        <v>0.08161409783155471</v>
      </c>
      <c r="K67" s="22">
        <f>L66</f>
        <v/>
      </c>
      <c r="L67" s="22">
        <f>K67 * (1 - I67) * (1 - J67)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2.200972133503587e-08</v>
      </c>
      <c r="J68" s="19" t="n">
        <v>0.08161409783155471</v>
      </c>
      <c r="K68" s="20">
        <f>L67</f>
        <v/>
      </c>
      <c r="L68" s="20">
        <f>K68 * (1 - I68) * (1 - J68)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7.91055758091586e-09</v>
      </c>
      <c r="J69" s="21" t="n">
        <v>0.08161409783155471</v>
      </c>
      <c r="K69" s="22">
        <f>L68</f>
        <v/>
      </c>
      <c r="L69" s="22">
        <f>K69 * (1 - I69) * (1 - J69)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7.910557643492781e-09</v>
      </c>
      <c r="J70" s="19" t="n">
        <v>0.08161409783155471</v>
      </c>
      <c r="K70" s="20">
        <f>L69</f>
        <v/>
      </c>
      <c r="L70" s="20">
        <f>K70 * (1 - I70) * (1 - J70)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7.910557706069704e-09</v>
      </c>
      <c r="J71" s="21" t="n">
        <v>0.08161409783155471</v>
      </c>
      <c r="K71" s="22">
        <f>L70</f>
        <v/>
      </c>
      <c r="L71" s="22">
        <f>K71 * (1 - I71) * (1 - J71)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7.910557768646627e-09</v>
      </c>
      <c r="J72" s="19" t="n">
        <v>0.08161409783155471</v>
      </c>
      <c r="K72" s="20">
        <f>L71</f>
        <v/>
      </c>
      <c r="L72" s="20">
        <f>K72 * (1 - I72) * (1 - J72)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7.910557831223554e-09</v>
      </c>
      <c r="J73" s="21" t="n">
        <v>0.08161409783155471</v>
      </c>
      <c r="K73" s="22">
        <f>L72</f>
        <v/>
      </c>
      <c r="L73" s="22">
        <f>K73 * (1 - I73) * (1 - J73)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7.910557893800478e-09</v>
      </c>
      <c r="J74" s="19" t="n">
        <v>0.08161409783155471</v>
      </c>
      <c r="K74" s="20">
        <f>L73</f>
        <v/>
      </c>
      <c r="L74" s="20">
        <f>K74 * (1 - I74) * (1 - J74)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7.910557956377405e-09</v>
      </c>
      <c r="J75" s="21" t="n">
        <v>0.08161409783155471</v>
      </c>
      <c r="K75" s="22">
        <f>L74</f>
        <v/>
      </c>
      <c r="L75" s="22">
        <f>K75 * (1 - I75) * (1 - J75)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1.232222397927037e-17</v>
      </c>
      <c r="J76" s="19" t="n">
        <v>0.08161409783155471</v>
      </c>
      <c r="K76" s="20">
        <f>L75</f>
        <v/>
      </c>
      <c r="L76" s="20">
        <f>K76 * (1 - I76) * (1 - J76)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1.232222397927037e-17</v>
      </c>
      <c r="J77" s="21" t="n">
        <v>0.08161409783155471</v>
      </c>
      <c r="K77" s="22">
        <f>L76</f>
        <v/>
      </c>
      <c r="L77" s="22">
        <f>K77 * (1 - I77) * (1 - J77)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1.232222397927037e-17</v>
      </c>
      <c r="J78" s="19" t="n">
        <v>0.08161409783155471</v>
      </c>
      <c r="K78" s="20">
        <f>L77</f>
        <v/>
      </c>
      <c r="L78" s="20">
        <f>K78 * (1 - I78) * (1 - J78)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1.232222397927037e-17</v>
      </c>
      <c r="J79" s="21" t="n">
        <v>0.08161409783155471</v>
      </c>
      <c r="K79" s="22">
        <f>L78</f>
        <v/>
      </c>
      <c r="L79" s="22">
        <f>K79 * (1 - I79) * (1 - J79)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1.232222397927037e-17</v>
      </c>
      <c r="J80" s="19" t="n">
        <v>0.08161409783155471</v>
      </c>
      <c r="K80" s="20">
        <f>L79</f>
        <v/>
      </c>
      <c r="L80" s="20">
        <f>K80 * (1 - I80) * (1 - J80)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1.52163447252816e-18</v>
      </c>
      <c r="J81" s="21" t="n">
        <v>0.08161409783155471</v>
      </c>
      <c r="K81" s="22">
        <f>L80</f>
        <v/>
      </c>
      <c r="L81" s="22">
        <f>K81 * (1 - I81) * (1 - J81)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1.52163447252816e-18</v>
      </c>
      <c r="J82" s="19" t="n">
        <v>0.08161409783155471</v>
      </c>
      <c r="K82" s="20">
        <f>L81</f>
        <v/>
      </c>
      <c r="L82" s="20">
        <f>K82 * (1 - I82) * (1 - J82)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1.52163447252816e-18</v>
      </c>
      <c r="J83" s="21" t="n">
        <v>0.08161409783155471</v>
      </c>
      <c r="K83" s="22">
        <f>L82</f>
        <v/>
      </c>
      <c r="L83" s="22">
        <f>K83 * (1 - I83) * (1 - J83)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1.52163447252816e-18</v>
      </c>
      <c r="J84" s="19" t="n">
        <v>0.08161409783155471</v>
      </c>
      <c r="K84" s="20">
        <f>L83</f>
        <v/>
      </c>
      <c r="L84" s="20">
        <f>K84 * (1 - I84) * (1 - J84)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1.52163447252816e-18</v>
      </c>
      <c r="J85" s="21" t="n">
        <v>0.08161409783155471</v>
      </c>
      <c r="K85" s="22">
        <f>L84</f>
        <v/>
      </c>
      <c r="L85" s="22">
        <f>K85 * (1 - I85) * (1 - J85)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1.52163447252816e-18</v>
      </c>
      <c r="J86" s="19" t="n">
        <v>0.08161409783155471</v>
      </c>
      <c r="K86" s="20">
        <f>L85</f>
        <v/>
      </c>
      <c r="L86" s="20">
        <f>K86 * (1 - I86) * (1 - J86)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1.52163447252816e-18</v>
      </c>
      <c r="J87" s="21" t="n">
        <v>0.08161409783155471</v>
      </c>
      <c r="K87" s="22">
        <f>L86</f>
        <v/>
      </c>
      <c r="L87" s="22">
        <f>K87 * (1 - I87) * (1 - J87)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/>
      </c>
      <c r="J88" s="19" t="n">
        <v>0.08161409783155471</v>
      </c>
      <c r="K88" s="20">
        <f>L87</f>
        <v/>
      </c>
      <c r="L88" s="20">
        <f>K88 * (1 - I88) * (1 - J88)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/>
      </c>
      <c r="J89" s="21" t="n">
        <v>0.08161409783155471</v>
      </c>
      <c r="K89" s="22">
        <f>L88</f>
        <v/>
      </c>
      <c r="L89" s="22">
        <f>K89 * (1 - I89) * (1 - J89)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/>
      </c>
      <c r="J90" s="19" t="n">
        <v>0.08161409783155471</v>
      </c>
      <c r="K90" s="20">
        <f>L89</f>
        <v/>
      </c>
      <c r="L90" s="20">
        <f>K90 * (1 - I90) * (1 - J90)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/>
      </c>
      <c r="J91" s="21" t="n">
        <v>0.08161409783155471</v>
      </c>
      <c r="K91" s="22">
        <f>L90</f>
        <v/>
      </c>
      <c r="L91" s="22">
        <f>K91 * (1 - I91) * (1 - J91)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/>
      </c>
      <c r="J92" s="19" t="n">
        <v>0.08161409783155471</v>
      </c>
      <c r="K92" s="20">
        <f>L91</f>
        <v/>
      </c>
      <c r="L92" s="20">
        <f>K92 * (1 - I92) * (1 - J92)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/>
      </c>
      <c r="J93" s="21" t="n">
        <v>0.08161409783155471</v>
      </c>
      <c r="K93" s="22">
        <f>L92</f>
        <v/>
      </c>
      <c r="L93" s="22">
        <f>K93 * (1 - I93) * (1 - J93)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/>
      </c>
      <c r="J94" s="19" t="n">
        <v>0.08161409783155471</v>
      </c>
      <c r="K94" s="20">
        <f>L93</f>
        <v/>
      </c>
      <c r="L94" s="20">
        <f>K94 * (1 - I94) * (1 - J94)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/>
      </c>
      <c r="J95" s="21" t="n">
        <v>0.08161409783155471</v>
      </c>
      <c r="K95" s="22">
        <f>L94</f>
        <v/>
      </c>
      <c r="L95" s="22">
        <f>K95 * (1 - I95) * (1 - J95)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/>
      </c>
      <c r="J96" s="19" t="n">
        <v>0.08161409783155471</v>
      </c>
      <c r="K96" s="20">
        <f>L95</f>
        <v/>
      </c>
      <c r="L96" s="20">
        <f>K96 * (1 - I96) * (1 - J96)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/>
      </c>
      <c r="J97" s="21" t="n">
        <v>0.08161409783155471</v>
      </c>
      <c r="K97" s="22">
        <f>L96</f>
        <v/>
      </c>
      <c r="L97" s="22">
        <f>K97 * (1 - I97) * (1 - J97)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/>
      </c>
      <c r="J98" s="19" t="n">
        <v>0.08161409783155471</v>
      </c>
      <c r="K98" s="20">
        <f>L97</f>
        <v/>
      </c>
      <c r="L98" s="20">
        <f>K98 * (1 - I98) * (1 - J98)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/>
      </c>
      <c r="J99" s="21" t="n">
        <v>0.08161409783155471</v>
      </c>
      <c r="K99" s="22">
        <f>L98</f>
        <v/>
      </c>
      <c r="L99" s="22">
        <f>K99 * (1 - I99) * (1 - J99)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2.307204590546782e-08</v>
      </c>
      <c r="J100" s="19" t="n">
        <v>0.08161409783155471</v>
      </c>
      <c r="K100" s="20">
        <f>L99</f>
        <v/>
      </c>
      <c r="L100" s="20">
        <f>K100 * (1 - I100) * (1 - J100)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2.307204643778713e-08</v>
      </c>
      <c r="J101" s="21" t="n">
        <v>0.08161409783155471</v>
      </c>
      <c r="K101" s="22">
        <f>L100</f>
        <v/>
      </c>
      <c r="L101" s="22">
        <f>K101 * (1 - I101) * (1 - J101)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2.307204697010647e-08</v>
      </c>
      <c r="J102" s="19" t="n">
        <v>0.08161409783155471</v>
      </c>
      <c r="K102" s="20">
        <f>L101</f>
        <v/>
      </c>
      <c r="L102" s="20">
        <f>K102 * (1 - I102) * (1 - J102)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2.307204750242584e-08</v>
      </c>
      <c r="J103" s="21" t="n">
        <v>0.08161409783155471</v>
      </c>
      <c r="K103" s="22">
        <f>L102</f>
        <v/>
      </c>
      <c r="L103" s="22">
        <f>K103 * (1 - I103) * (1 - J103)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2.307204803474522e-08</v>
      </c>
      <c r="J104" s="19" t="n">
        <v>0.08161409783155471</v>
      </c>
      <c r="K104" s="20">
        <f>L103</f>
        <v/>
      </c>
      <c r="L104" s="20">
        <f>K104 * (1 - I104) * (1 - J104)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1.04594126216436e-08</v>
      </c>
      <c r="J105" s="21" t="n">
        <v>0.08161409783155471</v>
      </c>
      <c r="K105" s="22">
        <f>L104</f>
        <v/>
      </c>
      <c r="L105" s="22">
        <f>K105 * (1 - I105) * (1 - J105)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1.045941273104291e-08</v>
      </c>
      <c r="J106" s="19" t="n">
        <v>0.08161409783155471</v>
      </c>
      <c r="K106" s="20">
        <f>L105</f>
        <v/>
      </c>
      <c r="L106" s="20">
        <f>K106 * (1 - I106) * (1 - J106)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1.045941284044223e-08</v>
      </c>
      <c r="J107" s="21" t="n">
        <v>0.08161409783155471</v>
      </c>
      <c r="K107" s="22">
        <f>L106</f>
        <v/>
      </c>
      <c r="L107" s="22">
        <f>K107 * (1 - I107) * (1 - J107)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1.045941294984154e-08</v>
      </c>
      <c r="J108" s="19" t="n">
        <v>0.08161409783155471</v>
      </c>
      <c r="K108" s="20">
        <f>L107</f>
        <v/>
      </c>
      <c r="L108" s="20">
        <f>K108 * (1 - I108) * (1 - J108)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1.045941305924086e-08</v>
      </c>
      <c r="J109" s="21" t="n">
        <v>0.08161409783155471</v>
      </c>
      <c r="K109" s="22">
        <f>L108</f>
        <v/>
      </c>
      <c r="L109" s="22">
        <f>K109 * (1 - I109) * (1 - J109)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1.045941316864019e-08</v>
      </c>
      <c r="J110" s="19" t="n">
        <v>0.08161409783155471</v>
      </c>
      <c r="K110" s="20">
        <f>L109</f>
        <v/>
      </c>
      <c r="L110" s="20">
        <f>K110 * (1 - I110) * (1 - J110)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1.045941327803951e-08</v>
      </c>
      <c r="J111" s="21" t="n">
        <v>0.08161409783155471</v>
      </c>
      <c r="K111" s="22">
        <f>L110</f>
        <v/>
      </c>
      <c r="L111" s="22">
        <f>K111 * (1 - I111) * (1 - J111)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4.118311174326321e-13</v>
      </c>
      <c r="J112" s="19" t="n">
        <v>0.08161409783155471</v>
      </c>
      <c r="K112" s="20">
        <f>L111</f>
        <v/>
      </c>
      <c r="L112" s="20">
        <f>K112 * (1 - I112) * (1 - J112)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4.118311174328017e-13</v>
      </c>
      <c r="J113" s="21" t="n">
        <v>0.08161409783155471</v>
      </c>
      <c r="K113" s="22">
        <f>L112</f>
        <v/>
      </c>
      <c r="L113" s="22">
        <f>K113 * (1 - I113) * (1 - J113)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4.118311174329714e-13</v>
      </c>
      <c r="J114" s="19" t="n">
        <v>0.08161409783155471</v>
      </c>
      <c r="K114" s="20">
        <f>L113</f>
        <v/>
      </c>
      <c r="L114" s="20">
        <f>K114 * (1 - I114) * (1 - J114)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4.118311174331409e-13</v>
      </c>
      <c r="J115" s="21" t="n">
        <v>0.08161409783155471</v>
      </c>
      <c r="K115" s="22">
        <f>L114</f>
        <v/>
      </c>
      <c r="L115" s="22">
        <f>K115 * (1 - I115) * (1 - J115)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4.118311174333106e-13</v>
      </c>
      <c r="J116" s="19" t="n">
        <v>0.08161409783155471</v>
      </c>
      <c r="K116" s="20">
        <f>L115</f>
        <v/>
      </c>
      <c r="L116" s="20">
        <f>K116 * (1 - I116) * (1 - J116)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1.048797951832711e-13</v>
      </c>
      <c r="J117" s="21" t="n">
        <v>0.08161409783155471</v>
      </c>
      <c r="K117" s="22">
        <f>L116</f>
        <v/>
      </c>
      <c r="L117" s="22">
        <f>K117 * (1 - I117) * (1 - J117)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1.048797951832821e-13</v>
      </c>
      <c r="J118" s="19" t="n">
        <v>0.08161409783155471</v>
      </c>
      <c r="K118" s="20">
        <f>L117</f>
        <v/>
      </c>
      <c r="L118" s="20">
        <f>K118 * (1 - I118) * (1 - J118)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1.048797951832931e-13</v>
      </c>
      <c r="J119" s="21" t="n">
        <v>0.08161409783155471</v>
      </c>
      <c r="K119" s="22">
        <f>L118</f>
        <v/>
      </c>
      <c r="L119" s="22">
        <f>K119 * (1 - I119) * (1 - J119)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1.048797951833041e-13</v>
      </c>
      <c r="J120" s="19" t="n">
        <v>0.08161409783155471</v>
      </c>
      <c r="K120" s="20">
        <f>L119</f>
        <v/>
      </c>
      <c r="L120" s="20">
        <f>K120 * (1 - I120) * (1 - J120)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1.048797951833151e-13</v>
      </c>
      <c r="J121" s="21" t="n">
        <v>0.08161409783155471</v>
      </c>
      <c r="K121" s="22">
        <f>L120</f>
        <v/>
      </c>
      <c r="L121" s="22">
        <f>K121 * (1 - I121) * (1 - J121)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1.048797951833261e-13</v>
      </c>
      <c r="J122" s="19" t="n">
        <v>0.08161409783155471</v>
      </c>
      <c r="K122" s="20">
        <f>L121</f>
        <v/>
      </c>
      <c r="L122" s="20">
        <f>K122 * (1 - I122) * (1 - J122)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1.048797951833371e-13</v>
      </c>
      <c r="J123" s="21" t="n">
        <v>0.08161409783155471</v>
      </c>
      <c r="K123" s="22">
        <f>L122</f>
        <v/>
      </c>
      <c r="L123" s="22">
        <f>K123 * (1 - I123) * (1 - J123)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0.0002337806506258939</v>
      </c>
      <c r="J124" s="19" t="n">
        <v>0.08161409783155471</v>
      </c>
      <c r="K124" s="20">
        <f>L123</f>
        <v/>
      </c>
      <c r="L124" s="20">
        <f>K124 * (1 - I124) * (1 - J124)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0.0002338353167983943</v>
      </c>
      <c r="J125" s="21" t="n">
        <v>0.08161409783155471</v>
      </c>
      <c r="K125" s="22">
        <f>L124</f>
        <v/>
      </c>
      <c r="L125" s="22">
        <f>K125 * (1 - I125) * (1 - J125)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0.0002338900085426379</v>
      </c>
      <c r="J126" s="19" t="n">
        <v>0.08161409783155471</v>
      </c>
      <c r="K126" s="20">
        <f>L125</f>
        <v/>
      </c>
      <c r="L126" s="20">
        <f>K126 * (1 - I126) * (1 - J126)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0.0002339447258765717</v>
      </c>
      <c r="J127" s="21" t="n">
        <v>0.08161409783155471</v>
      </c>
      <c r="K127" s="22">
        <f>L126</f>
        <v/>
      </c>
      <c r="L127" s="22">
        <f>K127 * (1 - I127) * (1 - J127)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0.0002339994688181596</v>
      </c>
      <c r="J128" s="19" t="n">
        <v>0.08161409783155471</v>
      </c>
      <c r="K128" s="20">
        <f>L127</f>
        <v/>
      </c>
      <c r="L128" s="20">
        <f>K128 * (1 - I128) * (1 - J128)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0.0001483034425031492</v>
      </c>
      <c r="J129" s="21" t="n">
        <v>0.08161409783155471</v>
      </c>
      <c r="K129" s="22">
        <f>L128</f>
        <v/>
      </c>
      <c r="L129" s="22">
        <f>K129 * (1 - I129) * (1 - J129)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0.000148325439676464</v>
      </c>
      <c r="J130" s="19" t="n">
        <v>0.08161409783155471</v>
      </c>
      <c r="K130" s="20">
        <f>L129</f>
        <v/>
      </c>
      <c r="L130" s="20">
        <f>K130 * (1 - I130) * (1 - J130)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0.0001483474433762277</v>
      </c>
      <c r="J131" s="21" t="n">
        <v>0.08161409783155471</v>
      </c>
      <c r="K131" s="22">
        <f>L130</f>
        <v/>
      </c>
      <c r="L131" s="22">
        <f>K131 * (1 - I131) * (1 - J131)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0.0001483694536053452</v>
      </c>
      <c r="J132" s="19" t="n">
        <v>0.08161409783155471</v>
      </c>
      <c r="K132" s="20">
        <f>L131</f>
        <v/>
      </c>
      <c r="L132" s="20">
        <f>K132 * (1 - I132) * (1 - J132)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0.0001483914703667232</v>
      </c>
      <c r="J133" s="21" t="n">
        <v>0.08161409783155471</v>
      </c>
      <c r="K133" s="22">
        <f>L132</f>
        <v/>
      </c>
      <c r="L133" s="22">
        <f>K133 * (1 - I133) * (1 - J133)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0.0001484134936632701</v>
      </c>
      <c r="J134" s="19" t="n">
        <v>0.08161409783155471</v>
      </c>
      <c r="K134" s="20">
        <f>L133</f>
        <v/>
      </c>
      <c r="L134" s="20">
        <f>K134 * (1 - I134) * (1 - J134)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0.0001484355234978962</v>
      </c>
      <c r="J135" s="21" t="n">
        <v>0.08161409783155471</v>
      </c>
      <c r="K135" s="22">
        <f>L134</f>
        <v/>
      </c>
      <c r="L135" s="22">
        <f>K135 * (1 - I135) * (1 - J135)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9.039735610777948e-11</v>
      </c>
      <c r="J136" s="19" t="n">
        <v>0.08161409783155471</v>
      </c>
      <c r="K136" s="20">
        <f>L135</f>
        <v/>
      </c>
      <c r="L136" s="20">
        <f>K136 * (1 - I136) * (1 - J136)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9.039735611595116e-11</v>
      </c>
      <c r="J137" s="21" t="n">
        <v>0.08161409783155471</v>
      </c>
      <c r="K137" s="22">
        <f>L136</f>
        <v/>
      </c>
      <c r="L137" s="22">
        <f>K137 * (1 - I137) * (1 - J137)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9.039735612412285e-11</v>
      </c>
      <c r="J138" s="19" t="n">
        <v>0.08161409783155471</v>
      </c>
      <c r="K138" s="20">
        <f>L137</f>
        <v/>
      </c>
      <c r="L138" s="20">
        <f>K138 * (1 - I138) * (1 - J138)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9.039735613229453e-11</v>
      </c>
      <c r="J139" s="21" t="n">
        <v>0.08161409783155471</v>
      </c>
      <c r="K139" s="22">
        <f>L138</f>
        <v/>
      </c>
      <c r="L139" s="22">
        <f>K139 * (1 - I139) * (1 - J139)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9.039735614046621e-11</v>
      </c>
      <c r="J140" s="19" t="n">
        <v>0.08161409783155471</v>
      </c>
      <c r="K140" s="20">
        <f>L139</f>
        <v/>
      </c>
      <c r="L140" s="20">
        <f>K140 * (1 - I140) * (1 - J140)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3.226471474454983e-11</v>
      </c>
      <c r="J141" s="21" t="n">
        <v>0.08161409783155471</v>
      </c>
      <c r="K141" s="22">
        <f>L140</f>
        <v/>
      </c>
      <c r="L141" s="22">
        <f>K141 * (1 - I141) * (1 - J141)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3.226471474559083e-11</v>
      </c>
      <c r="J142" s="19" t="n">
        <v>0.08161409783155471</v>
      </c>
      <c r="K142" s="20">
        <f>L141</f>
        <v/>
      </c>
      <c r="L142" s="20">
        <f>K142 * (1 - I142) * (1 - J142)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3.226471474663185e-11</v>
      </c>
      <c r="J143" s="21" t="n">
        <v>0.08161409783155471</v>
      </c>
      <c r="K143" s="22">
        <f>L142</f>
        <v/>
      </c>
      <c r="L143" s="22">
        <f>K143 * (1 - I143) * (1 - J143)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3.226471474767286e-11</v>
      </c>
      <c r="J144" s="19" t="n">
        <v>0.08161409783155471</v>
      </c>
      <c r="K144" s="20">
        <f>L143</f>
        <v/>
      </c>
      <c r="L144" s="20">
        <f>K144 * (1 - I144) * (1 - J144)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3.226471474871387e-11</v>
      </c>
      <c r="J145" s="21" t="n">
        <v>0.08161409783155471</v>
      </c>
      <c r="K145" s="22">
        <f>L144</f>
        <v/>
      </c>
      <c r="L145" s="22">
        <f>K145 * (1 - I145) * (1 - J145)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3.226471474975489e-11</v>
      </c>
      <c r="J146" s="19" t="n">
        <v>0.08161409783155471</v>
      </c>
      <c r="K146" s="20">
        <f>L145</f>
        <v/>
      </c>
      <c r="L146" s="20">
        <f>K146 * (1 - I146) * (1 - J146)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3.22647147507959e-11</v>
      </c>
      <c r="J147" s="21" t="n">
        <v>0.08161409783155471</v>
      </c>
      <c r="K147" s="22">
        <f>L146</f>
        <v/>
      </c>
      <c r="L147" s="22">
        <f>K147 * (1 - I147) * (1 - J147)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3.913654384779619e-08</v>
      </c>
      <c r="J148" s="19" t="n">
        <v>0.08161409783155471</v>
      </c>
      <c r="K148" s="20">
        <f>L147</f>
        <v/>
      </c>
      <c r="L148" s="20">
        <f>K148 * (1 - I148) * (1 - J148)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3.913654537946532e-08</v>
      </c>
      <c r="J149" s="21" t="n">
        <v>0.08161409783155471</v>
      </c>
      <c r="K149" s="22">
        <f>L148</f>
        <v/>
      </c>
      <c r="L149" s="22">
        <f>K149 * (1 - I149) * (1 - J149)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3.913654691113456e-08</v>
      </c>
      <c r="J150" s="19" t="n">
        <v>0.08161409783155471</v>
      </c>
      <c r="K150" s="20">
        <f>L149</f>
        <v/>
      </c>
      <c r="L150" s="20">
        <f>K150 * (1 - I150) * (1 - J150)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3.913654844280393e-08</v>
      </c>
      <c r="J151" s="21" t="n">
        <v>0.08161409783155471</v>
      </c>
      <c r="K151" s="22">
        <f>L150</f>
        <v/>
      </c>
      <c r="L151" s="22">
        <f>K151 * (1 - I151) * (1 - J151)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3.913654997447341e-08</v>
      </c>
      <c r="J152" s="19" t="n">
        <v>0.08161409783155471</v>
      </c>
      <c r="K152" s="20">
        <f>L151</f>
        <v/>
      </c>
      <c r="L152" s="20">
        <f>K152 * (1 - I152) * (1 - J152)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1.840674013307961e-08</v>
      </c>
      <c r="J153" s="21" t="n">
        <v>0.08161409783155471</v>
      </c>
      <c r="K153" s="22">
        <f>L152</f>
        <v/>
      </c>
      <c r="L153" s="22">
        <f>K153 * (1 - I153) * (1 - J153)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1.84067404718877e-08</v>
      </c>
      <c r="J154" s="19" t="n">
        <v>0.08161409783155471</v>
      </c>
      <c r="K154" s="20">
        <f>L153</f>
        <v/>
      </c>
      <c r="L154" s="20">
        <f>K154 * (1 - I154) * (1 - J154)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1.84067408106958e-08</v>
      </c>
      <c r="J155" s="21" t="n">
        <v>0.08161409783155471</v>
      </c>
      <c r="K155" s="22">
        <f>L154</f>
        <v/>
      </c>
      <c r="L155" s="22">
        <f>K155 * (1 - I155) * (1 - J155)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1.840674114950391e-08</v>
      </c>
      <c r="J156" s="19" t="n">
        <v>0.08161409783155471</v>
      </c>
      <c r="K156" s="20">
        <f>L155</f>
        <v/>
      </c>
      <c r="L156" s="20">
        <f>K156 * (1 - I156) * (1 - J156)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1.840674148831204e-08</v>
      </c>
      <c r="J157" s="21" t="n">
        <v>0.08161409783155471</v>
      </c>
      <c r="K157" s="22">
        <f>L156</f>
        <v/>
      </c>
      <c r="L157" s="22">
        <f>K157 * (1 - I157) * (1 - J157)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1.840674182712018e-08</v>
      </c>
      <c r="J158" s="19" t="n">
        <v>0.08161409783155471</v>
      </c>
      <c r="K158" s="20">
        <f>L157</f>
        <v/>
      </c>
      <c r="L158" s="20">
        <f>K158 * (1 - I158) * (1 - J158)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1.840674216592833e-08</v>
      </c>
      <c r="J159" s="21" t="n">
        <v>0.08161409783155471</v>
      </c>
      <c r="K159" s="22">
        <f>L158</f>
        <v/>
      </c>
      <c r="L159" s="22">
        <f>K159 * (1 - I159) * (1 - J159)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0.02306442602806565</v>
      </c>
      <c r="J160" s="19" t="n">
        <v>0.08161409783155471</v>
      </c>
      <c r="K160" s="20">
        <f>L159</f>
        <v/>
      </c>
      <c r="L160" s="20">
        <f>K160 * (1 - I160) * (1 - J160)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0.023608952977618</v>
      </c>
      <c r="J161" s="21" t="n">
        <v>0.08161409783155471</v>
      </c>
      <c r="K161" s="22">
        <f>L160</f>
        <v/>
      </c>
      <c r="L161" s="22">
        <f>K161 * (1 - I161) * (1 - J161)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0.02417981304684864</v>
      </c>
      <c r="J162" s="19" t="n">
        <v>0.08161409783155471</v>
      </c>
      <c r="K162" s="20">
        <f>L161</f>
        <v/>
      </c>
      <c r="L162" s="20">
        <f>K162 * (1 - I162) * (1 - J162)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0.02477896375801201</v>
      </c>
      <c r="J163" s="21" t="n">
        <v>0.08161409783155471</v>
      </c>
      <c r="K163" s="22">
        <f>L162</f>
        <v/>
      </c>
      <c r="L163" s="22">
        <f>K163 * (1 - I163) * (1 - J163)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0.02540856158466156</v>
      </c>
      <c r="J164" s="19" t="n">
        <v>0.08161409783155471</v>
      </c>
      <c r="K164" s="20">
        <f>L163</f>
        <v/>
      </c>
      <c r="L164" s="20">
        <f>K164 * (1 - I164) * (1 - J164)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0.0210089101452475</v>
      </c>
      <c r="J165" s="21" t="n">
        <v>0.08161409783155471</v>
      </c>
      <c r="K165" s="22">
        <f>L164</f>
        <v/>
      </c>
      <c r="L165" s="22">
        <f>K165 * (1 - I165) * (1 - J165)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0.02145975623574314</v>
      </c>
      <c r="J166" s="19" t="n">
        <v>0.08161409783155471</v>
      </c>
      <c r="K166" s="20">
        <f>L165</f>
        <v/>
      </c>
      <c r="L166" s="20">
        <f>K166 * (1 - I166) * (1 - J166)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0.02193037677550344</v>
      </c>
      <c r="J167" s="21" t="n">
        <v>0.08161409783155471</v>
      </c>
      <c r="K167" s="22">
        <f>L166</f>
        <v/>
      </c>
      <c r="L167" s="22">
        <f>K167 * (1 - I167) * (1 - J167)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0.02242210191867881</v>
      </c>
      <c r="J168" s="19" t="n">
        <v>0.08161409783155471</v>
      </c>
      <c r="K168" s="20">
        <f>L167</f>
        <v/>
      </c>
      <c r="L168" s="20">
        <f>K168 * (1 - I168) * (1 - J168)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0.02293638385512435</v>
      </c>
      <c r="J169" s="21" t="n">
        <v>0.08161409783155471</v>
      </c>
      <c r="K169" s="22">
        <f>L168</f>
        <v/>
      </c>
      <c r="L169" s="22">
        <f>K169 * (1 - I169) * (1 - J169)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0.02347481113422549</v>
      </c>
      <c r="J170" s="19" t="n">
        <v>0.08161409783155471</v>
      </c>
      <c r="K170" s="20">
        <f>L169</f>
        <v/>
      </c>
      <c r="L170" s="20">
        <f>K170 * (1 - I170) * (1 - J170)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0.024039125054717</v>
      </c>
      <c r="J171" s="21" t="n">
        <v>0.08161409783155471</v>
      </c>
      <c r="K171" s="22">
        <f>L170</f>
        <v/>
      </c>
      <c r="L171" s="22">
        <f>K171 * (1 - I171) * (1 - J171)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9.843383822461093e-14</v>
      </c>
      <c r="J172" s="19" t="n">
        <v>0.08161409783155471</v>
      </c>
      <c r="K172" s="20">
        <f>L171</f>
        <v/>
      </c>
      <c r="L172" s="20">
        <f>K172 * (1 - I172) * (1 - J172)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9.843383822462063e-14</v>
      </c>
      <c r="J173" s="21" t="n">
        <v>0.08161409783155471</v>
      </c>
      <c r="K173" s="22">
        <f>L172</f>
        <v/>
      </c>
      <c r="L173" s="22">
        <f>K173 * (1 - I173) * (1 - J173)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9.843383822463031e-14</v>
      </c>
      <c r="J174" s="19" t="n">
        <v>0.08161409783155471</v>
      </c>
      <c r="K174" s="20">
        <f>L173</f>
        <v/>
      </c>
      <c r="L174" s="20">
        <f>K174 * (1 - I174) * (1 - J174)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9.843383822464e-14</v>
      </c>
      <c r="J175" s="21" t="n">
        <v>0.08161409783155471</v>
      </c>
      <c r="K175" s="22">
        <f>L174</f>
        <v/>
      </c>
      <c r="L175" s="22">
        <f>K175 * (1 - I175) * (1 - J175)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9.843383822464968e-14</v>
      </c>
      <c r="J176" s="19" t="n">
        <v>0.08161409783155471</v>
      </c>
      <c r="K176" s="20">
        <f>L175</f>
        <v/>
      </c>
      <c r="L176" s="20">
        <f>K176 * (1 - I176) * (1 - J176)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3.11734059627098e-14</v>
      </c>
      <c r="J177" s="21" t="n">
        <v>0.08161409783155471</v>
      </c>
      <c r="K177" s="22">
        <f>L176</f>
        <v/>
      </c>
      <c r="L177" s="22">
        <f>K177 * (1 - I177) * (1 - J177)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3.117340596271077e-14</v>
      </c>
      <c r="J178" s="19" t="n">
        <v>0.08161409783155471</v>
      </c>
      <c r="K178" s="20">
        <f>L177</f>
        <v/>
      </c>
      <c r="L178" s="20">
        <f>K178 * (1 - I178) * (1 - J178)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3.117340596271174e-14</v>
      </c>
      <c r="J179" s="21" t="n">
        <v>0.08161409783155471</v>
      </c>
      <c r="K179" s="22">
        <f>L178</f>
        <v/>
      </c>
      <c r="L179" s="22">
        <f>K179 * (1 - I179) * (1 - J179)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3.117340596271272e-14</v>
      </c>
      <c r="J180" s="19" t="n">
        <v>0.08161409783155471</v>
      </c>
      <c r="K180" s="20">
        <f>L179</f>
        <v/>
      </c>
      <c r="L180" s="20">
        <f>K180 * (1 - I180) * (1 - J180)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3.117340596271369e-14</v>
      </c>
      <c r="J181" s="21" t="n">
        <v>0.08161409783155471</v>
      </c>
      <c r="K181" s="22">
        <f>L180</f>
        <v/>
      </c>
      <c r="L181" s="22">
        <f>K181 * (1 - I181) * (1 - J181)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3.117340596271466e-14</v>
      </c>
      <c r="J182" s="19" t="n">
        <v>0.08161409783155471</v>
      </c>
      <c r="K182" s="20">
        <f>L181</f>
        <v/>
      </c>
      <c r="L182" s="20">
        <f>K182 * (1 - I182) * (1 - J182)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3.117340596271563e-14</v>
      </c>
      <c r="J183" s="21" t="n">
        <v>0.08161409783155471</v>
      </c>
      <c r="K183" s="22">
        <f>L182</f>
        <v/>
      </c>
      <c r="L183" s="22">
        <f>K183 * (1 - I183) * (1 - J183)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4.99125304684148e-17</v>
      </c>
      <c r="J184" s="19" t="n">
        <v>0.08161409783155471</v>
      </c>
      <c r="K184" s="20">
        <f>L183</f>
        <v/>
      </c>
      <c r="L184" s="20">
        <f>K184 * (1 - I184) * (1 - J184)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4.99125304684148e-17</v>
      </c>
      <c r="J185" s="21" t="n">
        <v>0.08161409783155471</v>
      </c>
      <c r="K185" s="22">
        <f>L184</f>
        <v/>
      </c>
      <c r="L185" s="22">
        <f>K185 * (1 - I185) * (1 - J185)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4.99125304684148e-17</v>
      </c>
      <c r="J186" s="19" t="n">
        <v>0.08161409783155471</v>
      </c>
      <c r="K186" s="20">
        <f>L185</f>
        <v/>
      </c>
      <c r="L186" s="20">
        <f>K186 * (1 - I186) * (1 - J186)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4.99125304684148e-17</v>
      </c>
      <c r="J187" s="21" t="n">
        <v>0.08161409783155471</v>
      </c>
      <c r="K187" s="22">
        <f>L186</f>
        <v/>
      </c>
      <c r="L187" s="22">
        <f>K187 * (1 - I187) * (1 - J187)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4.991253046841481e-17</v>
      </c>
      <c r="J188" s="19" t="n">
        <v>0.08161409783155471</v>
      </c>
      <c r="K188" s="20">
        <f>L187</f>
        <v/>
      </c>
      <c r="L188" s="20">
        <f>K188 * (1 - I188) * (1 - J188)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1.302133068619146e-17</v>
      </c>
      <c r="J189" s="21" t="n">
        <v>0.08161409783155471</v>
      </c>
      <c r="K189" s="22">
        <f>L188</f>
        <v/>
      </c>
      <c r="L189" s="22">
        <f>K189 * (1 - I189) * (1 - J189)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1.302133068619146e-17</v>
      </c>
      <c r="J190" s="19" t="n">
        <v>0.08161409783155471</v>
      </c>
      <c r="K190" s="20">
        <f>L189</f>
        <v/>
      </c>
      <c r="L190" s="20">
        <f>K190 * (1 - I190) * (1 - J190)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1.302133068619146e-17</v>
      </c>
      <c r="J191" s="21" t="n">
        <v>0.08161409783155471</v>
      </c>
      <c r="K191" s="22">
        <f>L190</f>
        <v/>
      </c>
      <c r="L191" s="22">
        <f>K191 * (1 - I191) * (1 - J191)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1.302133068619146e-17</v>
      </c>
      <c r="J192" s="19" t="n">
        <v>0.08161409783155471</v>
      </c>
      <c r="K192" s="20">
        <f>L191</f>
        <v/>
      </c>
      <c r="L192" s="20">
        <f>K192 * (1 - I192) * (1 - J192)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1.302133068619146e-17</v>
      </c>
      <c r="J193" s="21" t="n">
        <v>0.08161409783155471</v>
      </c>
      <c r="K193" s="22">
        <f>L192</f>
        <v/>
      </c>
      <c r="L193" s="22">
        <f>K193 * (1 - I193) * (1 - J193)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1.302133068619146e-17</v>
      </c>
      <c r="J194" s="19" t="n">
        <v>0.08161409783155471</v>
      </c>
      <c r="K194" s="20">
        <f>L193</f>
        <v/>
      </c>
      <c r="L194" s="20">
        <f>K194 * (1 - I194) * (1 - J194)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1.302133068619146e-17</v>
      </c>
      <c r="J195" s="21" t="n">
        <v>0.08161409783155471</v>
      </c>
      <c r="K195" s="22">
        <f>L194</f>
        <v/>
      </c>
      <c r="L195" s="22">
        <f>K195 * (1 - I195) * (1 - J195)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/>
      </c>
      <c r="J196" s="19" t="n">
        <v>0.08161409783155471</v>
      </c>
      <c r="K196" s="20">
        <f>L195</f>
        <v/>
      </c>
      <c r="L196" s="20">
        <f>K196 * (1 - I196) * (1 - J196)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/>
      </c>
      <c r="J197" s="21" t="n">
        <v>0.08161409783155471</v>
      </c>
      <c r="K197" s="22">
        <f>L196</f>
        <v/>
      </c>
      <c r="L197" s="22">
        <f>K197 * (1 - I197) * (1 - J197)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/>
      </c>
      <c r="J198" s="19" t="n">
        <v>0.08161409783155471</v>
      </c>
      <c r="K198" s="20">
        <f>L197</f>
        <v/>
      </c>
      <c r="L198" s="20">
        <f>K198 * (1 - I198) * (1 - J198)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/>
      </c>
      <c r="J199" s="21" t="n">
        <v>0.08161409783155471</v>
      </c>
      <c r="K199" s="22">
        <f>L198</f>
        <v/>
      </c>
      <c r="L199" s="22">
        <f>K199 * (1 - I199) * (1 - J199)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/>
      </c>
      <c r="J200" s="19" t="n">
        <v>0.08161409783155471</v>
      </c>
      <c r="K200" s="20">
        <f>L199</f>
        <v/>
      </c>
      <c r="L200" s="20">
        <f>K200 * (1 - I200) * (1 - J200)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/>
      </c>
      <c r="J201" s="21" t="n">
        <v>0.08161409783155471</v>
      </c>
      <c r="K201" s="22">
        <f>L200</f>
        <v/>
      </c>
      <c r="L201" s="22">
        <f>K201 * (1 - I201) * (1 - J201)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/>
      </c>
      <c r="J202" s="19" t="n">
        <v>0.08161409783155471</v>
      </c>
      <c r="K202" s="20">
        <f>L201</f>
        <v/>
      </c>
      <c r="L202" s="20">
        <f>K202 * (1 - I202) * (1 - J202)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/>
      </c>
      <c r="J203" s="21" t="n">
        <v>0.08161409783155471</v>
      </c>
      <c r="K203" s="22">
        <f>L202</f>
        <v/>
      </c>
      <c r="L203" s="22">
        <f>K203 * (1 - I203) * (1 - J203)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/>
      </c>
      <c r="J204" s="19" t="n">
        <v>0.08161409783155471</v>
      </c>
      <c r="K204" s="20">
        <f>L203</f>
        <v/>
      </c>
      <c r="L204" s="20">
        <f>K204 * (1 - I204) * (1 - J204)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/>
      </c>
      <c r="J205" s="21" t="n">
        <v>0.08161409783155471</v>
      </c>
      <c r="K205" s="22">
        <f>L204</f>
        <v/>
      </c>
      <c r="L205" s="22">
        <f>K205 * (1 - I205) * (1 - J205)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/>
      </c>
      <c r="J206" s="19" t="n">
        <v>0.08161409783155471</v>
      </c>
      <c r="K206" s="20">
        <f>L205</f>
        <v/>
      </c>
      <c r="L206" s="20">
        <f>K206 * (1 - I206) * (1 - J206)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/>
      </c>
      <c r="J207" s="21" t="n">
        <v>0.08161409783155471</v>
      </c>
      <c r="K207" s="22">
        <f>L206</f>
        <v/>
      </c>
      <c r="L207" s="22">
        <f>K207 * (1 - I207) * (1 - J207)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3.318247868432561e-11</v>
      </c>
      <c r="J208" s="19" t="n">
        <v>0.08161409783155471</v>
      </c>
      <c r="K208" s="20">
        <f>L207</f>
        <v/>
      </c>
      <c r="L208" s="20">
        <f>K208 * (1 - I208) * (1 - J208)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3.318247868542669e-11</v>
      </c>
      <c r="J209" s="21" t="n">
        <v>0.08161409783155471</v>
      </c>
      <c r="K209" s="22">
        <f>L208</f>
        <v/>
      </c>
      <c r="L209" s="22">
        <f>K209 * (1 - I209) * (1 - J209)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3.318247868652777e-11</v>
      </c>
      <c r="J210" s="19" t="n">
        <v>0.08161409783155471</v>
      </c>
      <c r="K210" s="20">
        <f>L209</f>
        <v/>
      </c>
      <c r="L210" s="20">
        <f>K210 * (1 - I210) * (1 - J210)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3.318247868762884e-11</v>
      </c>
      <c r="J211" s="21" t="n">
        <v>0.08161409783155471</v>
      </c>
      <c r="K211" s="22">
        <f>L210</f>
        <v/>
      </c>
      <c r="L211" s="22">
        <f>K211 * (1 - I211) * (1 - J211)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3.318247868872992e-11</v>
      </c>
      <c r="J212" s="19" t="n">
        <v>0.08161409783155471</v>
      </c>
      <c r="K212" s="20">
        <f>L211</f>
        <v/>
      </c>
      <c r="L212" s="20">
        <f>K212 * (1 - I212) * (1 - J212)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1.465159073422258e-11</v>
      </c>
      <c r="J213" s="21" t="n">
        <v>0.08161409783155471</v>
      </c>
      <c r="K213" s="22">
        <f>L212</f>
        <v/>
      </c>
      <c r="L213" s="22">
        <f>K213 * (1 - I213) * (1 - J213)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1.465159073443725e-11</v>
      </c>
      <c r="J214" s="19" t="n">
        <v>0.08161409783155471</v>
      </c>
      <c r="K214" s="20">
        <f>L213</f>
        <v/>
      </c>
      <c r="L214" s="20">
        <f>K214 * (1 - I214) * (1 - J214)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1.465159073465192e-11</v>
      </c>
      <c r="J215" s="21" t="n">
        <v>0.08161409783155471</v>
      </c>
      <c r="K215" s="22">
        <f>L214</f>
        <v/>
      </c>
      <c r="L215" s="22">
        <f>K215 * (1 - I215) * (1 - J215)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1.465159073486659e-11</v>
      </c>
      <c r="J216" s="19" t="n">
        <v>0.08161409783155471</v>
      </c>
      <c r="K216" s="20">
        <f>L215</f>
        <v/>
      </c>
      <c r="L216" s="20">
        <f>K216 * (1 - I216) * (1 - J216)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1.465159073508126e-11</v>
      </c>
      <c r="J217" s="21" t="n">
        <v>0.08161409783155471</v>
      </c>
      <c r="K217" s="22">
        <f>L216</f>
        <v/>
      </c>
      <c r="L217" s="22">
        <f>K217 * (1 - I217) * (1 - J217)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1.465159073529593e-11</v>
      </c>
      <c r="J218" s="19" t="n">
        <v>0.08161409783155471</v>
      </c>
      <c r="K218" s="20">
        <f>L217</f>
        <v/>
      </c>
      <c r="L218" s="20">
        <f>K218 * (1 - I218) * (1 - J218)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1.46515907355106e-11</v>
      </c>
      <c r="J219" s="21" t="n">
        <v>0.08161409783155471</v>
      </c>
      <c r="K219" s="22">
        <f>L218</f>
        <v/>
      </c>
      <c r="L219" s="22">
        <f>K219 * (1 - I219) * (1 - J219)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0.0002024521108991768</v>
      </c>
      <c r="J220" s="19" t="n">
        <v>0.08161409783155471</v>
      </c>
      <c r="K220" s="20">
        <f>L219</f>
        <v/>
      </c>
      <c r="L220" s="20">
        <f>K220 * (1 - I220) * (1 - J220)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0.0002024931060559404</v>
      </c>
      <c r="J221" s="21" t="n">
        <v>0.08161409783155471</v>
      </c>
      <c r="K221" s="22">
        <f>L220</f>
        <v/>
      </c>
      <c r="L221" s="22">
        <f>K221 * (1 - I221) * (1 - J221)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0.0002025341178185397</v>
      </c>
      <c r="J222" s="19" t="n">
        <v>0.08161409783155471</v>
      </c>
      <c r="K222" s="20">
        <f>L221</f>
        <v/>
      </c>
      <c r="L222" s="20">
        <f>K222 * (1 - I222) * (1 - J222)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0.0002025751461970667</v>
      </c>
      <c r="J223" s="21" t="n">
        <v>0.08161409783155471</v>
      </c>
      <c r="K223" s="22">
        <f>L222</f>
        <v/>
      </c>
      <c r="L223" s="22">
        <f>K223 * (1 - I223) * (1 - J223)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0.0002026161912016213</v>
      </c>
      <c r="J224" s="19" t="n">
        <v>0.08161409783155471</v>
      </c>
      <c r="K224" s="20">
        <f>L223</f>
        <v/>
      </c>
      <c r="L224" s="20">
        <f>K224 * (1 - I224) * (1 - J224)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0.0001519398475843767</v>
      </c>
      <c r="J225" s="21" t="n">
        <v>0.08161409783155471</v>
      </c>
      <c r="K225" s="22">
        <f>L224</f>
        <v/>
      </c>
      <c r="L225" s="22">
        <f>K225 * (1 - I225) * (1 - J225)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0.0001519629368098341</v>
      </c>
      <c r="J226" s="19" t="n">
        <v>0.08161409783155471</v>
      </c>
      <c r="K226" s="20">
        <f>L225</f>
        <v/>
      </c>
      <c r="L226" s="20">
        <f>K226 * (1 - I226) * (1 - J226)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0.000151986033053771</v>
      </c>
      <c r="J227" s="21" t="n">
        <v>0.08161409783155471</v>
      </c>
      <c r="K227" s="22">
        <f>L226</f>
        <v/>
      </c>
      <c r="L227" s="22">
        <f>K227 * (1 - I227) * (1 - J227)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0.0001520091363193881</v>
      </c>
      <c r="J228" s="19" t="n">
        <v>0.08161409783155471</v>
      </c>
      <c r="K228" s="20">
        <f>L227</f>
        <v/>
      </c>
      <c r="L228" s="20">
        <f>K228 * (1 - I228) * (1 - J228)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0.000152032246609888</v>
      </c>
      <c r="J229" s="21" t="n">
        <v>0.08161409783155471</v>
      </c>
      <c r="K229" s="22">
        <f>L228</f>
        <v/>
      </c>
      <c r="L229" s="22">
        <f>K229 * (1 - I229) * (1 - J229)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0.0001520553639284751</v>
      </c>
      <c r="J230" s="19" t="n">
        <v>0.08161409783155471</v>
      </c>
      <c r="K230" s="20">
        <f>L229</f>
        <v/>
      </c>
      <c r="L230" s="20">
        <f>K230 * (1 - I230) * (1 - J230)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0.000152078488278356</v>
      </c>
      <c r="J231" s="21" t="n">
        <v>0.08161409783155471</v>
      </c>
      <c r="K231" s="22">
        <f>L230</f>
        <v/>
      </c>
      <c r="L231" s="22">
        <f>K231 * (1 - I231) * (1 - J231)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/>
      </c>
      <c r="J232" s="19" t="n">
        <v>0.08161409783155471</v>
      </c>
      <c r="K232" s="20">
        <f>L231</f>
        <v/>
      </c>
      <c r="L232" s="20">
        <f>K232 * (1 - I232) * (1 - J232)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/>
      </c>
      <c r="J233" s="21" t="n">
        <v>0.08161409783155471</v>
      </c>
      <c r="K233" s="22">
        <f>L232</f>
        <v/>
      </c>
      <c r="L233" s="22">
        <f>K233 * (1 - I233) * (1 - J233)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/>
      </c>
      <c r="J234" s="19" t="n">
        <v>0.08161409783155471</v>
      </c>
      <c r="K234" s="20">
        <f>L233</f>
        <v/>
      </c>
      <c r="L234" s="20">
        <f>K234 * (1 - I234) * (1 - J234)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/>
      </c>
      <c r="J235" s="21" t="n">
        <v>0.08161409783155471</v>
      </c>
      <c r="K235" s="22">
        <f>L234</f>
        <v/>
      </c>
      <c r="L235" s="22">
        <f>K235 * (1 - I235) * (1 - J235)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/>
      </c>
      <c r="J236" s="19" t="n">
        <v>0.08161409783155471</v>
      </c>
      <c r="K236" s="20">
        <f>L235</f>
        <v/>
      </c>
      <c r="L236" s="20">
        <f>K236 * (1 - I236) * (1 - J236)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/>
      </c>
      <c r="J237" s="21" t="n">
        <v>0.08161409783155471</v>
      </c>
      <c r="K237" s="22">
        <f>L236</f>
        <v/>
      </c>
      <c r="L237" s="22">
        <f>K237 * (1 - I237) * (1 - J237)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/>
      </c>
      <c r="J238" s="19" t="n">
        <v>0.08161409783155471</v>
      </c>
      <c r="K238" s="20">
        <f>L237</f>
        <v/>
      </c>
      <c r="L238" s="20">
        <f>K238 * (1 - I238) * (1 - J238)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/>
      </c>
      <c r="J239" s="21" t="n">
        <v>0.08161409783155471</v>
      </c>
      <c r="K239" s="22">
        <f>L238</f>
        <v/>
      </c>
      <c r="L239" s="22">
        <f>K239 * (1 - I239) * (1 - J239)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/>
      </c>
      <c r="J240" s="19" t="n">
        <v>0.08161409783155471</v>
      </c>
      <c r="K240" s="20">
        <f>L239</f>
        <v/>
      </c>
      <c r="L240" s="20">
        <f>K240 * (1 - I240) * (1 - J240)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/>
      </c>
      <c r="J241" s="21" t="n">
        <v>0.08161409783155471</v>
      </c>
      <c r="K241" s="22">
        <f>L240</f>
        <v/>
      </c>
      <c r="L241" s="22">
        <f>K241 * (1 - I241) * (1 - J241)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/>
      </c>
      <c r="J242" s="19" t="n">
        <v>0.08161409783155471</v>
      </c>
      <c r="K242" s="20">
        <f>L241</f>
        <v/>
      </c>
      <c r="L242" s="20">
        <f>K242 * (1 - I242) * (1 - J242)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/>
      </c>
      <c r="J243" s="21" t="n">
        <v>0.08161409783155471</v>
      </c>
      <c r="K243" s="22">
        <f>L242</f>
        <v/>
      </c>
      <c r="L243" s="22">
        <f>K243 * (1 - I243) * (1 - J243)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2.069277559698198e-15</v>
      </c>
      <c r="J244" s="19" t="n">
        <v>0.08161409783155471</v>
      </c>
      <c r="K244" s="20">
        <f>L243</f>
        <v/>
      </c>
      <c r="L244" s="20">
        <f>K244 * (1 - I244) * (1 - J244)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2.069277559698203e-15</v>
      </c>
      <c r="J245" s="21" t="n">
        <v>0.08161409783155471</v>
      </c>
      <c r="K245" s="22">
        <f>L244</f>
        <v/>
      </c>
      <c r="L245" s="22">
        <f>K245 * (1 - I245) * (1 - J245)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2.069277559698207e-15</v>
      </c>
      <c r="J246" s="19" t="n">
        <v>0.08161409783155471</v>
      </c>
      <c r="K246" s="20">
        <f>L245</f>
        <v/>
      </c>
      <c r="L246" s="20">
        <f>K246 * (1 - I246) * (1 - J246)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2.069277559698211e-15</v>
      </c>
      <c r="J247" s="21" t="n">
        <v>0.08161409783155471</v>
      </c>
      <c r="K247" s="22">
        <f>L246</f>
        <v/>
      </c>
      <c r="L247" s="22">
        <f>K247 * (1 - I247) * (1 - J247)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2.069277559698216e-15</v>
      </c>
      <c r="J248" s="19" t="n">
        <v>0.08161409783155471</v>
      </c>
      <c r="K248" s="20">
        <f>L247</f>
        <v/>
      </c>
      <c r="L248" s="20">
        <f>K248 * (1 - I248) * (1 - J248)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6.981949414177716e-16</v>
      </c>
      <c r="J249" s="21" t="n">
        <v>0.08161409783155471</v>
      </c>
      <c r="K249" s="22">
        <f>L248</f>
        <v/>
      </c>
      <c r="L249" s="22">
        <f>K249 * (1 - I249) * (1 - J249)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6.981949414177722e-16</v>
      </c>
      <c r="J250" s="19" t="n">
        <v>0.08161409783155471</v>
      </c>
      <c r="K250" s="20">
        <f>L249</f>
        <v/>
      </c>
      <c r="L250" s="20">
        <f>K250 * (1 - I250) * (1 - J250)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6.981949414177727e-16</v>
      </c>
      <c r="J251" s="21" t="n">
        <v>0.08161409783155471</v>
      </c>
      <c r="K251" s="22">
        <f>L250</f>
        <v/>
      </c>
      <c r="L251" s="22">
        <f>K251 * (1 - I251) * (1 - J251)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6.981949414177731e-16</v>
      </c>
      <c r="J252" s="19" t="n">
        <v>0.08161409783155471</v>
      </c>
      <c r="K252" s="20">
        <f>L251</f>
        <v/>
      </c>
      <c r="L252" s="20">
        <f>K252 * (1 - I252) * (1 - J252)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6.981949414177737e-16</v>
      </c>
      <c r="J253" s="21" t="n">
        <v>0.08161409783155471</v>
      </c>
      <c r="K253" s="22">
        <f>L252</f>
        <v/>
      </c>
      <c r="L253" s="22">
        <f>K253 * (1 - I253) * (1 - J253)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6.981949414177742e-16</v>
      </c>
      <c r="J254" s="19" t="n">
        <v>0.08161409783155471</v>
      </c>
      <c r="K254" s="20">
        <f>L253</f>
        <v/>
      </c>
      <c r="L254" s="20">
        <f>K254 * (1 - I254) * (1 - J254)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6.981949414177746e-16</v>
      </c>
      <c r="J255" s="21" t="n">
        <v>0.08161409783155471</v>
      </c>
      <c r="K255" s="22">
        <f>L254</f>
        <v/>
      </c>
      <c r="L255" s="22">
        <f>K255 * (1 - I255) * (1 - J255)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0.08042809667777831</v>
      </c>
      <c r="J256" s="19" t="n">
        <v>0.08161409783155471</v>
      </c>
      <c r="K256" s="20">
        <f>L255</f>
        <v/>
      </c>
      <c r="L256" s="20">
        <f>K256 * (1 - I256) * (1 - J256)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0.08746254250179714</v>
      </c>
      <c r="J257" s="21" t="n">
        <v>0.08161409783155471</v>
      </c>
      <c r="K257" s="22">
        <f>L256</f>
        <v/>
      </c>
      <c r="L257" s="22">
        <f>K257 * (1 - I257) * (1 - J257)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0.09584542725685251</v>
      </c>
      <c r="J258" s="19" t="n">
        <v>0.08161409783155471</v>
      </c>
      <c r="K258" s="20">
        <f>L257</f>
        <v/>
      </c>
      <c r="L258" s="20">
        <f>K258 * (1 - I258) * (1 - J258)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0.106005577084086</v>
      </c>
      <c r="J259" s="21" t="n">
        <v>0.08161409783155471</v>
      </c>
      <c r="K259" s="22">
        <f>L258</f>
        <v/>
      </c>
      <c r="L259" s="22">
        <f>K259 * (1 - I259) * (1 - J259)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0.1185752107248397</v>
      </c>
      <c r="J260" s="19" t="n">
        <v>0.08161409783155471</v>
      </c>
      <c r="K260" s="20">
        <f>L259</f>
        <v/>
      </c>
      <c r="L260" s="20">
        <f>K260 * (1 - I260) * (1 - J260)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0.1136012023684009</v>
      </c>
      <c r="J261" s="21" t="n">
        <v>0.08161409783155471</v>
      </c>
      <c r="K261" s="22">
        <f>L260</f>
        <v/>
      </c>
      <c r="L261" s="22">
        <f>K261 * (1 - I261) * (1 - J261)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0.1281603750726378</v>
      </c>
      <c r="J262" s="19" t="n">
        <v>0.08161409783155471</v>
      </c>
      <c r="K262" s="20">
        <f>L261</f>
        <v/>
      </c>
      <c r="L262" s="20">
        <f>K262 * (1 - I262) * (1 - J262)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0.1469999428889408</v>
      </c>
      <c r="J263" s="21" t="n">
        <v>0.08161409783155471</v>
      </c>
      <c r="K263" s="22">
        <f>L262</f>
        <v/>
      </c>
      <c r="L263" s="22">
        <f>K263 * (1 - I263) * (1 - J263)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0.1723328640642771</v>
      </c>
      <c r="J264" s="19" t="n">
        <v>0.08161409783155471</v>
      </c>
      <c r="K264" s="20">
        <f>L263</f>
        <v/>
      </c>
      <c r="L264" s="20">
        <f>K264 * (1 - I264) * (1 - J264)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0.2082151828699172</v>
      </c>
      <c r="J265" s="21" t="n">
        <v>0.08161409783155471</v>
      </c>
      <c r="K265" s="22">
        <f>L264</f>
        <v/>
      </c>
      <c r="L265" s="22">
        <f>K265 * (1 - I265) * (1 - J265)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0.2629694057845383</v>
      </c>
      <c r="J266" s="19" t="n">
        <v>0.08161409783155471</v>
      </c>
      <c r="K266" s="20">
        <f>L265</f>
        <v/>
      </c>
      <c r="L266" s="20">
        <f>K266 * (1 - I266) * (1 - J266)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0.3567957800509735</v>
      </c>
      <c r="J267" s="21" t="n">
        <v>0.08161409783155471</v>
      </c>
      <c r="K267" s="22">
        <f>L266</f>
        <v/>
      </c>
      <c r="L267" s="22">
        <f>K267 * (1 - I267) * (1 - J267)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1.079259920787079e-06</v>
      </c>
      <c r="J268" s="19" t="n">
        <v>0.08161409783155471</v>
      </c>
      <c r="K268" s="20">
        <f>L267</f>
        <v/>
      </c>
      <c r="L268" s="20">
        <f>K268 * (1 - I268) * (1 - J268)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1.079261085590312e-06</v>
      </c>
      <c r="J269" s="21" t="n">
        <v>0.08161409783155471</v>
      </c>
      <c r="K269" s="22">
        <f>L268</f>
        <v/>
      </c>
      <c r="L269" s="22">
        <f>K269 * (1 - I269) * (1 - J269)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1.07926225039606e-06</v>
      </c>
      <c r="J270" s="19" t="n">
        <v>0.08161409783155471</v>
      </c>
      <c r="K270" s="20">
        <f>L269</f>
        <v/>
      </c>
      <c r="L270" s="20">
        <f>K270 * (1 - I270) * (1 - J270)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1.079263415204323e-06</v>
      </c>
      <c r="J271" s="21" t="n">
        <v>0.08161409783155471</v>
      </c>
      <c r="K271" s="22">
        <f>L270</f>
        <v/>
      </c>
      <c r="L271" s="22">
        <f>K271 * (1 - I271) * (1 - J271)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1.079264580015099e-06</v>
      </c>
      <c r="J272" s="19" t="n">
        <v>0.08161409783155471</v>
      </c>
      <c r="K272" s="20">
        <f>L271</f>
        <v/>
      </c>
      <c r="L272" s="20">
        <f>K272 * (1 - I272) * (1 - J272)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6.776825516416795e-07</v>
      </c>
      <c r="J273" s="21" t="n">
        <v>0.08161409783155471</v>
      </c>
      <c r="K273" s="22">
        <f>L272</f>
        <v/>
      </c>
      <c r="L273" s="22">
        <f>K273 * (1 - I273) * (1 - J273)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6.776830108956314e-07</v>
      </c>
      <c r="J274" s="19" t="n">
        <v>0.08161409783155471</v>
      </c>
      <c r="K274" s="20">
        <f>L273</f>
        <v/>
      </c>
      <c r="L274" s="20">
        <f>K274 * (1 - I274) * (1 - J274)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6.77683470150206e-07</v>
      </c>
      <c r="J275" s="21" t="n">
        <v>0.08161409783155471</v>
      </c>
      <c r="K275" s="22">
        <f>L274</f>
        <v/>
      </c>
      <c r="L275" s="22">
        <f>K275 * (1 - I275) * (1 - J275)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6.776839294054029e-07</v>
      </c>
      <c r="J276" s="19" t="n">
        <v>0.08161409783155471</v>
      </c>
      <c r="K276" s="20">
        <f>L275</f>
        <v/>
      </c>
      <c r="L276" s="20">
        <f>K276 * (1 - I276) * (1 - J276)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6.776843886612223e-07</v>
      </c>
      <c r="J277" s="21" t="n">
        <v>0.08161409783155471</v>
      </c>
      <c r="K277" s="22">
        <f>L276</f>
        <v/>
      </c>
      <c r="L277" s="22">
        <f>K277 * (1 - I277) * (1 - J277)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6.776848479176641e-07</v>
      </c>
      <c r="J278" s="19" t="n">
        <v>0.08161409783155471</v>
      </c>
      <c r="K278" s="20">
        <f>L277</f>
        <v/>
      </c>
      <c r="L278" s="20">
        <f>K278 * (1 - I278) * (1 - J278)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6.776853071747284e-07</v>
      </c>
      <c r="J279" s="21" t="n">
        <v>0.08161409783155471</v>
      </c>
      <c r="K279" s="22">
        <f>L278</f>
        <v/>
      </c>
      <c r="L279" s="22">
        <f>K279 * (1 - I279) * (1 - J279)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0.003697861741287137</v>
      </c>
      <c r="J280" s="19" t="n">
        <v>0.08161409783155471</v>
      </c>
      <c r="K280" s="20">
        <f>L279</f>
        <v/>
      </c>
      <c r="L280" s="20">
        <f>K280 * (1 - I280) * (1 - J280)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0.003711586675654511</v>
      </c>
      <c r="J281" s="21" t="n">
        <v>0.08161409783155471</v>
      </c>
      <c r="K281" s="22">
        <f>L280</f>
        <v/>
      </c>
      <c r="L281" s="22">
        <f>K281 * (1 - I281) * (1 - J281)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0.003725413872143658</v>
      </c>
      <c r="J282" s="19" t="n">
        <v>0.08161409783155471</v>
      </c>
      <c r="K282" s="20">
        <f>L281</f>
        <v/>
      </c>
      <c r="L282" s="20">
        <f>K282 * (1 - I282) * (1 - J282)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0.003739344477934479</v>
      </c>
      <c r="J283" s="21" t="n">
        <v>0.08161409783155471</v>
      </c>
      <c r="K283" s="22">
        <f>L282</f>
        <v/>
      </c>
      <c r="L283" s="22">
        <f>K283 * (1 - I283) * (1 - J283)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0.003753379657430082</v>
      </c>
      <c r="J284" s="19" t="n">
        <v>0.08161409783155471</v>
      </c>
      <c r="K284" s="20">
        <f>L283</f>
        <v/>
      </c>
      <c r="L284" s="20">
        <f>K284 * (1 - I284) * (1 - J284)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0.00300711168052973</v>
      </c>
      <c r="J285" s="21" t="n">
        <v>0.08161409783155471</v>
      </c>
      <c r="K285" s="22">
        <f>L284</f>
        <v/>
      </c>
      <c r="L285" s="22">
        <f>K285 * (1 - I285) * (1 - J285)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0.003016181675677258</v>
      </c>
      <c r="J286" s="19" t="n">
        <v>0.08161409783155471</v>
      </c>
      <c r="K286" s="20">
        <f>L285</f>
        <v/>
      </c>
      <c r="L286" s="20">
        <f>K286 * (1 - I286) * (1 - J286)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0.003025306549856241</v>
      </c>
      <c r="J287" s="21" t="n">
        <v>0.08161409783155471</v>
      </c>
      <c r="K287" s="22">
        <f>L286</f>
        <v/>
      </c>
      <c r="L287" s="22">
        <f>K287 * (1 - I287) * (1 - J287)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0.003034486802655768</v>
      </c>
      <c r="J288" s="19" t="n">
        <v>0.08161409783155471</v>
      </c>
      <c r="K288" s="20">
        <f>L287</f>
        <v/>
      </c>
      <c r="L288" s="20">
        <f>K288 * (1 - I288) * (1 - J288)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0.003043722939747372</v>
      </c>
      <c r="J289" s="21" t="n">
        <v>0.08161409783155471</v>
      </c>
      <c r="K289" s="22">
        <f>L288</f>
        <v/>
      </c>
      <c r="L289" s="22">
        <f>K289 * (1 - I289) * (1 - J289)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0.003053015472977878</v>
      </c>
      <c r="J290" s="19" t="n">
        <v>0.08161409783155471</v>
      </c>
      <c r="K290" s="20">
        <f>L289</f>
        <v/>
      </c>
      <c r="L290" s="20">
        <f>K290 * (1 - I290) * (1 - J290)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0.00306236492046396</v>
      </c>
      <c r="J291" s="21" t="n">
        <v>0.08161409783155471</v>
      </c>
      <c r="K291" s="22">
        <f>L290</f>
        <v/>
      </c>
      <c r="L291" s="22">
        <f>K291 * (1 - I291) * (1 - J291)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6.932734985057645e-19</v>
      </c>
      <c r="J292" s="19" t="n">
        <v>0.08161409783155471</v>
      </c>
      <c r="K292" s="20">
        <f>L291</f>
        <v/>
      </c>
      <c r="L292" s="20">
        <f>K292 * (1 - I292) * (1 - J292)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6.932734985057645e-19</v>
      </c>
      <c r="J293" s="21" t="n">
        <v>0.08161409783155471</v>
      </c>
      <c r="K293" s="22">
        <f>L292</f>
        <v/>
      </c>
      <c r="L293" s="22">
        <f>K293 * (1 - I293) * (1 - J293)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6.932734985057645e-19</v>
      </c>
      <c r="J294" s="19" t="n">
        <v>0.08161409783155471</v>
      </c>
      <c r="K294" s="20">
        <f>L293</f>
        <v/>
      </c>
      <c r="L294" s="20">
        <f>K294 * (1 - I294) * (1 - J294)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6.932734985057645e-19</v>
      </c>
      <c r="J295" s="21" t="n">
        <v>0.08161409783155471</v>
      </c>
      <c r="K295" s="22">
        <f>L294</f>
        <v/>
      </c>
      <c r="L295" s="22">
        <f>K295 * (1 - I295) * (1 - J295)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6.932734985057645e-19</v>
      </c>
      <c r="J296" s="19" t="n">
        <v>0.08161409783155471</v>
      </c>
      <c r="K296" s="20">
        <f>L295</f>
        <v/>
      </c>
      <c r="L296" s="20">
        <f>K296 * (1 - I296) * (1 - J296)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2.353899240416563e-19</v>
      </c>
      <c r="J297" s="21" t="n">
        <v>0.08161409783155471</v>
      </c>
      <c r="K297" s="22">
        <f>L296</f>
        <v/>
      </c>
      <c r="L297" s="22">
        <f>K297 * (1 - I297) * (1 - J297)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2.353899240416563e-19</v>
      </c>
      <c r="J298" s="19" t="n">
        <v>0.08161409783155471</v>
      </c>
      <c r="K298" s="20">
        <f>L297</f>
        <v/>
      </c>
      <c r="L298" s="20">
        <f>K298 * (1 - I298) * (1 - J298)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2.353899240416563e-19</v>
      </c>
      <c r="J299" s="21" t="n">
        <v>0.08161409783155471</v>
      </c>
      <c r="K299" s="22">
        <f>L298</f>
        <v/>
      </c>
      <c r="L299" s="22">
        <f>K299 * (1 - I299) * (1 - J299)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2.353899240416563e-19</v>
      </c>
      <c r="J300" s="19" t="n">
        <v>0.08161409783155471</v>
      </c>
      <c r="K300" s="20">
        <f>L299</f>
        <v/>
      </c>
      <c r="L300" s="20">
        <f>K300 * (1 - I300) * (1 - J300)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2.353899240416563e-19</v>
      </c>
      <c r="J301" s="21" t="n">
        <v>0.08161409783155471</v>
      </c>
      <c r="K301" s="22">
        <f>L300</f>
        <v/>
      </c>
      <c r="L301" s="22">
        <f>K301 * (1 - I301) * (1 - J301)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2.353899240416563e-19</v>
      </c>
      <c r="J302" s="19" t="n">
        <v>0.08161409783155471</v>
      </c>
      <c r="K302" s="20">
        <f>L301</f>
        <v/>
      </c>
      <c r="L302" s="20">
        <f>K302 * (1 - I302) * (1 - J302)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2.353899240416563e-19</v>
      </c>
      <c r="J303" s="21" t="n">
        <v>0.08161409783155471</v>
      </c>
      <c r="K303" s="22">
        <f>L302</f>
        <v/>
      </c>
      <c r="L303" s="22">
        <f>K303 * (1 - I303) * (1 - J303)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3.752002329611073e-24</v>
      </c>
      <c r="J304" s="19" t="n">
        <v>0.08161409783155471</v>
      </c>
      <c r="K304" s="20">
        <f>L303</f>
        <v/>
      </c>
      <c r="L304" s="20">
        <f>K304 * (1 - I304) * (1 - J304)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3.752002329611073e-24</v>
      </c>
      <c r="J305" s="21" t="n">
        <v>0.08161409783155471</v>
      </c>
      <c r="K305" s="22">
        <f>L304</f>
        <v/>
      </c>
      <c r="L305" s="22">
        <f>K305 * (1 - I305) * (1 - J305)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3.752002329611073e-24</v>
      </c>
      <c r="J306" s="19" t="n">
        <v>0.08161409783155471</v>
      </c>
      <c r="K306" s="20">
        <f>L305</f>
        <v/>
      </c>
      <c r="L306" s="20">
        <f>K306 * (1 - I306) * (1 - J306)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3.752002329611073e-24</v>
      </c>
      <c r="J307" s="21" t="n">
        <v>0.08161409783155471</v>
      </c>
      <c r="K307" s="22">
        <f>L306</f>
        <v/>
      </c>
      <c r="L307" s="22">
        <f>K307 * (1 - I307) * (1 - J307)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3.752002329611073e-24</v>
      </c>
      <c r="J308" s="19" t="n">
        <v>0.08161409783155471</v>
      </c>
      <c r="K308" s="20">
        <f>L307</f>
        <v/>
      </c>
      <c r="L308" s="20">
        <f>K308 * (1 - I308) * (1 - J308)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8.532390977745244e-25</v>
      </c>
      <c r="J309" s="21" t="n">
        <v>0.08161409783155471</v>
      </c>
      <c r="K309" s="22">
        <f>L308</f>
        <v/>
      </c>
      <c r="L309" s="22">
        <f>K309 * (1 - I309) * (1 - J309)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8.532390977745244e-25</v>
      </c>
      <c r="J310" s="19" t="n">
        <v>0.08161409783155471</v>
      </c>
      <c r="K310" s="20">
        <f>L309</f>
        <v/>
      </c>
      <c r="L310" s="20">
        <f>K310 * (1 - I310) * (1 - J310)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8.532390977745244e-25</v>
      </c>
      <c r="J311" s="21" t="n">
        <v>0.08161409783155471</v>
      </c>
      <c r="K311" s="22">
        <f>L310</f>
        <v/>
      </c>
      <c r="L311" s="22">
        <f>K311 * (1 - I311) * (1 - J311)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8.532390977745244e-25</v>
      </c>
      <c r="J312" s="19" t="n">
        <v>0.08161409783155471</v>
      </c>
      <c r="K312" s="20">
        <f>L311</f>
        <v/>
      </c>
      <c r="L312" s="20">
        <f>K312 * (1 - I312) * (1 - J312)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8.532390977745244e-25</v>
      </c>
      <c r="J313" s="21" t="n">
        <v>0.08161409783155471</v>
      </c>
      <c r="K313" s="22">
        <f>L312</f>
        <v/>
      </c>
      <c r="L313" s="22">
        <f>K313 * (1 - I313) * (1 - J313)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8.532390977745244e-25</v>
      </c>
      <c r="J314" s="19" t="n">
        <v>0.08161409783155471</v>
      </c>
      <c r="K314" s="20">
        <f>L313</f>
        <v/>
      </c>
      <c r="L314" s="20">
        <f>K314 * (1 - I314) * (1 - J314)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8.532390977745244e-25</v>
      </c>
      <c r="J315" s="21" t="n">
        <v>0.08161409783155471</v>
      </c>
      <c r="K315" s="22">
        <f>L314</f>
        <v/>
      </c>
      <c r="L315" s="22">
        <f>K315 * (1 - I315) * (1 - J315)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9.811398723256593e-62</v>
      </c>
      <c r="J316" s="19" t="n">
        <v>0.08161409783155471</v>
      </c>
      <c r="K316" s="20">
        <f>L315</f>
        <v/>
      </c>
      <c r="L316" s="20">
        <f>K316 * (1 - I316) * (1 - J316)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9.811398723256593e-62</v>
      </c>
      <c r="J317" s="21" t="n">
        <v>0.08161409783155471</v>
      </c>
      <c r="K317" s="22">
        <f>L316</f>
        <v/>
      </c>
      <c r="L317" s="22">
        <f>K317 * (1 - I317) * (1 - J317)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9.811398723256593e-62</v>
      </c>
      <c r="J318" s="19" t="n">
        <v>0.08161409783155471</v>
      </c>
      <c r="K318" s="20">
        <f>L317</f>
        <v/>
      </c>
      <c r="L318" s="20">
        <f>K318 * (1 - I318) * (1 - J318)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9.811398723256593e-62</v>
      </c>
      <c r="J319" s="21" t="n">
        <v>0.08161409783155471</v>
      </c>
      <c r="K319" s="22">
        <f>L318</f>
        <v/>
      </c>
      <c r="L319" s="22">
        <f>K319 * (1 - I319) * (1 - J319)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9.811398723256593e-62</v>
      </c>
      <c r="J320" s="19" t="n">
        <v>0.08161409783155471</v>
      </c>
      <c r="K320" s="20">
        <f>L319</f>
        <v/>
      </c>
      <c r="L320" s="20">
        <f>K320 * (1 - I320) * (1 - J320)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2.499257596775149e-63</v>
      </c>
      <c r="J321" s="21" t="n">
        <v>0.08161409783155471</v>
      </c>
      <c r="K321" s="22">
        <f>L320</f>
        <v/>
      </c>
      <c r="L321" s="22">
        <f>K321 * (1 - I321) * (1 - J321)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2.499257596775149e-63</v>
      </c>
      <c r="J322" s="19" t="n">
        <v>0.08161409783155471</v>
      </c>
      <c r="K322" s="20">
        <f>L321</f>
        <v/>
      </c>
      <c r="L322" s="20">
        <f>K322 * (1 - I322) * (1 - J322)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2.499257596775149e-63</v>
      </c>
      <c r="J323" s="21" t="n">
        <v>0.08161409783155471</v>
      </c>
      <c r="K323" s="22">
        <f>L322</f>
        <v/>
      </c>
      <c r="L323" s="22">
        <f>K323 * (1 - I323) * (1 - J323)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2.499257596775149e-63</v>
      </c>
      <c r="J324" s="19" t="n">
        <v>0.08161409783155471</v>
      </c>
      <c r="K324" s="20">
        <f>L323</f>
        <v/>
      </c>
      <c r="L324" s="20">
        <f>K324 * (1 - I324) * (1 - J324)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2.499257596775149e-63</v>
      </c>
      <c r="J325" s="21" t="n">
        <v>0.08161409783155471</v>
      </c>
      <c r="K325" s="22">
        <f>L324</f>
        <v/>
      </c>
      <c r="L325" s="22">
        <f>K325 * (1 - I325) * (1 - J325)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2.499257596775149e-63</v>
      </c>
      <c r="J326" s="19" t="n">
        <v>0.08161409783155471</v>
      </c>
      <c r="K326" s="20">
        <f>L325</f>
        <v/>
      </c>
      <c r="L326" s="20">
        <f>K326 * (1 - I326) * (1 - J326)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2.499257596775149e-63</v>
      </c>
      <c r="J327" s="21" t="n">
        <v>0.08161409783155471</v>
      </c>
      <c r="K327" s="22">
        <f>L326</f>
        <v/>
      </c>
      <c r="L327" s="22">
        <f>K327 * (1 - I327) * (1 - J327)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1.567387943846448e-18</v>
      </c>
      <c r="J328" s="19" t="n">
        <v>0.08161409783155471</v>
      </c>
      <c r="K328" s="20">
        <f>L327</f>
        <v/>
      </c>
      <c r="L328" s="20">
        <f>K328 * (1 - I328) * (1 - J328)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1.567387943846448e-18</v>
      </c>
      <c r="J329" s="21" t="n">
        <v>0.08161409783155471</v>
      </c>
      <c r="K329" s="22">
        <f>L328</f>
        <v/>
      </c>
      <c r="L329" s="22">
        <f>K329 * (1 - I329) * (1 - J329)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1.567387943846448e-18</v>
      </c>
      <c r="J330" s="19" t="n">
        <v>0.08161409783155471</v>
      </c>
      <c r="K330" s="20">
        <f>L329</f>
        <v/>
      </c>
      <c r="L330" s="20">
        <f>K330 * (1 - I330) * (1 - J330)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1.567387943846448e-18</v>
      </c>
      <c r="J331" s="21" t="n">
        <v>0.08161409783155471</v>
      </c>
      <c r="K331" s="22">
        <f>L330</f>
        <v/>
      </c>
      <c r="L331" s="22">
        <f>K331 * (1 - I331) * (1 - J331)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1.567387943846448e-18</v>
      </c>
      <c r="J332" s="19" t="n">
        <v>0.08161409783155471</v>
      </c>
      <c r="K332" s="20">
        <f>L331</f>
        <v/>
      </c>
      <c r="L332" s="20">
        <f>K332 * (1 - I332) * (1 - J332)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5.720386061500314e-19</v>
      </c>
      <c r="J333" s="21" t="n">
        <v>0.08161409783155471</v>
      </c>
      <c r="K333" s="22">
        <f>L332</f>
        <v/>
      </c>
      <c r="L333" s="22">
        <f>K333 * (1 - I333) * (1 - J333)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5.720386061500314e-19</v>
      </c>
      <c r="J334" s="19" t="n">
        <v>0.08161409783155471</v>
      </c>
      <c r="K334" s="20">
        <f>L333</f>
        <v/>
      </c>
      <c r="L334" s="20">
        <f>K334 * (1 - I334) * (1 - J334)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5.720386061500314e-19</v>
      </c>
      <c r="J335" s="21" t="n">
        <v>0.08161409783155471</v>
      </c>
      <c r="K335" s="22">
        <f>L334</f>
        <v/>
      </c>
      <c r="L335" s="22">
        <f>K335 * (1 - I335) * (1 - J335)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5.720386061500314e-19</v>
      </c>
      <c r="J336" s="19" t="n">
        <v>0.08161409783155471</v>
      </c>
      <c r="K336" s="20">
        <f>L335</f>
        <v/>
      </c>
      <c r="L336" s="20">
        <f>K336 * (1 - I336) * (1 - J336)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5.720386061500314e-19</v>
      </c>
      <c r="J337" s="21" t="n">
        <v>0.08161409783155471</v>
      </c>
      <c r="K337" s="22">
        <f>L336</f>
        <v/>
      </c>
      <c r="L337" s="22">
        <f>K337 * (1 - I337) * (1 - J337)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5.720386061500314e-19</v>
      </c>
      <c r="J338" s="19" t="n">
        <v>0.08161409783155471</v>
      </c>
      <c r="K338" s="20">
        <f>L337</f>
        <v/>
      </c>
      <c r="L338" s="20">
        <f>K338 * (1 - I338) * (1 - J338)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5.720386061500314e-19</v>
      </c>
      <c r="J339" s="21" t="n">
        <v>0.08161409783155471</v>
      </c>
      <c r="K339" s="22">
        <f>L338</f>
        <v/>
      </c>
      <c r="L339" s="22">
        <f>K339 * (1 - I339) * (1 - J339)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0.007485503484560566</v>
      </c>
      <c r="J340" s="19" t="n">
        <v>0.08161409783155471</v>
      </c>
      <c r="K340" s="20">
        <f>L339</f>
        <v/>
      </c>
      <c r="L340" s="20">
        <f>K340 * (1 - I340) * (1 - J340)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0.007541958843765989</v>
      </c>
      <c r="J341" s="21" t="n">
        <v>0.08161409783155471</v>
      </c>
      <c r="K341" s="22">
        <f>L340</f>
        <v/>
      </c>
      <c r="L341" s="22">
        <f>K341 * (1 - I341) * (1 - J341)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0.007599272242259684</v>
      </c>
      <c r="J342" s="19" t="n">
        <v>0.08161409783155471</v>
      </c>
      <c r="K342" s="20">
        <f>L341</f>
        <v/>
      </c>
      <c r="L342" s="20">
        <f>K342 * (1 - I342) * (1 - J342)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0.007657463391254968</v>
      </c>
      <c r="J343" s="21" t="n">
        <v>0.08161409783155471</v>
      </c>
      <c r="K343" s="22">
        <f>L342</f>
        <v/>
      </c>
      <c r="L343" s="22">
        <f>K343 * (1 - I343) * (1 - J343)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0.007716552610375613</v>
      </c>
      <c r="J344" s="19" t="n">
        <v>0.08161409783155471</v>
      </c>
      <c r="K344" s="20">
        <f>L343</f>
        <v/>
      </c>
      <c r="L344" s="20">
        <f>K344 * (1 - I344) * (1 - J344)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0.007237426100396401</v>
      </c>
      <c r="J345" s="21" t="n">
        <v>0.08161409783155471</v>
      </c>
      <c r="K345" s="22">
        <f>L344</f>
        <v/>
      </c>
      <c r="L345" s="22">
        <f>K345 * (1 - I345) * (1 - J345)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0.007290188299471803</v>
      </c>
      <c r="J346" s="19" t="n">
        <v>0.08161409783155471</v>
      </c>
      <c r="K346" s="20">
        <f>L345</f>
        <v/>
      </c>
      <c r="L346" s="20">
        <f>K346 * (1 - I346) * (1 - J346)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0.007343725440754525</v>
      </c>
      <c r="J347" s="21" t="n">
        <v>0.08161409783155471</v>
      </c>
      <c r="K347" s="22">
        <f>L346</f>
        <v/>
      </c>
      <c r="L347" s="22">
        <f>K347 * (1 - I347) * (1 - J347)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0.007398054723439139</v>
      </c>
      <c r="J348" s="19" t="n">
        <v>0.08161409783155471</v>
      </c>
      <c r="K348" s="20">
        <f>L347</f>
        <v/>
      </c>
      <c r="L348" s="20">
        <f>K348 * (1 - I348) * (1 - J348)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0.007453193859475943</v>
      </c>
      <c r="J349" s="21" t="n">
        <v>0.08161409783155471</v>
      </c>
      <c r="K349" s="22">
        <f>L348</f>
        <v/>
      </c>
      <c r="L349" s="22">
        <f>K349 * (1 - I349) * (1 - J349)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0.007509161092822785</v>
      </c>
      <c r="J350" s="19" t="n">
        <v>0.08161409783155471</v>
      </c>
      <c r="K350" s="20">
        <f>L349</f>
        <v/>
      </c>
      <c r="L350" s="20">
        <f>K350 * (1 - I350) * (1 - J350)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0.007565975219570848</v>
      </c>
      <c r="J351" s="21" t="n">
        <v>0.08161409783155471</v>
      </c>
      <c r="K351" s="22">
        <f>L350</f>
        <v/>
      </c>
      <c r="L351" s="22">
        <f>K351 * (1 - I351) * (1 - J351)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6.345625252788246e-09</v>
      </c>
      <c r="J352" s="19" t="n">
        <v>0.08161409783155471</v>
      </c>
      <c r="K352" s="20">
        <f>L351</f>
        <v/>
      </c>
      <c r="L352" s="20">
        <f>K352 * (1 - I352) * (1 - J352)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6.345625293055207e-09</v>
      </c>
      <c r="J353" s="21" t="n">
        <v>0.08161409783155471</v>
      </c>
      <c r="K353" s="22">
        <f>L352</f>
        <v/>
      </c>
      <c r="L353" s="22">
        <f>K353 * (1 - I353) * (1 - J353)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6.345625333322167e-09</v>
      </c>
      <c r="J354" s="19" t="n">
        <v>0.08161409783155471</v>
      </c>
      <c r="K354" s="20">
        <f>L353</f>
        <v/>
      </c>
      <c r="L354" s="20">
        <f>K354 * (1 - I354) * (1 - J354)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6.345625373589128e-09</v>
      </c>
      <c r="J355" s="21" t="n">
        <v>0.08161409783155471</v>
      </c>
      <c r="K355" s="22">
        <f>L354</f>
        <v/>
      </c>
      <c r="L355" s="22">
        <f>K355 * (1 - I355) * (1 - J355)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6.34562541385609e-09</v>
      </c>
      <c r="J356" s="19" t="n">
        <v>0.08161409783155471</v>
      </c>
      <c r="K356" s="20">
        <f>L355</f>
        <v/>
      </c>
      <c r="L356" s="20">
        <f>K356 * (1 - I356) * (1 - J356)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3.973008740945217e-09</v>
      </c>
      <c r="J357" s="21" t="n">
        <v>0.08161409783155471</v>
      </c>
      <c r="K357" s="22">
        <f>L356</f>
        <v/>
      </c>
      <c r="L357" s="22">
        <f>K357 * (1 - I357) * (1 - J357)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3.973008756730016e-09</v>
      </c>
      <c r="J358" s="19" t="n">
        <v>0.08161409783155471</v>
      </c>
      <c r="K358" s="20">
        <f>L357</f>
        <v/>
      </c>
      <c r="L358" s="20">
        <f>K358 * (1 - I358) * (1 - J358)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3.973008772514814e-09</v>
      </c>
      <c r="J359" s="21" t="n">
        <v>0.08161409783155471</v>
      </c>
      <c r="K359" s="22">
        <f>L358</f>
        <v/>
      </c>
      <c r="L359" s="22">
        <f>K359 * (1 - I359) * (1 - J359)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3.973008788299613e-09</v>
      </c>
      <c r="J360" s="19" t="n">
        <v>0.08161409783155471</v>
      </c>
      <c r="K360" s="20">
        <f>L359</f>
        <v/>
      </c>
      <c r="L360" s="20">
        <f>K360 * (1 - I360) * (1 - J360)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3.973008804084412e-09</v>
      </c>
      <c r="J361" s="21" t="n">
        <v>0.08161409783155471</v>
      </c>
      <c r="K361" s="22">
        <f>L360</f>
        <v/>
      </c>
      <c r="L361" s="22">
        <f>K361 * (1 - I361) * (1 - J361)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3.973008819869211e-09</v>
      </c>
      <c r="J362" s="19" t="n">
        <v>0.08161409783155471</v>
      </c>
      <c r="K362" s="20">
        <f>L361</f>
        <v/>
      </c>
      <c r="L362" s="20">
        <f>K362 * (1 - I362) * (1 - J362)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3.97300883565401e-09</v>
      </c>
      <c r="J363" s="21" t="n">
        <v>0.08161409783155471</v>
      </c>
      <c r="K363" s="22">
        <f>L362</f>
        <v/>
      </c>
      <c r="L363" s="22">
        <f>K363 * (1 - I363) * (1 - J363)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6.041003805817948e-10</v>
      </c>
      <c r="J364" s="19" t="n">
        <v>0.08161409783155471</v>
      </c>
      <c r="K364" s="20">
        <f>L363</f>
        <v/>
      </c>
      <c r="L364" s="20">
        <f>K364 * (1 - I364) * (1 - J364)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6.04100380946732e-10</v>
      </c>
      <c r="J365" s="21" t="n">
        <v>0.08161409783155471</v>
      </c>
      <c r="K365" s="22">
        <f>L364</f>
        <v/>
      </c>
      <c r="L365" s="22">
        <f>K365 * (1 - I365) * (1 - J365)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6.041003813116693e-10</v>
      </c>
      <c r="J366" s="19" t="n">
        <v>0.08161409783155471</v>
      </c>
      <c r="K366" s="20">
        <f>L365</f>
        <v/>
      </c>
      <c r="L366" s="20">
        <f>K366 * (1 - I366) * (1 - J366)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6.041003816766066e-10</v>
      </c>
      <c r="J367" s="21" t="n">
        <v>0.08161409783155471</v>
      </c>
      <c r="K367" s="22">
        <f>L366</f>
        <v/>
      </c>
      <c r="L367" s="22">
        <f>K367 * (1 - I367) * (1 - J367)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6.041003820415439e-10</v>
      </c>
      <c r="J368" s="19" t="n">
        <v>0.08161409783155471</v>
      </c>
      <c r="K368" s="20">
        <f>L367</f>
        <v/>
      </c>
      <c r="L368" s="20">
        <f>K368 * (1 - I368) * (1 - J368)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3.976400148028456e-10</v>
      </c>
      <c r="J369" s="21" t="n">
        <v>0.08161409783155471</v>
      </c>
      <c r="K369" s="22">
        <f>L368</f>
        <v/>
      </c>
      <c r="L369" s="22">
        <f>K369 * (1 - I369) * (1 - J369)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3.976400149609632e-10</v>
      </c>
      <c r="J370" s="19" t="n">
        <v>0.08161409783155471</v>
      </c>
      <c r="K370" s="20">
        <f>L369</f>
        <v/>
      </c>
      <c r="L370" s="20">
        <f>K370 * (1 - I370) * (1 - J370)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3.976400151190808e-10</v>
      </c>
      <c r="J371" s="21" t="n">
        <v>0.08161409783155471</v>
      </c>
      <c r="K371" s="22">
        <f>L370</f>
        <v/>
      </c>
      <c r="L371" s="22">
        <f>K371 * (1 - I371) * (1 - J371)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3.976400152771984e-10</v>
      </c>
      <c r="J372" s="19" t="n">
        <v>0.08161409783155471</v>
      </c>
      <c r="K372" s="20">
        <f>L371</f>
        <v/>
      </c>
      <c r="L372" s="20">
        <f>K372 * (1 - I372) * (1 - J372)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3.97640015435316e-10</v>
      </c>
      <c r="J373" s="21" t="n">
        <v>0.08161409783155471</v>
      </c>
      <c r="K373" s="22">
        <f>L372</f>
        <v/>
      </c>
      <c r="L373" s="22">
        <f>K373 * (1 - I373) * (1 - J373)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3.976400155934335e-10</v>
      </c>
      <c r="J374" s="19" t="n">
        <v>0.08161409783155471</v>
      </c>
      <c r="K374" s="20">
        <f>L373</f>
        <v/>
      </c>
      <c r="L374" s="20">
        <f>K374 * (1 - I374) * (1 - J374)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3.976400157515511e-10</v>
      </c>
      <c r="J375" s="21" t="n">
        <v>0.08161409783155471</v>
      </c>
      <c r="K375" s="22">
        <f>L374</f>
        <v/>
      </c>
      <c r="L375" s="22">
        <f>K375 * (1 - I375) * (1 - J375)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1.069361428608388e-20</v>
      </c>
      <c r="J376" s="19" t="n">
        <v>0.08161409783155471</v>
      </c>
      <c r="K376" s="20">
        <f>L375</f>
        <v/>
      </c>
      <c r="L376" s="20">
        <f>K376 * (1 - I376) * (1 - J376)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1.069361428608388e-20</v>
      </c>
      <c r="J377" s="21" t="n">
        <v>0.08161409783155471</v>
      </c>
      <c r="K377" s="22">
        <f>L376</f>
        <v/>
      </c>
      <c r="L377" s="22">
        <f>K377 * (1 - I377) * (1 - J377)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1.069361428608388e-20</v>
      </c>
      <c r="J378" s="19" t="n">
        <v>0.08161409783155471</v>
      </c>
      <c r="K378" s="20">
        <f>L377</f>
        <v/>
      </c>
      <c r="L378" s="20">
        <f>K378 * (1 - I378) * (1 - J378)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1.069361428608388e-20</v>
      </c>
      <c r="J379" s="21" t="n">
        <v>0.08161409783155471</v>
      </c>
      <c r="K379" s="22">
        <f>L378</f>
        <v/>
      </c>
      <c r="L379" s="22">
        <f>K379 * (1 - I379) * (1 - J379)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1.069361428608388e-20</v>
      </c>
      <c r="J380" s="19" t="n">
        <v>0.08161409783155471</v>
      </c>
      <c r="K380" s="20">
        <f>L379</f>
        <v/>
      </c>
      <c r="L380" s="20">
        <f>K380 * (1 - I380) * (1 - J380)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3.546932841708304e-21</v>
      </c>
      <c r="J381" s="21" t="n">
        <v>0.08161409783155471</v>
      </c>
      <c r="K381" s="22">
        <f>L380</f>
        <v/>
      </c>
      <c r="L381" s="22">
        <f>K381 * (1 - I381) * (1 - J381)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3.546932841708304e-21</v>
      </c>
      <c r="J382" s="19" t="n">
        <v>0.08161409783155471</v>
      </c>
      <c r="K382" s="20">
        <f>L381</f>
        <v/>
      </c>
      <c r="L382" s="20">
        <f>K382 * (1 - I382) * (1 - J382)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3.546932841708304e-21</v>
      </c>
      <c r="J383" s="21" t="n">
        <v>0.08161409783155471</v>
      </c>
      <c r="K383" s="22">
        <f>L382</f>
        <v/>
      </c>
      <c r="L383" s="22">
        <f>K383 * (1 - I383) * (1 - J383)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3.546932841708304e-21</v>
      </c>
      <c r="J384" s="19" t="n">
        <v>0.08161409783155471</v>
      </c>
      <c r="K384" s="20">
        <f>L383</f>
        <v/>
      </c>
      <c r="L384" s="20">
        <f>K384 * (1 - I384) * (1 - J384)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3.546932841708304e-21</v>
      </c>
      <c r="J385" s="21" t="n">
        <v>0.08161409783155471</v>
      </c>
      <c r="K385" s="22">
        <f>L384</f>
        <v/>
      </c>
      <c r="L385" s="22">
        <f>K385 * (1 - I385) * (1 - J385)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3.546932841708304e-21</v>
      </c>
      <c r="J386" s="19" t="n">
        <v>0.08161409783155471</v>
      </c>
      <c r="K386" s="20">
        <f>L385</f>
        <v/>
      </c>
      <c r="L386" s="20">
        <f>K386 * (1 - I386) * (1 - J386)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3.546932841708304e-21</v>
      </c>
      <c r="J387" s="21" t="n">
        <v>0.08161409783155471</v>
      </c>
      <c r="K387" s="22">
        <f>L386</f>
        <v/>
      </c>
      <c r="L387" s="22">
        <f>K387 * (1 - I387) * (1 - J387)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0.0007306215417772054</v>
      </c>
      <c r="J388" s="19" t="n">
        <v>0.08161409783155471</v>
      </c>
      <c r="K388" s="20">
        <f>L387</f>
        <v/>
      </c>
      <c r="L388" s="20">
        <f>K388 * (1 - I388) * (1 - J388)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0.0007311557399111786</v>
      </c>
      <c r="J389" s="21" t="n">
        <v>0.08161409783155471</v>
      </c>
      <c r="K389" s="22">
        <f>L388</f>
        <v/>
      </c>
      <c r="L389" s="22">
        <f>K389 * (1 - I389) * (1 - J389)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0.0007316907197807861</v>
      </c>
      <c r="J390" s="19" t="n">
        <v>0.08161409783155471</v>
      </c>
      <c r="K390" s="20">
        <f>L389</f>
        <v/>
      </c>
      <c r="L390" s="20">
        <f>K390 * (1 - I390) * (1 - J390)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0.0007322264831032504</v>
      </c>
      <c r="J391" s="21" t="n">
        <v>0.08161409783155471</v>
      </c>
      <c r="K391" s="22">
        <f>L390</f>
        <v/>
      </c>
      <c r="L391" s="22">
        <f>K391 * (1 - I391) * (1 - J391)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0.0007327630316008275</v>
      </c>
      <c r="J392" s="19" t="n">
        <v>0.08161409783155471</v>
      </c>
      <c r="K392" s="20">
        <f>L391</f>
        <v/>
      </c>
      <c r="L392" s="20">
        <f>K392 * (1 - I392) * (1 - J392)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0.0005881638372055385</v>
      </c>
      <c r="J393" s="21" t="n">
        <v>0.08161409783155471</v>
      </c>
      <c r="K393" s="22">
        <f>L392</f>
        <v/>
      </c>
      <c r="L393" s="22">
        <f>K393 * (1 - I393) * (1 - J393)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0.000588509977492134</v>
      </c>
      <c r="J394" s="19" t="n">
        <v>0.08161409783155471</v>
      </c>
      <c r="K394" s="20">
        <f>L393</f>
        <v/>
      </c>
      <c r="L394" s="20">
        <f>K394 * (1 - I394) * (1 - J394)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0.0005888565254326625</v>
      </c>
      <c r="J395" s="21" t="n">
        <v>0.08161409783155471</v>
      </c>
      <c r="K395" s="22">
        <f>L394</f>
        <v/>
      </c>
      <c r="L395" s="22">
        <f>K395 * (1 - I395) * (1 - J395)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0.0005892034817476972</v>
      </c>
      <c r="J396" s="19" t="n">
        <v>0.08161409783155471</v>
      </c>
      <c r="K396" s="20">
        <f>L395</f>
        <v/>
      </c>
      <c r="L396" s="20">
        <f>K396 * (1 - I396) * (1 - J396)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0.0005895508471595109</v>
      </c>
      <c r="J397" s="21" t="n">
        <v>0.08161409783155471</v>
      </c>
      <c r="K397" s="22">
        <f>L396</f>
        <v/>
      </c>
      <c r="L397" s="22">
        <f>K397 * (1 - I397) * (1 - J397)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0.0005898986223920804</v>
      </c>
      <c r="J398" s="19" t="n">
        <v>0.08161409783155471</v>
      </c>
      <c r="K398" s="20">
        <f>L397</f>
        <v/>
      </c>
      <c r="L398" s="20">
        <f>K398 * (1 - I398) * (1 - J398)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0.0005902468081710919</v>
      </c>
      <c r="J399" s="21" t="n">
        <v>0.08161409783155471</v>
      </c>
      <c r="K399" s="22">
        <f>L398</f>
        <v/>
      </c>
      <c r="L399" s="22">
        <f>K399 * (1 - I399) * (1 - J399)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2.469833140758581e-05</v>
      </c>
      <c r="J400" s="19" t="n">
        <v>0.08161409783155471</v>
      </c>
      <c r="K400" s="20">
        <f>L399</f>
        <v/>
      </c>
      <c r="L400" s="20">
        <f>K400 * (1 - I400) * (1 - J400)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2.469894143022667e-05</v>
      </c>
      <c r="J401" s="21" t="n">
        <v>0.08161409783155471</v>
      </c>
      <c r="K401" s="22">
        <f>L400</f>
        <v/>
      </c>
      <c r="L401" s="22">
        <f>K401 * (1 - I401) * (1 - J401)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2.46995514830021e-05</v>
      </c>
      <c r="J402" s="19" t="n">
        <v>0.08161409783155471</v>
      </c>
      <c r="K402" s="20">
        <f>L401</f>
        <v/>
      </c>
      <c r="L402" s="20">
        <f>K402 * (1 - I402) * (1 - J402)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2.470016156591433e-05</v>
      </c>
      <c r="J403" s="21" t="n">
        <v>0.08161409783155471</v>
      </c>
      <c r="K403" s="22">
        <f>L402</f>
        <v/>
      </c>
      <c r="L403" s="22">
        <f>K403 * (1 - I403) * (1 - J403)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2.470077167896561e-05</v>
      </c>
      <c r="J404" s="19" t="n">
        <v>0.08161409783155471</v>
      </c>
      <c r="K404" s="20">
        <f>L403</f>
        <v/>
      </c>
      <c r="L404" s="20">
        <f>K404 * (1 - I404) * (1 - J404)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1.888963528041684e-05</v>
      </c>
      <c r="J405" s="21" t="n">
        <v>0.08161409783155471</v>
      </c>
      <c r="K405" s="22">
        <f>L404</f>
        <v/>
      </c>
      <c r="L405" s="22">
        <f>K405 * (1 - I405) * (1 - J405)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1.888999210547816e-05</v>
      </c>
      <c r="J406" s="19" t="n">
        <v>0.08161409783155471</v>
      </c>
      <c r="K406" s="20">
        <f>L405</f>
        <v/>
      </c>
      <c r="L406" s="20">
        <f>K406 * (1 - I406) * (1 - J406)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1.889034894402058e-05</v>
      </c>
      <c r="J407" s="21" t="n">
        <v>0.08161409783155471</v>
      </c>
      <c r="K407" s="22">
        <f>L406</f>
        <v/>
      </c>
      <c r="L407" s="22">
        <f>K407 * (1 - I407) * (1 - J407)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1.889070579604487e-05</v>
      </c>
      <c r="J408" s="19" t="n">
        <v>0.08161409783155471</v>
      </c>
      <c r="K408" s="20">
        <f>L407</f>
        <v/>
      </c>
      <c r="L408" s="20">
        <f>K408 * (1 - I408) * (1 - J408)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1.889106266155178e-05</v>
      </c>
      <c r="J409" s="21" t="n">
        <v>0.08161409783155471</v>
      </c>
      <c r="K409" s="22">
        <f>L408</f>
        <v/>
      </c>
      <c r="L409" s="22">
        <f>K409 * (1 - I409) * (1 - J409)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1.889141954054209e-05</v>
      </c>
      <c r="J410" s="19" t="n">
        <v>0.08161409783155471</v>
      </c>
      <c r="K410" s="20">
        <f>L409</f>
        <v/>
      </c>
      <c r="L410" s="20">
        <f>K410 * (1 - I410) * (1 - J410)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1.889177643301655e-05</v>
      </c>
      <c r="J411" s="21" t="n">
        <v>0.08161409783155471</v>
      </c>
      <c r="K411" s="22">
        <f>L410</f>
        <v/>
      </c>
      <c r="L411" s="22">
        <f>K411 * (1 - I411) * (1 - J411)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6.803912393526369e-13</v>
      </c>
      <c r="J412" s="19" t="n">
        <v>0.08161409783155471</v>
      </c>
      <c r="K412" s="20">
        <f>L411</f>
        <v/>
      </c>
      <c r="L412" s="20">
        <f>K412 * (1 - I412) * (1 - J412)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6.803912393530997e-13</v>
      </c>
      <c r="J413" s="21" t="n">
        <v>0.08161409783155471</v>
      </c>
      <c r="K413" s="22">
        <f>L412</f>
        <v/>
      </c>
      <c r="L413" s="22">
        <f>K413 * (1 - I413) * (1 - J413)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6.803912393535627e-13</v>
      </c>
      <c r="J414" s="19" t="n">
        <v>0.08161409783155471</v>
      </c>
      <c r="K414" s="20">
        <f>L413</f>
        <v/>
      </c>
      <c r="L414" s="20">
        <f>K414 * (1 - I414) * (1 - J414)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6.803912393540257e-13</v>
      </c>
      <c r="J415" s="21" t="n">
        <v>0.08161409783155471</v>
      </c>
      <c r="K415" s="22">
        <f>L414</f>
        <v/>
      </c>
      <c r="L415" s="22">
        <f>K415 * (1 - I415) * (1 - J415)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6.803912393544886e-13</v>
      </c>
      <c r="J416" s="19" t="n">
        <v>0.08161409783155471</v>
      </c>
      <c r="K416" s="20">
        <f>L415</f>
        <v/>
      </c>
      <c r="L416" s="20">
        <f>K416 * (1 - I416) * (1 - J416)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3.662443982756048e-13</v>
      </c>
      <c r="J417" s="21" t="n">
        <v>0.08161409783155471</v>
      </c>
      <c r="K417" s="22">
        <f>L416</f>
        <v/>
      </c>
      <c r="L417" s="22">
        <f>K417 * (1 - I417) * (1 - J417)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3.66244398275739e-13</v>
      </c>
      <c r="J418" s="19" t="n">
        <v>0.08161409783155471</v>
      </c>
      <c r="K418" s="20">
        <f>L417</f>
        <v/>
      </c>
      <c r="L418" s="20">
        <f>K418 * (1 - I418) * (1 - J418)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3.662443982758731e-13</v>
      </c>
      <c r="J419" s="21" t="n">
        <v>0.08161409783155471</v>
      </c>
      <c r="K419" s="22">
        <f>L418</f>
        <v/>
      </c>
      <c r="L419" s="22">
        <f>K419 * (1 - I419) * (1 - J419)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3.662443982760073e-13</v>
      </c>
      <c r="J420" s="19" t="n">
        <v>0.08161409783155471</v>
      </c>
      <c r="K420" s="20">
        <f>L419</f>
        <v/>
      </c>
      <c r="L420" s="20">
        <f>K420 * (1 - I420) * (1 - J420)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3.662443982761414e-13</v>
      </c>
      <c r="J421" s="21" t="n">
        <v>0.08161409783155471</v>
      </c>
      <c r="K421" s="22">
        <f>L420</f>
        <v/>
      </c>
      <c r="L421" s="22">
        <f>K421 * (1 - I421) * (1 - J421)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3.662443982762755e-13</v>
      </c>
      <c r="J422" s="19" t="n">
        <v>0.08161409783155471</v>
      </c>
      <c r="K422" s="20">
        <f>L421</f>
        <v/>
      </c>
      <c r="L422" s="20">
        <f>K422 * (1 - I422) * (1 - J422)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3.662443982764096e-13</v>
      </c>
      <c r="J423" s="21" t="n">
        <v>0.08161409783155471</v>
      </c>
      <c r="K423" s="22">
        <f>L422</f>
        <v/>
      </c>
      <c r="L423" s="22">
        <f>K423 * (1 - I423) * (1 - J423)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8.214333669315869e-10</v>
      </c>
      <c r="J424" s="19" t="n">
        <v>0.08161409783155471</v>
      </c>
      <c r="K424" s="20">
        <f>L423</f>
        <v/>
      </c>
      <c r="L424" s="20">
        <f>K424 * (1 - I424) * (1 - J424)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8.214333676063396e-10</v>
      </c>
      <c r="J425" s="21" t="n">
        <v>0.08161409783155471</v>
      </c>
      <c r="K425" s="22">
        <f>L424</f>
        <v/>
      </c>
      <c r="L425" s="22">
        <f>K425 * (1 - I425) * (1 - J425)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8.214333682810925e-10</v>
      </c>
      <c r="J426" s="19" t="n">
        <v>0.08161409783155471</v>
      </c>
      <c r="K426" s="20">
        <f>L425</f>
        <v/>
      </c>
      <c r="L426" s="20">
        <f>K426 * (1 - I426) * (1 - J426)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8.214333689558452e-10</v>
      </c>
      <c r="J427" s="21" t="n">
        <v>0.08161409783155471</v>
      </c>
      <c r="K427" s="22">
        <f>L426</f>
        <v/>
      </c>
      <c r="L427" s="22">
        <f>K427 * (1 - I427) * (1 - J427)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8.21433369630598e-10</v>
      </c>
      <c r="J428" s="19" t="n">
        <v>0.08161409783155471</v>
      </c>
      <c r="K428" s="20">
        <f>L427</f>
        <v/>
      </c>
      <c r="L428" s="20">
        <f>K428 * (1 - I428) * (1 - J428)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5.221909427553952e-10</v>
      </c>
      <c r="J429" s="21" t="n">
        <v>0.08161409783155471</v>
      </c>
      <c r="K429" s="22">
        <f>L428</f>
        <v/>
      </c>
      <c r="L429" s="22">
        <f>K429 * (1 - I429) * (1 - J429)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5.221909430280786e-10</v>
      </c>
      <c r="J430" s="19" t="n">
        <v>0.08161409783155471</v>
      </c>
      <c r="K430" s="20">
        <f>L429</f>
        <v/>
      </c>
      <c r="L430" s="20">
        <f>K430 * (1 - I430) * (1 - J430)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5.22190943300762e-10</v>
      </c>
      <c r="J431" s="21" t="n">
        <v>0.08161409783155471</v>
      </c>
      <c r="K431" s="22">
        <f>L430</f>
        <v/>
      </c>
      <c r="L431" s="22">
        <f>K431 * (1 - I431) * (1 - J431)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5.221909435734454e-10</v>
      </c>
      <c r="J432" s="19" t="n">
        <v>0.08161409783155471</v>
      </c>
      <c r="K432" s="20">
        <f>L431</f>
        <v/>
      </c>
      <c r="L432" s="20">
        <f>K432 * (1 - I432) * (1 - J432)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5.221909438461288e-10</v>
      </c>
      <c r="J433" s="21" t="n">
        <v>0.08161409783155471</v>
      </c>
      <c r="K433" s="22">
        <f>L432</f>
        <v/>
      </c>
      <c r="L433" s="22">
        <f>K433 * (1 - I433) * (1 - J433)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5.221909441188121e-10</v>
      </c>
      <c r="J434" s="19" t="n">
        <v>0.08161409783155471</v>
      </c>
      <c r="K434" s="20">
        <f>L433</f>
        <v/>
      </c>
      <c r="L434" s="20">
        <f>K434 * (1 - I434) * (1 - J434)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5.221909443914954e-10</v>
      </c>
      <c r="J435" s="21" t="n">
        <v>0.08161409783155471</v>
      </c>
      <c r="K435" s="22">
        <f>L434</f>
        <v/>
      </c>
      <c r="L435" s="22">
        <f>K435 * (1 - I435) * (1 - J435)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6.595691471491459e-09</v>
      </c>
      <c r="J436" s="19" t="n">
        <v>0.08161409783155471</v>
      </c>
      <c r="K436" s="20">
        <f>L435</f>
        <v/>
      </c>
      <c r="L436" s="20">
        <f>K436 * (1 - I436) * (1 - J436)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6.595691514994605e-09</v>
      </c>
      <c r="J437" s="21" t="n">
        <v>0.08161409783155471</v>
      </c>
      <c r="K437" s="22">
        <f>L436</f>
        <v/>
      </c>
      <c r="L437" s="22">
        <f>K437 * (1 - I437) * (1 - J437)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6.595691558497753e-09</v>
      </c>
      <c r="J438" s="19" t="n">
        <v>0.08161409783155471</v>
      </c>
      <c r="K438" s="20">
        <f>L437</f>
        <v/>
      </c>
      <c r="L438" s="20">
        <f>K438 * (1 - I438) * (1 - J438)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6.5956916020009e-09</v>
      </c>
      <c r="J439" s="21" t="n">
        <v>0.08161409783155471</v>
      </c>
      <c r="K439" s="22">
        <f>L438</f>
        <v/>
      </c>
      <c r="L439" s="22">
        <f>K439 * (1 - I439) * (1 - J439)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6.595691645504048e-09</v>
      </c>
      <c r="J440" s="19" t="n">
        <v>0.08161409783155471</v>
      </c>
      <c r="K440" s="20">
        <f>L439</f>
        <v/>
      </c>
      <c r="L440" s="20">
        <f>K440 * (1 - I440) * (1 - J440)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4.333389177735611e-09</v>
      </c>
      <c r="J441" s="21" t="n">
        <v>0.08161409783155471</v>
      </c>
      <c r="K441" s="22">
        <f>L440</f>
        <v/>
      </c>
      <c r="L441" s="22">
        <f>K441 * (1 - I441) * (1 - J441)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4.333389196513873e-09</v>
      </c>
      <c r="J442" s="19" t="n">
        <v>0.08161409783155471</v>
      </c>
      <c r="K442" s="20">
        <f>L441</f>
        <v/>
      </c>
      <c r="L442" s="20">
        <f>K442 * (1 - I442) * (1 - J442)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4.333389215292134e-09</v>
      </c>
      <c r="J443" s="21" t="n">
        <v>0.08161409783155471</v>
      </c>
      <c r="K443" s="22">
        <f>L442</f>
        <v/>
      </c>
      <c r="L443" s="22">
        <f>K443 * (1 - I443) * (1 - J443)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4.333389234070396e-09</v>
      </c>
      <c r="J444" s="19" t="n">
        <v>0.08161409783155471</v>
      </c>
      <c r="K444" s="20">
        <f>L443</f>
        <v/>
      </c>
      <c r="L444" s="20">
        <f>K444 * (1 - I444) * (1 - J444)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4.333389252848658e-09</v>
      </c>
      <c r="J445" s="21" t="n">
        <v>0.08161409783155471</v>
      </c>
      <c r="K445" s="22">
        <f>L444</f>
        <v/>
      </c>
      <c r="L445" s="22">
        <f>K445 * (1 - I445) * (1 - J445)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4.333389271626921e-09</v>
      </c>
      <c r="J446" s="19" t="n">
        <v>0.08161409783155471</v>
      </c>
      <c r="K446" s="20">
        <f>L445</f>
        <v/>
      </c>
      <c r="L446" s="20">
        <f>K446 * (1 - I446) * (1 - J446)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4.333389290405184e-09</v>
      </c>
      <c r="J447" s="21" t="n">
        <v>0.08161409783155471</v>
      </c>
      <c r="K447" s="22">
        <f>L446</f>
        <v/>
      </c>
      <c r="L447" s="22">
        <f>K447 * (1 - I447) * (1 - J447)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7.393839034532934e-36</v>
      </c>
      <c r="J448" s="19" t="n">
        <v>0.08161409783155471</v>
      </c>
      <c r="K448" s="20">
        <f>L447</f>
        <v/>
      </c>
      <c r="L448" s="20">
        <f>K448 * (1 - I448) * (1 - J448)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7.393839034532934e-36</v>
      </c>
      <c r="J449" s="21" t="n">
        <v>0.08161409783155471</v>
      </c>
      <c r="K449" s="22">
        <f>L448</f>
        <v/>
      </c>
      <c r="L449" s="22">
        <f>K449 * (1 - I449) * (1 - J449)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7.393839034532934e-36</v>
      </c>
      <c r="J450" s="19" t="n">
        <v>0.08161409783155471</v>
      </c>
      <c r="K450" s="20">
        <f>L449</f>
        <v/>
      </c>
      <c r="L450" s="20">
        <f>K450 * (1 - I450) * (1 - J450)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7.393839034532934e-36</v>
      </c>
      <c r="J451" s="21" t="n">
        <v>0.08161409783155471</v>
      </c>
      <c r="K451" s="22">
        <f>L450</f>
        <v/>
      </c>
      <c r="L451" s="22">
        <f>K451 * (1 - I451) * (1 - J451)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7.393839034532934e-36</v>
      </c>
      <c r="J452" s="19" t="n">
        <v>0.08161409783155471</v>
      </c>
      <c r="K452" s="20">
        <f>L451</f>
        <v/>
      </c>
      <c r="L452" s="20">
        <f>K452 * (1 - I452) * (1 - J452)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1.429369568316872e-36</v>
      </c>
      <c r="J453" s="21" t="n">
        <v>0.08161409783155471</v>
      </c>
      <c r="K453" s="22">
        <f>L452</f>
        <v/>
      </c>
      <c r="L453" s="22">
        <f>K453 * (1 - I453) * (1 - J453)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1.429369568316872e-36</v>
      </c>
      <c r="J454" s="19" t="n">
        <v>0.08161409783155471</v>
      </c>
      <c r="K454" s="20">
        <f>L453</f>
        <v/>
      </c>
      <c r="L454" s="20">
        <f>K454 * (1 - I454) * (1 - J454)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1.429369568316872e-36</v>
      </c>
      <c r="J455" s="21" t="n">
        <v>0.08161409783155471</v>
      </c>
      <c r="K455" s="22">
        <f>L454</f>
        <v/>
      </c>
      <c r="L455" s="22">
        <f>K455 * (1 - I455) * (1 - J455)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1.429369568316872e-36</v>
      </c>
      <c r="J456" s="19" t="n">
        <v>0.08161409783155471</v>
      </c>
      <c r="K456" s="20">
        <f>L455</f>
        <v/>
      </c>
      <c r="L456" s="20">
        <f>K456 * (1 - I456) * (1 - J456)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1.429369568316872e-36</v>
      </c>
      <c r="J457" s="21" t="n">
        <v>0.08161409783155471</v>
      </c>
      <c r="K457" s="22">
        <f>L456</f>
        <v/>
      </c>
      <c r="L457" s="22">
        <f>K457 * (1 - I457) * (1 - J457)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1.429369568316872e-36</v>
      </c>
      <c r="J458" s="19" t="n">
        <v>0.08161409783155471</v>
      </c>
      <c r="K458" s="20">
        <f>L457</f>
        <v/>
      </c>
      <c r="L458" s="20">
        <f>K458 * (1 - I458) * (1 - J458)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1.429369568316872e-36</v>
      </c>
      <c r="J459" s="21" t="n">
        <v>0.08161409783155471</v>
      </c>
      <c r="K459" s="22">
        <f>L458</f>
        <v/>
      </c>
      <c r="L459" s="22">
        <f>K459 * (1 - I459) * (1 - J459)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4.943064386008511e-18</v>
      </c>
      <c r="J460" s="19" t="n">
        <v>0.08161409783155471</v>
      </c>
      <c r="K460" s="20">
        <f>L459</f>
        <v/>
      </c>
      <c r="L460" s="20">
        <f>K460 * (1 - I460) * (1 - J460)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4.943064386008511e-18</v>
      </c>
      <c r="J461" s="21" t="n">
        <v>0.08161409783155471</v>
      </c>
      <c r="K461" s="22">
        <f>L460</f>
        <v/>
      </c>
      <c r="L461" s="22">
        <f>K461 * (1 - I461) * (1 - J461)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4.943064386008511e-18</v>
      </c>
      <c r="J462" s="19" t="n">
        <v>0.08161409783155471</v>
      </c>
      <c r="K462" s="20">
        <f>L461</f>
        <v/>
      </c>
      <c r="L462" s="20">
        <f>K462 * (1 - I462) * (1 - J462)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4.943064386008511e-18</v>
      </c>
      <c r="J463" s="21" t="n">
        <v>0.08161409783155471</v>
      </c>
      <c r="K463" s="22">
        <f>L462</f>
        <v/>
      </c>
      <c r="L463" s="22">
        <f>K463 * (1 - I463) * (1 - J463)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4.943064386008511e-18</v>
      </c>
      <c r="J464" s="19" t="n">
        <v>0.08161409783155471</v>
      </c>
      <c r="K464" s="20">
        <f>L463</f>
        <v/>
      </c>
      <c r="L464" s="20">
        <f>K464 * (1 - I464) * (1 - J464)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2.220755707508885e-18</v>
      </c>
      <c r="J465" s="21" t="n">
        <v>0.08161409783155471</v>
      </c>
      <c r="K465" s="22">
        <f>L464</f>
        <v/>
      </c>
      <c r="L465" s="22">
        <f>K465 * (1 - I465) * (1 - J465)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2.220755707508885e-18</v>
      </c>
      <c r="J466" s="19" t="n">
        <v>0.08161409783155471</v>
      </c>
      <c r="K466" s="20">
        <f>L465</f>
        <v/>
      </c>
      <c r="L466" s="20">
        <f>K466 * (1 - I466) * (1 - J466)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2.220755707508885e-18</v>
      </c>
      <c r="J467" s="21" t="n">
        <v>0.08161409783155471</v>
      </c>
      <c r="K467" s="22">
        <f>L466</f>
        <v/>
      </c>
      <c r="L467" s="22">
        <f>K467 * (1 - I467) * (1 - J467)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2.220755707508885e-18</v>
      </c>
      <c r="J468" s="19" t="n">
        <v>0.08161409783155471</v>
      </c>
      <c r="K468" s="20">
        <f>L467</f>
        <v/>
      </c>
      <c r="L468" s="20">
        <f>K468 * (1 - I468) * (1 - J468)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2.220755707508885e-18</v>
      </c>
      <c r="J469" s="21" t="n">
        <v>0.08161409783155471</v>
      </c>
      <c r="K469" s="22">
        <f>L468</f>
        <v/>
      </c>
      <c r="L469" s="22">
        <f>K469 * (1 - I469) * (1 - J469)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2.220755707508885e-18</v>
      </c>
      <c r="J470" s="19" t="n">
        <v>0.08161409783155471</v>
      </c>
      <c r="K470" s="20">
        <f>L469</f>
        <v/>
      </c>
      <c r="L470" s="20">
        <f>K470 * (1 - I470) * (1 - J470)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2.220755707508885e-18</v>
      </c>
      <c r="J471" s="21" t="n">
        <v>0.08161409783155471</v>
      </c>
      <c r="K471" s="22">
        <f>L470</f>
        <v/>
      </c>
      <c r="L471" s="22">
        <f>K471 * (1 - I471) * (1 - J471)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1.004235644924106e-12</v>
      </c>
      <c r="J472" s="19" t="n">
        <v>0.08161409783155471</v>
      </c>
      <c r="K472" s="20">
        <f>L471</f>
        <v/>
      </c>
      <c r="L472" s="20">
        <f>K472 * (1 - I472) * (1 - J472)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1.004235644925115e-12</v>
      </c>
      <c r="J473" s="21" t="n">
        <v>0.08161409783155471</v>
      </c>
      <c r="K473" s="22">
        <f>L472</f>
        <v/>
      </c>
      <c r="L473" s="22">
        <f>K473 * (1 - I473) * (1 - J473)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1.004235644926123e-12</v>
      </c>
      <c r="J474" s="19" t="n">
        <v>0.08161409783155471</v>
      </c>
      <c r="K474" s="20">
        <f>L473</f>
        <v/>
      </c>
      <c r="L474" s="20">
        <f>K474 * (1 - I474) * (1 - J474)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1.004235644927132e-12</v>
      </c>
      <c r="J475" s="21" t="n">
        <v>0.08161409783155471</v>
      </c>
      <c r="K475" s="22">
        <f>L474</f>
        <v/>
      </c>
      <c r="L475" s="22">
        <f>K475 * (1 - I475) * (1 - J475)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1.00423564492814e-12</v>
      </c>
      <c r="J476" s="19" t="n">
        <v>0.08161409783155471</v>
      </c>
      <c r="K476" s="20">
        <f>L475</f>
        <v/>
      </c>
      <c r="L476" s="20">
        <f>K476 * (1 - I476) * (1 - J476)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5.707653626794039e-13</v>
      </c>
      <c r="J477" s="21" t="n">
        <v>0.08161409783155471</v>
      </c>
      <c r="K477" s="22">
        <f>L476</f>
        <v/>
      </c>
      <c r="L477" s="22">
        <f>K477 * (1 - I477) * (1 - J477)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5.707653626797297e-13</v>
      </c>
      <c r="J478" s="19" t="n">
        <v>0.08161409783155471</v>
      </c>
      <c r="K478" s="20">
        <f>L477</f>
        <v/>
      </c>
      <c r="L478" s="20">
        <f>K478 * (1 - I478) * (1 - J478)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5.707653626800554e-13</v>
      </c>
      <c r="J479" s="21" t="n">
        <v>0.08161409783155471</v>
      </c>
      <c r="K479" s="22">
        <f>L478</f>
        <v/>
      </c>
      <c r="L479" s="22">
        <f>K479 * (1 - I479) * (1 - J479)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5.707653626803812e-13</v>
      </c>
      <c r="J480" s="19" t="n">
        <v>0.08161409783155471</v>
      </c>
      <c r="K480" s="20">
        <f>L479</f>
        <v/>
      </c>
      <c r="L480" s="20">
        <f>K480 * (1 - I480) * (1 - J480)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5.70765362680707e-13</v>
      </c>
      <c r="J481" s="21" t="n">
        <v>0.08161409783155471</v>
      </c>
      <c r="K481" s="22">
        <f>L480</f>
        <v/>
      </c>
      <c r="L481" s="22">
        <f>K481 * (1 - I481) * (1 - J481)</f>
        <v/>
      </c>
    </row>
  </sheetData>
  <autoFilter ref="A1:L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33C00"/>
    <outlinePr summaryBelow="1" summaryRight="1"/>
    <pageSetUpPr/>
  </sheetPr>
  <dimension ref="A1:O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1" customWidth="1" min="9" max="9"/>
    <col width="21" customWidth="1" min="10" max="10"/>
    <col width="23" customWidth="1" min="11" max="11"/>
    <col width="20" customWidth="1" min="12" max="12"/>
    <col width="21" customWidth="1" min="13" max="13"/>
    <col width="23" customWidth="1" min="14" max="14"/>
    <col width="20" customWidth="1" min="15" max="15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i_bey_pct</t>
        </is>
      </c>
      <c r="J1" s="23" t="inlineStr">
        <is>
          <t>i_aey</t>
        </is>
      </c>
      <c r="K1" s="23" t="inlineStr">
        <is>
          <t>i_monthly</t>
        </is>
      </c>
      <c r="L1" s="23" t="inlineStr">
        <is>
          <t>disc_factor</t>
        </is>
      </c>
      <c r="M1" s="23" t="inlineStr">
        <is>
          <t>i_aey_shock</t>
        </is>
      </c>
      <c r="N1" s="23" t="inlineStr">
        <is>
          <t>i_monthly_shock</t>
        </is>
      </c>
      <c r="O1" s="23" t="inlineStr">
        <is>
          <t>disc_factor_shock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3.98</v>
      </c>
      <c r="J2" s="19">
        <f>(1 + I2 / 100 / 2)^2 - 1</f>
        <v/>
      </c>
      <c r="K2" s="19">
        <f>(1 + J2)^(1/12) - 1</f>
        <v/>
      </c>
      <c r="L2" s="19">
        <f>1 / (1 + K2)</f>
        <v/>
      </c>
      <c r="M2" s="19">
        <f>J2 + 0.01</f>
        <v/>
      </c>
      <c r="N2" s="19">
        <f>(1 + M2)^(1/12) - 1</f>
        <v/>
      </c>
      <c r="O2" s="19">
        <f>1 / (1 + N2)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4.48</v>
      </c>
      <c r="J3" s="21">
        <f>(1 + I3 / 100 / 2)^2 - 1</f>
        <v/>
      </c>
      <c r="K3" s="21">
        <f>(1 + J3)^(1/12) - 1</f>
        <v/>
      </c>
      <c r="L3" s="21">
        <f>L2 / (1 + K3)</f>
        <v/>
      </c>
      <c r="M3" s="21">
        <f>J3 + 0.01</f>
        <v/>
      </c>
      <c r="N3" s="21">
        <f>(1 + M3)^(1/12) - 1</f>
        <v/>
      </c>
      <c r="O3" s="21">
        <f>O2 / (1 + N3)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3.98</v>
      </c>
      <c r="J4" s="19">
        <f>(1 + I4 / 100 / 2)^2 - 1</f>
        <v/>
      </c>
      <c r="K4" s="19">
        <f>(1 + J4)^(1/12) - 1</f>
        <v/>
      </c>
      <c r="L4" s="19">
        <f>L3 / (1 + K4)</f>
        <v/>
      </c>
      <c r="M4" s="19">
        <f>J4 + 0.01</f>
        <v/>
      </c>
      <c r="N4" s="19">
        <f>(1 + M4)^(1/12) - 1</f>
        <v/>
      </c>
      <c r="O4" s="19">
        <f>O3 / (1 + N4)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3.582</v>
      </c>
      <c r="J5" s="21">
        <f>(1 + I5 / 100 / 2)^2 - 1</f>
        <v/>
      </c>
      <c r="K5" s="21">
        <f>(1 + J5)^(1/12) - 1</f>
        <v/>
      </c>
      <c r="L5" s="21">
        <f>L4 / (1 + K5)</f>
        <v/>
      </c>
      <c r="M5" s="21">
        <f>J5 + 0.01</f>
        <v/>
      </c>
      <c r="N5" s="21">
        <f>(1 + M5)^(1/12) - 1</f>
        <v/>
      </c>
      <c r="O5" s="21">
        <f>O4 / (1 + N5)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3.982</v>
      </c>
      <c r="J6" s="19">
        <f>(1 + I6 / 100 / 2)^2 - 1</f>
        <v/>
      </c>
      <c r="K6" s="19">
        <f>(1 + J6)^(1/12) - 1</f>
        <v/>
      </c>
      <c r="L6" s="19">
        <f>L5 / (1 + K6)</f>
        <v/>
      </c>
      <c r="M6" s="19">
        <f>J6 + 0.01</f>
        <v/>
      </c>
      <c r="N6" s="19">
        <f>(1 + M6)^(1/12) - 1</f>
        <v/>
      </c>
      <c r="O6" s="19">
        <f>O5 / (1 + N6)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3.98</v>
      </c>
      <c r="J7" s="21">
        <f>(1 + I7 / 100 / 2)^2 - 1</f>
        <v/>
      </c>
      <c r="K7" s="21">
        <f>(1 + J7)^(1/12) - 1</f>
        <v/>
      </c>
      <c r="L7" s="21">
        <f>L6 / (1 + K7)</f>
        <v/>
      </c>
      <c r="M7" s="21">
        <f>J7 + 0.01</f>
        <v/>
      </c>
      <c r="N7" s="21">
        <f>(1 + M7)^(1/12) - 1</f>
        <v/>
      </c>
      <c r="O7" s="21">
        <f>O6 / (1 + N7)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4.48</v>
      </c>
      <c r="J8" s="19">
        <f>(1 + I8 / 100 / 2)^2 - 1</f>
        <v/>
      </c>
      <c r="K8" s="19">
        <f>(1 + J8)^(1/12) - 1</f>
        <v/>
      </c>
      <c r="L8" s="19">
        <f>L7 / (1 + K8)</f>
        <v/>
      </c>
      <c r="M8" s="19">
        <f>J8 + 0.01</f>
        <v/>
      </c>
      <c r="N8" s="19">
        <f>(1 + M8)^(1/12) - 1</f>
        <v/>
      </c>
      <c r="O8" s="19">
        <f>O7 / (1 + N8)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3.98</v>
      </c>
      <c r="J9" s="21">
        <f>(1 + I9 / 100 / 2)^2 - 1</f>
        <v/>
      </c>
      <c r="K9" s="21">
        <f>(1 + J9)^(1/12) - 1</f>
        <v/>
      </c>
      <c r="L9" s="21">
        <f>L8 / (1 + K9)</f>
        <v/>
      </c>
      <c r="M9" s="21">
        <f>J9 + 0.01</f>
        <v/>
      </c>
      <c r="N9" s="21">
        <f>(1 + M9)^(1/12) - 1</f>
        <v/>
      </c>
      <c r="O9" s="21">
        <f>O8 / (1 + N9)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3.582</v>
      </c>
      <c r="J10" s="19">
        <f>(1 + I10 / 100 / 2)^2 - 1</f>
        <v/>
      </c>
      <c r="K10" s="19">
        <f>(1 + J10)^(1/12) - 1</f>
        <v/>
      </c>
      <c r="L10" s="19">
        <f>L9 / (1 + K10)</f>
        <v/>
      </c>
      <c r="M10" s="19">
        <f>J10 + 0.01</f>
        <v/>
      </c>
      <c r="N10" s="19">
        <f>(1 + M10)^(1/12) - 1</f>
        <v/>
      </c>
      <c r="O10" s="19">
        <f>O9 / (1 + N10)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3.982</v>
      </c>
      <c r="J11" s="21">
        <f>(1 + I11 / 100 / 2)^2 - 1</f>
        <v/>
      </c>
      <c r="K11" s="21">
        <f>(1 + J11)^(1/12) - 1</f>
        <v/>
      </c>
      <c r="L11" s="21">
        <f>L10 / (1 + K11)</f>
        <v/>
      </c>
      <c r="M11" s="21">
        <f>J11 + 0.01</f>
        <v/>
      </c>
      <c r="N11" s="21">
        <f>(1 + M11)^(1/12) - 1</f>
        <v/>
      </c>
      <c r="O11" s="21">
        <f>O10 / (1 + N11)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3.98</v>
      </c>
      <c r="J12" s="19">
        <f>(1 + I12 / 100 / 2)^2 - 1</f>
        <v/>
      </c>
      <c r="K12" s="19">
        <f>(1 + J12)^(1/12) - 1</f>
        <v/>
      </c>
      <c r="L12" s="19">
        <f>L11 / (1 + K12)</f>
        <v/>
      </c>
      <c r="M12" s="19">
        <f>J12 + 0.01</f>
        <v/>
      </c>
      <c r="N12" s="19">
        <f>(1 + M12)^(1/12) - 1</f>
        <v/>
      </c>
      <c r="O12" s="19">
        <f>O11 / (1 + N12)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4.48</v>
      </c>
      <c r="J13" s="21">
        <f>(1 + I13 / 100 / 2)^2 - 1</f>
        <v/>
      </c>
      <c r="K13" s="21">
        <f>(1 + J13)^(1/12) - 1</f>
        <v/>
      </c>
      <c r="L13" s="21">
        <f>L12 / (1 + K13)</f>
        <v/>
      </c>
      <c r="M13" s="21">
        <f>J13 + 0.01</f>
        <v/>
      </c>
      <c r="N13" s="21">
        <f>(1 + M13)^(1/12) - 1</f>
        <v/>
      </c>
      <c r="O13" s="21">
        <f>O12 / (1 + N13)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3.98</v>
      </c>
      <c r="J14" s="19">
        <f>(1 + I14 / 100 / 2)^2 - 1</f>
        <v/>
      </c>
      <c r="K14" s="19">
        <f>(1 + J14)^(1/12) - 1</f>
        <v/>
      </c>
      <c r="L14" s="19">
        <f>L13 / (1 + K14)</f>
        <v/>
      </c>
      <c r="M14" s="19">
        <f>J14 + 0.01</f>
        <v/>
      </c>
      <c r="N14" s="19">
        <f>(1 + M14)^(1/12) - 1</f>
        <v/>
      </c>
      <c r="O14" s="19">
        <f>O13 / (1 + N14)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3.582</v>
      </c>
      <c r="J15" s="21">
        <f>(1 + I15 / 100 / 2)^2 - 1</f>
        <v/>
      </c>
      <c r="K15" s="21">
        <f>(1 + J15)^(1/12) - 1</f>
        <v/>
      </c>
      <c r="L15" s="21">
        <f>L14 / (1 + K15)</f>
        <v/>
      </c>
      <c r="M15" s="21">
        <f>J15 + 0.01</f>
        <v/>
      </c>
      <c r="N15" s="21">
        <f>(1 + M15)^(1/12) - 1</f>
        <v/>
      </c>
      <c r="O15" s="21">
        <f>O14 / (1 + N15)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3.982</v>
      </c>
      <c r="J16" s="19">
        <f>(1 + I16 / 100 / 2)^2 - 1</f>
        <v/>
      </c>
      <c r="K16" s="19">
        <f>(1 + J16)^(1/12) - 1</f>
        <v/>
      </c>
      <c r="L16" s="19">
        <f>L15 / (1 + K16)</f>
        <v/>
      </c>
      <c r="M16" s="19">
        <f>J16 + 0.01</f>
        <v/>
      </c>
      <c r="N16" s="19">
        <f>(1 + M16)^(1/12) - 1</f>
        <v/>
      </c>
      <c r="O16" s="19">
        <f>O15 / (1 + N16)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3.98</v>
      </c>
      <c r="J17" s="21">
        <f>(1 + I17 / 100 / 2)^2 - 1</f>
        <v/>
      </c>
      <c r="K17" s="21">
        <f>(1 + J17)^(1/12) - 1</f>
        <v/>
      </c>
      <c r="L17" s="21">
        <f>L16 / (1 + K17)</f>
        <v/>
      </c>
      <c r="M17" s="21">
        <f>J17 + 0.01</f>
        <v/>
      </c>
      <c r="N17" s="21">
        <f>(1 + M17)^(1/12) - 1</f>
        <v/>
      </c>
      <c r="O17" s="21">
        <f>O16 / (1 + N17)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4.48</v>
      </c>
      <c r="J18" s="19">
        <f>(1 + I18 / 100 / 2)^2 - 1</f>
        <v/>
      </c>
      <c r="K18" s="19">
        <f>(1 + J18)^(1/12) - 1</f>
        <v/>
      </c>
      <c r="L18" s="19">
        <f>L17 / (1 + K18)</f>
        <v/>
      </c>
      <c r="M18" s="19">
        <f>J18 + 0.01</f>
        <v/>
      </c>
      <c r="N18" s="19">
        <f>(1 + M18)^(1/12) - 1</f>
        <v/>
      </c>
      <c r="O18" s="19">
        <f>O17 / (1 + N18)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3.98</v>
      </c>
      <c r="J19" s="21">
        <f>(1 + I19 / 100 / 2)^2 - 1</f>
        <v/>
      </c>
      <c r="K19" s="21">
        <f>(1 + J19)^(1/12) - 1</f>
        <v/>
      </c>
      <c r="L19" s="21">
        <f>L18 / (1 + K19)</f>
        <v/>
      </c>
      <c r="M19" s="21">
        <f>J19 + 0.01</f>
        <v/>
      </c>
      <c r="N19" s="21">
        <f>(1 + M19)^(1/12) - 1</f>
        <v/>
      </c>
      <c r="O19" s="21">
        <f>O18 / (1 + N19)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3.582</v>
      </c>
      <c r="J20" s="19">
        <f>(1 + I20 / 100 / 2)^2 - 1</f>
        <v/>
      </c>
      <c r="K20" s="19">
        <f>(1 + J20)^(1/12) - 1</f>
        <v/>
      </c>
      <c r="L20" s="19">
        <f>L19 / (1 + K20)</f>
        <v/>
      </c>
      <c r="M20" s="19">
        <f>J20 + 0.01</f>
        <v/>
      </c>
      <c r="N20" s="19">
        <f>(1 + M20)^(1/12) - 1</f>
        <v/>
      </c>
      <c r="O20" s="19">
        <f>O19 / (1 + N20)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3.982</v>
      </c>
      <c r="J21" s="21">
        <f>(1 + I21 / 100 / 2)^2 - 1</f>
        <v/>
      </c>
      <c r="K21" s="21">
        <f>(1 + J21)^(1/12) - 1</f>
        <v/>
      </c>
      <c r="L21" s="21">
        <f>L20 / (1 + K21)</f>
        <v/>
      </c>
      <c r="M21" s="21">
        <f>J21 + 0.01</f>
        <v/>
      </c>
      <c r="N21" s="21">
        <f>(1 + M21)^(1/12) - 1</f>
        <v/>
      </c>
      <c r="O21" s="21">
        <f>O20 / (1 + N21)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3.98</v>
      </c>
      <c r="J22" s="19">
        <f>(1 + I22 / 100 / 2)^2 - 1</f>
        <v/>
      </c>
      <c r="K22" s="19">
        <f>(1 + J22)^(1/12) - 1</f>
        <v/>
      </c>
      <c r="L22" s="19">
        <f>L21 / (1 + K22)</f>
        <v/>
      </c>
      <c r="M22" s="19">
        <f>J22 + 0.01</f>
        <v/>
      </c>
      <c r="N22" s="19">
        <f>(1 + M22)^(1/12) - 1</f>
        <v/>
      </c>
      <c r="O22" s="19">
        <f>O21 / (1 + N22)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4.48</v>
      </c>
      <c r="J23" s="21">
        <f>(1 + I23 / 100 / 2)^2 - 1</f>
        <v/>
      </c>
      <c r="K23" s="21">
        <f>(1 + J23)^(1/12) - 1</f>
        <v/>
      </c>
      <c r="L23" s="21">
        <f>L22 / (1 + K23)</f>
        <v/>
      </c>
      <c r="M23" s="21">
        <f>J23 + 0.01</f>
        <v/>
      </c>
      <c r="N23" s="21">
        <f>(1 + M23)^(1/12) - 1</f>
        <v/>
      </c>
      <c r="O23" s="21">
        <f>O22 / (1 + N23)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3.98</v>
      </c>
      <c r="J24" s="19">
        <f>(1 + I24 / 100 / 2)^2 - 1</f>
        <v/>
      </c>
      <c r="K24" s="19">
        <f>(1 + J24)^(1/12) - 1</f>
        <v/>
      </c>
      <c r="L24" s="19">
        <f>L23 / (1 + K24)</f>
        <v/>
      </c>
      <c r="M24" s="19">
        <f>J24 + 0.01</f>
        <v/>
      </c>
      <c r="N24" s="19">
        <f>(1 + M24)^(1/12) - 1</f>
        <v/>
      </c>
      <c r="O24" s="19">
        <f>O23 / (1 + N24)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3.582</v>
      </c>
      <c r="J25" s="21">
        <f>(1 + I25 / 100 / 2)^2 - 1</f>
        <v/>
      </c>
      <c r="K25" s="21">
        <f>(1 + J25)^(1/12) - 1</f>
        <v/>
      </c>
      <c r="L25" s="21">
        <f>L24 / (1 + K25)</f>
        <v/>
      </c>
      <c r="M25" s="21">
        <f>J25 + 0.01</f>
        <v/>
      </c>
      <c r="N25" s="21">
        <f>(1 + M25)^(1/12) - 1</f>
        <v/>
      </c>
      <c r="O25" s="21">
        <f>O24 / (1 + N25)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3.982</v>
      </c>
      <c r="J26" s="19">
        <f>(1 + I26 / 100 / 2)^2 - 1</f>
        <v/>
      </c>
      <c r="K26" s="19">
        <f>(1 + J26)^(1/12) - 1</f>
        <v/>
      </c>
      <c r="L26" s="19">
        <f>L25 / (1 + K26)</f>
        <v/>
      </c>
      <c r="M26" s="19">
        <f>J26 + 0.01</f>
        <v/>
      </c>
      <c r="N26" s="19">
        <f>(1 + M26)^(1/12) - 1</f>
        <v/>
      </c>
      <c r="O26" s="19">
        <f>O25 / (1 + N26)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3.98</v>
      </c>
      <c r="J27" s="21">
        <f>(1 + I27 / 100 / 2)^2 - 1</f>
        <v/>
      </c>
      <c r="K27" s="21">
        <f>(1 + J27)^(1/12) - 1</f>
        <v/>
      </c>
      <c r="L27" s="21">
        <f>L26 / (1 + K27)</f>
        <v/>
      </c>
      <c r="M27" s="21">
        <f>J27 + 0.01</f>
        <v/>
      </c>
      <c r="N27" s="21">
        <f>(1 + M27)^(1/12) - 1</f>
        <v/>
      </c>
      <c r="O27" s="21">
        <f>O26 / (1 + N27)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4.48</v>
      </c>
      <c r="J28" s="19">
        <f>(1 + I28 / 100 / 2)^2 - 1</f>
        <v/>
      </c>
      <c r="K28" s="19">
        <f>(1 + J28)^(1/12) - 1</f>
        <v/>
      </c>
      <c r="L28" s="19">
        <f>L27 / (1 + K28)</f>
        <v/>
      </c>
      <c r="M28" s="19">
        <f>J28 + 0.01</f>
        <v/>
      </c>
      <c r="N28" s="19">
        <f>(1 + M28)^(1/12) - 1</f>
        <v/>
      </c>
      <c r="O28" s="19">
        <f>O27 / (1 + N28)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3.98</v>
      </c>
      <c r="J29" s="21">
        <f>(1 + I29 / 100 / 2)^2 - 1</f>
        <v/>
      </c>
      <c r="K29" s="21">
        <f>(1 + J29)^(1/12) - 1</f>
        <v/>
      </c>
      <c r="L29" s="21">
        <f>L28 / (1 + K29)</f>
        <v/>
      </c>
      <c r="M29" s="21">
        <f>J29 + 0.01</f>
        <v/>
      </c>
      <c r="N29" s="21">
        <f>(1 + M29)^(1/12) - 1</f>
        <v/>
      </c>
      <c r="O29" s="21">
        <f>O28 / (1 + N29)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3.582</v>
      </c>
      <c r="J30" s="19">
        <f>(1 + I30 / 100 / 2)^2 - 1</f>
        <v/>
      </c>
      <c r="K30" s="19">
        <f>(1 + J30)^(1/12) - 1</f>
        <v/>
      </c>
      <c r="L30" s="19">
        <f>L29 / (1 + K30)</f>
        <v/>
      </c>
      <c r="M30" s="19">
        <f>J30 + 0.01</f>
        <v/>
      </c>
      <c r="N30" s="19">
        <f>(1 + M30)^(1/12) - 1</f>
        <v/>
      </c>
      <c r="O30" s="19">
        <f>O29 / (1 + N30)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3.982</v>
      </c>
      <c r="J31" s="21">
        <f>(1 + I31 / 100 / 2)^2 - 1</f>
        <v/>
      </c>
      <c r="K31" s="21">
        <f>(1 + J31)^(1/12) - 1</f>
        <v/>
      </c>
      <c r="L31" s="21">
        <f>L30 / (1 + K31)</f>
        <v/>
      </c>
      <c r="M31" s="21">
        <f>J31 + 0.01</f>
        <v/>
      </c>
      <c r="N31" s="21">
        <f>(1 + M31)^(1/12) - 1</f>
        <v/>
      </c>
      <c r="O31" s="21">
        <f>O30 / (1 + N31)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3.98</v>
      </c>
      <c r="J32" s="19">
        <f>(1 + I32 / 100 / 2)^2 - 1</f>
        <v/>
      </c>
      <c r="K32" s="19">
        <f>(1 + J32)^(1/12) - 1</f>
        <v/>
      </c>
      <c r="L32" s="19">
        <f>L31 / (1 + K32)</f>
        <v/>
      </c>
      <c r="M32" s="19">
        <f>J32 + 0.01</f>
        <v/>
      </c>
      <c r="N32" s="19">
        <f>(1 + M32)^(1/12) - 1</f>
        <v/>
      </c>
      <c r="O32" s="19">
        <f>O31 / (1 + N32)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4.48</v>
      </c>
      <c r="J33" s="21">
        <f>(1 + I33 / 100 / 2)^2 - 1</f>
        <v/>
      </c>
      <c r="K33" s="21">
        <f>(1 + J33)^(1/12) - 1</f>
        <v/>
      </c>
      <c r="L33" s="21">
        <f>L32 / (1 + K33)</f>
        <v/>
      </c>
      <c r="M33" s="21">
        <f>J33 + 0.01</f>
        <v/>
      </c>
      <c r="N33" s="21">
        <f>(1 + M33)^(1/12) - 1</f>
        <v/>
      </c>
      <c r="O33" s="21">
        <f>O32 / (1 + N33)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3.98</v>
      </c>
      <c r="J34" s="19">
        <f>(1 + I34 / 100 / 2)^2 - 1</f>
        <v/>
      </c>
      <c r="K34" s="19">
        <f>(1 + J34)^(1/12) - 1</f>
        <v/>
      </c>
      <c r="L34" s="19">
        <f>L33 / (1 + K34)</f>
        <v/>
      </c>
      <c r="M34" s="19">
        <f>J34 + 0.01</f>
        <v/>
      </c>
      <c r="N34" s="19">
        <f>(1 + M34)^(1/12) - 1</f>
        <v/>
      </c>
      <c r="O34" s="19">
        <f>O33 / (1 + N34)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3.582</v>
      </c>
      <c r="J35" s="21">
        <f>(1 + I35 / 100 / 2)^2 - 1</f>
        <v/>
      </c>
      <c r="K35" s="21">
        <f>(1 + J35)^(1/12) - 1</f>
        <v/>
      </c>
      <c r="L35" s="21">
        <f>L34 / (1 + K35)</f>
        <v/>
      </c>
      <c r="M35" s="21">
        <f>J35 + 0.01</f>
        <v/>
      </c>
      <c r="N35" s="21">
        <f>(1 + M35)^(1/12) - 1</f>
        <v/>
      </c>
      <c r="O35" s="21">
        <f>O34 / (1 + N35)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3.982</v>
      </c>
      <c r="J36" s="19">
        <f>(1 + I36 / 100 / 2)^2 - 1</f>
        <v/>
      </c>
      <c r="K36" s="19">
        <f>(1 + J36)^(1/12) - 1</f>
        <v/>
      </c>
      <c r="L36" s="19">
        <f>L35 / (1 + K36)</f>
        <v/>
      </c>
      <c r="M36" s="19">
        <f>J36 + 0.01</f>
        <v/>
      </c>
      <c r="N36" s="19">
        <f>(1 + M36)^(1/12) - 1</f>
        <v/>
      </c>
      <c r="O36" s="19">
        <f>O35 / (1 + N36)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3.98</v>
      </c>
      <c r="J37" s="21">
        <f>(1 + I37 / 100 / 2)^2 - 1</f>
        <v/>
      </c>
      <c r="K37" s="21">
        <f>(1 + J37)^(1/12) - 1</f>
        <v/>
      </c>
      <c r="L37" s="21">
        <f>L36 / (1 + K37)</f>
        <v/>
      </c>
      <c r="M37" s="21">
        <f>J37 + 0.01</f>
        <v/>
      </c>
      <c r="N37" s="21">
        <f>(1 + M37)^(1/12) - 1</f>
        <v/>
      </c>
      <c r="O37" s="21">
        <f>O36 / (1 + N37)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4.48</v>
      </c>
      <c r="J38" s="19">
        <f>(1 + I38 / 100 / 2)^2 - 1</f>
        <v/>
      </c>
      <c r="K38" s="19">
        <f>(1 + J38)^(1/12) - 1</f>
        <v/>
      </c>
      <c r="L38" s="19">
        <f>L37 / (1 + K38)</f>
        <v/>
      </c>
      <c r="M38" s="19">
        <f>J38 + 0.01</f>
        <v/>
      </c>
      <c r="N38" s="19">
        <f>(1 + M38)^(1/12) - 1</f>
        <v/>
      </c>
      <c r="O38" s="19">
        <f>O37 / (1 + N38)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3.98</v>
      </c>
      <c r="J39" s="21">
        <f>(1 + I39 / 100 / 2)^2 - 1</f>
        <v/>
      </c>
      <c r="K39" s="21">
        <f>(1 + J39)^(1/12) - 1</f>
        <v/>
      </c>
      <c r="L39" s="21">
        <f>L38 / (1 + K39)</f>
        <v/>
      </c>
      <c r="M39" s="21">
        <f>J39 + 0.01</f>
        <v/>
      </c>
      <c r="N39" s="21">
        <f>(1 + M39)^(1/12) - 1</f>
        <v/>
      </c>
      <c r="O39" s="21">
        <f>O38 / (1 + N39)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3.582</v>
      </c>
      <c r="J40" s="19">
        <f>(1 + I40 / 100 / 2)^2 - 1</f>
        <v/>
      </c>
      <c r="K40" s="19">
        <f>(1 + J40)^(1/12) - 1</f>
        <v/>
      </c>
      <c r="L40" s="19">
        <f>L39 / (1 + K40)</f>
        <v/>
      </c>
      <c r="M40" s="19">
        <f>J40 + 0.01</f>
        <v/>
      </c>
      <c r="N40" s="19">
        <f>(1 + M40)^(1/12) - 1</f>
        <v/>
      </c>
      <c r="O40" s="19">
        <f>O39 / (1 + N40)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3.982</v>
      </c>
      <c r="J41" s="21">
        <f>(1 + I41 / 100 / 2)^2 - 1</f>
        <v/>
      </c>
      <c r="K41" s="21">
        <f>(1 + J41)^(1/12) - 1</f>
        <v/>
      </c>
      <c r="L41" s="21">
        <f>L40 / (1 + K41)</f>
        <v/>
      </c>
      <c r="M41" s="21">
        <f>J41 + 0.01</f>
        <v/>
      </c>
      <c r="N41" s="21">
        <f>(1 + M41)^(1/12) - 1</f>
        <v/>
      </c>
      <c r="O41" s="21">
        <f>O40 / (1 + N41)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3.98</v>
      </c>
      <c r="J42" s="19">
        <f>(1 + I42 / 100 / 2)^2 - 1</f>
        <v/>
      </c>
      <c r="K42" s="19">
        <f>(1 + J42)^(1/12) - 1</f>
        <v/>
      </c>
      <c r="L42" s="19">
        <f>L41 / (1 + K42)</f>
        <v/>
      </c>
      <c r="M42" s="19">
        <f>J42 + 0.01</f>
        <v/>
      </c>
      <c r="N42" s="19">
        <f>(1 + M42)^(1/12) - 1</f>
        <v/>
      </c>
      <c r="O42" s="19">
        <f>O41 / (1 + N42)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4.48</v>
      </c>
      <c r="J43" s="21">
        <f>(1 + I43 / 100 / 2)^2 - 1</f>
        <v/>
      </c>
      <c r="K43" s="21">
        <f>(1 + J43)^(1/12) - 1</f>
        <v/>
      </c>
      <c r="L43" s="21">
        <f>L42 / (1 + K43)</f>
        <v/>
      </c>
      <c r="M43" s="21">
        <f>J43 + 0.01</f>
        <v/>
      </c>
      <c r="N43" s="21">
        <f>(1 + M43)^(1/12) - 1</f>
        <v/>
      </c>
      <c r="O43" s="21">
        <f>O42 / (1 + N43)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3.98</v>
      </c>
      <c r="J44" s="19">
        <f>(1 + I44 / 100 / 2)^2 - 1</f>
        <v/>
      </c>
      <c r="K44" s="19">
        <f>(1 + J44)^(1/12) - 1</f>
        <v/>
      </c>
      <c r="L44" s="19">
        <f>L43 / (1 + K44)</f>
        <v/>
      </c>
      <c r="M44" s="19">
        <f>J44 + 0.01</f>
        <v/>
      </c>
      <c r="N44" s="19">
        <f>(1 + M44)^(1/12) - 1</f>
        <v/>
      </c>
      <c r="O44" s="19">
        <f>O43 / (1 + N44)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3.582</v>
      </c>
      <c r="J45" s="21">
        <f>(1 + I45 / 100 / 2)^2 - 1</f>
        <v/>
      </c>
      <c r="K45" s="21">
        <f>(1 + J45)^(1/12) - 1</f>
        <v/>
      </c>
      <c r="L45" s="21">
        <f>L44 / (1 + K45)</f>
        <v/>
      </c>
      <c r="M45" s="21">
        <f>J45 + 0.01</f>
        <v/>
      </c>
      <c r="N45" s="21">
        <f>(1 + M45)^(1/12) - 1</f>
        <v/>
      </c>
      <c r="O45" s="21">
        <f>O44 / (1 + N45)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3.982</v>
      </c>
      <c r="J46" s="19">
        <f>(1 + I46 / 100 / 2)^2 - 1</f>
        <v/>
      </c>
      <c r="K46" s="19">
        <f>(1 + J46)^(1/12) - 1</f>
        <v/>
      </c>
      <c r="L46" s="19">
        <f>L45 / (1 + K46)</f>
        <v/>
      </c>
      <c r="M46" s="19">
        <f>J46 + 0.01</f>
        <v/>
      </c>
      <c r="N46" s="19">
        <f>(1 + M46)^(1/12) - 1</f>
        <v/>
      </c>
      <c r="O46" s="19">
        <f>O45 / (1 + N46)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3.98</v>
      </c>
      <c r="J47" s="21">
        <f>(1 + I47 / 100 / 2)^2 - 1</f>
        <v/>
      </c>
      <c r="K47" s="21">
        <f>(1 + J47)^(1/12) - 1</f>
        <v/>
      </c>
      <c r="L47" s="21">
        <f>L46 / (1 + K47)</f>
        <v/>
      </c>
      <c r="M47" s="21">
        <f>J47 + 0.01</f>
        <v/>
      </c>
      <c r="N47" s="21">
        <f>(1 + M47)^(1/12) - 1</f>
        <v/>
      </c>
      <c r="O47" s="21">
        <f>O46 / (1 + N47)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4.48</v>
      </c>
      <c r="J48" s="19">
        <f>(1 + I48 / 100 / 2)^2 - 1</f>
        <v/>
      </c>
      <c r="K48" s="19">
        <f>(1 + J48)^(1/12) - 1</f>
        <v/>
      </c>
      <c r="L48" s="19">
        <f>L47 / (1 + K48)</f>
        <v/>
      </c>
      <c r="M48" s="19">
        <f>J48 + 0.01</f>
        <v/>
      </c>
      <c r="N48" s="19">
        <f>(1 + M48)^(1/12) - 1</f>
        <v/>
      </c>
      <c r="O48" s="19">
        <f>O47 / (1 + N48)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3.98</v>
      </c>
      <c r="J49" s="21">
        <f>(1 + I49 / 100 / 2)^2 - 1</f>
        <v/>
      </c>
      <c r="K49" s="21">
        <f>(1 + J49)^(1/12) - 1</f>
        <v/>
      </c>
      <c r="L49" s="21">
        <f>L48 / (1 + K49)</f>
        <v/>
      </c>
      <c r="M49" s="21">
        <f>J49 + 0.01</f>
        <v/>
      </c>
      <c r="N49" s="21">
        <f>(1 + M49)^(1/12) - 1</f>
        <v/>
      </c>
      <c r="O49" s="21">
        <f>O48 / (1 + N49)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3.582</v>
      </c>
      <c r="J50" s="19">
        <f>(1 + I50 / 100 / 2)^2 - 1</f>
        <v/>
      </c>
      <c r="K50" s="19">
        <f>(1 + J50)^(1/12) - 1</f>
        <v/>
      </c>
      <c r="L50" s="19">
        <f>L49 / (1 + K50)</f>
        <v/>
      </c>
      <c r="M50" s="19">
        <f>J50 + 0.01</f>
        <v/>
      </c>
      <c r="N50" s="19">
        <f>(1 + M50)^(1/12) - 1</f>
        <v/>
      </c>
      <c r="O50" s="19">
        <f>O49 / (1 + N50)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3.982</v>
      </c>
      <c r="J51" s="21">
        <f>(1 + I51 / 100 / 2)^2 - 1</f>
        <v/>
      </c>
      <c r="K51" s="21">
        <f>(1 + J51)^(1/12) - 1</f>
        <v/>
      </c>
      <c r="L51" s="21">
        <f>L50 / (1 + K51)</f>
        <v/>
      </c>
      <c r="M51" s="21">
        <f>J51 + 0.01</f>
        <v/>
      </c>
      <c r="N51" s="21">
        <f>(1 + M51)^(1/12) - 1</f>
        <v/>
      </c>
      <c r="O51" s="21">
        <f>O50 / (1 + N51)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3.98</v>
      </c>
      <c r="J52" s="19">
        <f>(1 + I52 / 100 / 2)^2 - 1</f>
        <v/>
      </c>
      <c r="K52" s="19">
        <f>(1 + J52)^(1/12) - 1</f>
        <v/>
      </c>
      <c r="L52" s="19">
        <f>L51 / (1 + K52)</f>
        <v/>
      </c>
      <c r="M52" s="19">
        <f>J52 + 0.01</f>
        <v/>
      </c>
      <c r="N52" s="19">
        <f>(1 + M52)^(1/12) - 1</f>
        <v/>
      </c>
      <c r="O52" s="19">
        <f>O51 / (1 + N52)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4.48</v>
      </c>
      <c r="J53" s="21">
        <f>(1 + I53 / 100 / 2)^2 - 1</f>
        <v/>
      </c>
      <c r="K53" s="21">
        <f>(1 + J53)^(1/12) - 1</f>
        <v/>
      </c>
      <c r="L53" s="21">
        <f>L52 / (1 + K53)</f>
        <v/>
      </c>
      <c r="M53" s="21">
        <f>J53 + 0.01</f>
        <v/>
      </c>
      <c r="N53" s="21">
        <f>(1 + M53)^(1/12) - 1</f>
        <v/>
      </c>
      <c r="O53" s="21">
        <f>O52 / (1 + N53)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3.98</v>
      </c>
      <c r="J54" s="19">
        <f>(1 + I54 / 100 / 2)^2 - 1</f>
        <v/>
      </c>
      <c r="K54" s="19">
        <f>(1 + J54)^(1/12) - 1</f>
        <v/>
      </c>
      <c r="L54" s="19">
        <f>L53 / (1 + K54)</f>
        <v/>
      </c>
      <c r="M54" s="19">
        <f>J54 + 0.01</f>
        <v/>
      </c>
      <c r="N54" s="19">
        <f>(1 + M54)^(1/12) - 1</f>
        <v/>
      </c>
      <c r="O54" s="19">
        <f>O53 / (1 + N54)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3.582</v>
      </c>
      <c r="J55" s="21">
        <f>(1 + I55 / 100 / 2)^2 - 1</f>
        <v/>
      </c>
      <c r="K55" s="21">
        <f>(1 + J55)^(1/12) - 1</f>
        <v/>
      </c>
      <c r="L55" s="21">
        <f>L54 / (1 + K55)</f>
        <v/>
      </c>
      <c r="M55" s="21">
        <f>J55 + 0.01</f>
        <v/>
      </c>
      <c r="N55" s="21">
        <f>(1 + M55)^(1/12) - 1</f>
        <v/>
      </c>
      <c r="O55" s="21">
        <f>O54 / (1 + N55)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3.982</v>
      </c>
      <c r="J56" s="19">
        <f>(1 + I56 / 100 / 2)^2 - 1</f>
        <v/>
      </c>
      <c r="K56" s="19">
        <f>(1 + J56)^(1/12) - 1</f>
        <v/>
      </c>
      <c r="L56" s="19">
        <f>L55 / (1 + K56)</f>
        <v/>
      </c>
      <c r="M56" s="19">
        <f>J56 + 0.01</f>
        <v/>
      </c>
      <c r="N56" s="19">
        <f>(1 + M56)^(1/12) - 1</f>
        <v/>
      </c>
      <c r="O56" s="19">
        <f>O55 / (1 + N56)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3.98</v>
      </c>
      <c r="J57" s="21">
        <f>(1 + I57 / 100 / 2)^2 - 1</f>
        <v/>
      </c>
      <c r="K57" s="21">
        <f>(1 + J57)^(1/12) - 1</f>
        <v/>
      </c>
      <c r="L57" s="21">
        <f>L56 / (1 + K57)</f>
        <v/>
      </c>
      <c r="M57" s="21">
        <f>J57 + 0.01</f>
        <v/>
      </c>
      <c r="N57" s="21">
        <f>(1 + M57)^(1/12) - 1</f>
        <v/>
      </c>
      <c r="O57" s="21">
        <f>O56 / (1 + N57)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4.48</v>
      </c>
      <c r="J58" s="19">
        <f>(1 + I58 / 100 / 2)^2 - 1</f>
        <v/>
      </c>
      <c r="K58" s="19">
        <f>(1 + J58)^(1/12) - 1</f>
        <v/>
      </c>
      <c r="L58" s="19">
        <f>L57 / (1 + K58)</f>
        <v/>
      </c>
      <c r="M58" s="19">
        <f>J58 + 0.01</f>
        <v/>
      </c>
      <c r="N58" s="19">
        <f>(1 + M58)^(1/12) - 1</f>
        <v/>
      </c>
      <c r="O58" s="19">
        <f>O57 / (1 + N58)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3.98</v>
      </c>
      <c r="J59" s="21">
        <f>(1 + I59 / 100 / 2)^2 - 1</f>
        <v/>
      </c>
      <c r="K59" s="21">
        <f>(1 + J59)^(1/12) - 1</f>
        <v/>
      </c>
      <c r="L59" s="21">
        <f>L58 / (1 + K59)</f>
        <v/>
      </c>
      <c r="M59" s="21">
        <f>J59 + 0.01</f>
        <v/>
      </c>
      <c r="N59" s="21">
        <f>(1 + M59)^(1/12) - 1</f>
        <v/>
      </c>
      <c r="O59" s="21">
        <f>O58 / (1 + N59)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3.582</v>
      </c>
      <c r="J60" s="19">
        <f>(1 + I60 / 100 / 2)^2 - 1</f>
        <v/>
      </c>
      <c r="K60" s="19">
        <f>(1 + J60)^(1/12) - 1</f>
        <v/>
      </c>
      <c r="L60" s="19">
        <f>L59 / (1 + K60)</f>
        <v/>
      </c>
      <c r="M60" s="19">
        <f>J60 + 0.01</f>
        <v/>
      </c>
      <c r="N60" s="19">
        <f>(1 + M60)^(1/12) - 1</f>
        <v/>
      </c>
      <c r="O60" s="19">
        <f>O59 / (1 + N60)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3.982</v>
      </c>
      <c r="J61" s="21">
        <f>(1 + I61 / 100 / 2)^2 - 1</f>
        <v/>
      </c>
      <c r="K61" s="21">
        <f>(1 + J61)^(1/12) - 1</f>
        <v/>
      </c>
      <c r="L61" s="21">
        <f>L60 / (1 + K61)</f>
        <v/>
      </c>
      <c r="M61" s="21">
        <f>J61 + 0.01</f>
        <v/>
      </c>
      <c r="N61" s="21">
        <f>(1 + M61)^(1/12) - 1</f>
        <v/>
      </c>
      <c r="O61" s="21">
        <f>O60 / (1 + N61)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3.98</v>
      </c>
      <c r="J62" s="19">
        <f>(1 + I62 / 100 / 2)^2 - 1</f>
        <v/>
      </c>
      <c r="K62" s="19">
        <f>(1 + J62)^(1/12) - 1</f>
        <v/>
      </c>
      <c r="L62" s="19">
        <f>L61 / (1 + K62)</f>
        <v/>
      </c>
      <c r="M62" s="19">
        <f>J62 + 0.01</f>
        <v/>
      </c>
      <c r="N62" s="19">
        <f>(1 + M62)^(1/12) - 1</f>
        <v/>
      </c>
      <c r="O62" s="19">
        <f>O61 / (1 + N62)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4.48</v>
      </c>
      <c r="J63" s="21">
        <f>(1 + I63 / 100 / 2)^2 - 1</f>
        <v/>
      </c>
      <c r="K63" s="21">
        <f>(1 + J63)^(1/12) - 1</f>
        <v/>
      </c>
      <c r="L63" s="21">
        <f>L62 / (1 + K63)</f>
        <v/>
      </c>
      <c r="M63" s="21">
        <f>J63 + 0.01</f>
        <v/>
      </c>
      <c r="N63" s="21">
        <f>(1 + M63)^(1/12) - 1</f>
        <v/>
      </c>
      <c r="O63" s="21">
        <f>O62 / (1 + N63)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3.98</v>
      </c>
      <c r="J64" s="19">
        <f>(1 + I64 / 100 / 2)^2 - 1</f>
        <v/>
      </c>
      <c r="K64" s="19">
        <f>(1 + J64)^(1/12) - 1</f>
        <v/>
      </c>
      <c r="L64" s="19">
        <f>L63 / (1 + K64)</f>
        <v/>
      </c>
      <c r="M64" s="19">
        <f>J64 + 0.01</f>
        <v/>
      </c>
      <c r="N64" s="19">
        <f>(1 + M64)^(1/12) - 1</f>
        <v/>
      </c>
      <c r="O64" s="19">
        <f>O63 / (1 + N64)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3.582</v>
      </c>
      <c r="J65" s="21">
        <f>(1 + I65 / 100 / 2)^2 - 1</f>
        <v/>
      </c>
      <c r="K65" s="21">
        <f>(1 + J65)^(1/12) - 1</f>
        <v/>
      </c>
      <c r="L65" s="21">
        <f>L64 / (1 + K65)</f>
        <v/>
      </c>
      <c r="M65" s="21">
        <f>J65 + 0.01</f>
        <v/>
      </c>
      <c r="N65" s="21">
        <f>(1 + M65)^(1/12) - 1</f>
        <v/>
      </c>
      <c r="O65" s="21">
        <f>O64 / (1 + N65)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3.982</v>
      </c>
      <c r="J66" s="19">
        <f>(1 + I66 / 100 / 2)^2 - 1</f>
        <v/>
      </c>
      <c r="K66" s="19">
        <f>(1 + J66)^(1/12) - 1</f>
        <v/>
      </c>
      <c r="L66" s="19">
        <f>L65 / (1 + K66)</f>
        <v/>
      </c>
      <c r="M66" s="19">
        <f>J66 + 0.01</f>
        <v/>
      </c>
      <c r="N66" s="19">
        <f>(1 + M66)^(1/12) - 1</f>
        <v/>
      </c>
      <c r="O66" s="19">
        <f>O65 / (1 + N66)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3.98</v>
      </c>
      <c r="J67" s="21">
        <f>(1 + I67 / 100 / 2)^2 - 1</f>
        <v/>
      </c>
      <c r="K67" s="21">
        <f>(1 + J67)^(1/12) - 1</f>
        <v/>
      </c>
      <c r="L67" s="21">
        <f>L66 / (1 + K67)</f>
        <v/>
      </c>
      <c r="M67" s="21">
        <f>J67 + 0.01</f>
        <v/>
      </c>
      <c r="N67" s="21">
        <f>(1 + M67)^(1/12) - 1</f>
        <v/>
      </c>
      <c r="O67" s="21">
        <f>O66 / (1 + N67)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4.48</v>
      </c>
      <c r="J68" s="19">
        <f>(1 + I68 / 100 / 2)^2 - 1</f>
        <v/>
      </c>
      <c r="K68" s="19">
        <f>(1 + J68)^(1/12) - 1</f>
        <v/>
      </c>
      <c r="L68" s="19">
        <f>L67 / (1 + K68)</f>
        <v/>
      </c>
      <c r="M68" s="19">
        <f>J68 + 0.01</f>
        <v/>
      </c>
      <c r="N68" s="19">
        <f>(1 + M68)^(1/12) - 1</f>
        <v/>
      </c>
      <c r="O68" s="19">
        <f>O67 / (1 + N68)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3.98</v>
      </c>
      <c r="J69" s="21">
        <f>(1 + I69 / 100 / 2)^2 - 1</f>
        <v/>
      </c>
      <c r="K69" s="21">
        <f>(1 + J69)^(1/12) - 1</f>
        <v/>
      </c>
      <c r="L69" s="21">
        <f>L68 / (1 + K69)</f>
        <v/>
      </c>
      <c r="M69" s="21">
        <f>J69 + 0.01</f>
        <v/>
      </c>
      <c r="N69" s="21">
        <f>(1 + M69)^(1/12) - 1</f>
        <v/>
      </c>
      <c r="O69" s="21">
        <f>O68 / (1 + N69)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3.582</v>
      </c>
      <c r="J70" s="19">
        <f>(1 + I70 / 100 / 2)^2 - 1</f>
        <v/>
      </c>
      <c r="K70" s="19">
        <f>(1 + J70)^(1/12) - 1</f>
        <v/>
      </c>
      <c r="L70" s="19">
        <f>L69 / (1 + K70)</f>
        <v/>
      </c>
      <c r="M70" s="19">
        <f>J70 + 0.01</f>
        <v/>
      </c>
      <c r="N70" s="19">
        <f>(1 + M70)^(1/12) - 1</f>
        <v/>
      </c>
      <c r="O70" s="19">
        <f>O69 / (1 + N70)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3.982</v>
      </c>
      <c r="J71" s="21">
        <f>(1 + I71 / 100 / 2)^2 - 1</f>
        <v/>
      </c>
      <c r="K71" s="21">
        <f>(1 + J71)^(1/12) - 1</f>
        <v/>
      </c>
      <c r="L71" s="21">
        <f>L70 / (1 + K71)</f>
        <v/>
      </c>
      <c r="M71" s="21">
        <f>J71 + 0.01</f>
        <v/>
      </c>
      <c r="N71" s="21">
        <f>(1 + M71)^(1/12) - 1</f>
        <v/>
      </c>
      <c r="O71" s="21">
        <f>O70 / (1 + N71)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3.98</v>
      </c>
      <c r="J72" s="19">
        <f>(1 + I72 / 100 / 2)^2 - 1</f>
        <v/>
      </c>
      <c r="K72" s="19">
        <f>(1 + J72)^(1/12) - 1</f>
        <v/>
      </c>
      <c r="L72" s="19">
        <f>L71 / (1 + K72)</f>
        <v/>
      </c>
      <c r="M72" s="19">
        <f>J72 + 0.01</f>
        <v/>
      </c>
      <c r="N72" s="19">
        <f>(1 + M72)^(1/12) - 1</f>
        <v/>
      </c>
      <c r="O72" s="19">
        <f>O71 / (1 + N72)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4.48</v>
      </c>
      <c r="J73" s="21">
        <f>(1 + I73 / 100 / 2)^2 - 1</f>
        <v/>
      </c>
      <c r="K73" s="21">
        <f>(1 + J73)^(1/12) - 1</f>
        <v/>
      </c>
      <c r="L73" s="21">
        <f>L72 / (1 + K73)</f>
        <v/>
      </c>
      <c r="M73" s="21">
        <f>J73 + 0.01</f>
        <v/>
      </c>
      <c r="N73" s="21">
        <f>(1 + M73)^(1/12) - 1</f>
        <v/>
      </c>
      <c r="O73" s="21">
        <f>O72 / (1 + N73)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3.98</v>
      </c>
      <c r="J74" s="19">
        <f>(1 + I74 / 100 / 2)^2 - 1</f>
        <v/>
      </c>
      <c r="K74" s="19">
        <f>(1 + J74)^(1/12) - 1</f>
        <v/>
      </c>
      <c r="L74" s="19">
        <f>L73 / (1 + K74)</f>
        <v/>
      </c>
      <c r="M74" s="19">
        <f>J74 + 0.01</f>
        <v/>
      </c>
      <c r="N74" s="19">
        <f>(1 + M74)^(1/12) - 1</f>
        <v/>
      </c>
      <c r="O74" s="19">
        <f>O73 / (1 + N74)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3.582</v>
      </c>
      <c r="J75" s="21">
        <f>(1 + I75 / 100 / 2)^2 - 1</f>
        <v/>
      </c>
      <c r="K75" s="21">
        <f>(1 + J75)^(1/12) - 1</f>
        <v/>
      </c>
      <c r="L75" s="21">
        <f>L74 / (1 + K75)</f>
        <v/>
      </c>
      <c r="M75" s="21">
        <f>J75 + 0.01</f>
        <v/>
      </c>
      <c r="N75" s="21">
        <f>(1 + M75)^(1/12) - 1</f>
        <v/>
      </c>
      <c r="O75" s="21">
        <f>O74 / (1 + N75)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3.982</v>
      </c>
      <c r="J76" s="19">
        <f>(1 + I76 / 100 / 2)^2 - 1</f>
        <v/>
      </c>
      <c r="K76" s="19">
        <f>(1 + J76)^(1/12) - 1</f>
        <v/>
      </c>
      <c r="L76" s="19">
        <f>L75 / (1 + K76)</f>
        <v/>
      </c>
      <c r="M76" s="19">
        <f>J76 + 0.01</f>
        <v/>
      </c>
      <c r="N76" s="19">
        <f>(1 + M76)^(1/12) - 1</f>
        <v/>
      </c>
      <c r="O76" s="19">
        <f>O75 / (1 + N76)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3.98</v>
      </c>
      <c r="J77" s="21">
        <f>(1 + I77 / 100 / 2)^2 - 1</f>
        <v/>
      </c>
      <c r="K77" s="21">
        <f>(1 + J77)^(1/12) - 1</f>
        <v/>
      </c>
      <c r="L77" s="21">
        <f>L76 / (1 + K77)</f>
        <v/>
      </c>
      <c r="M77" s="21">
        <f>J77 + 0.01</f>
        <v/>
      </c>
      <c r="N77" s="21">
        <f>(1 + M77)^(1/12) - 1</f>
        <v/>
      </c>
      <c r="O77" s="21">
        <f>O76 / (1 + N77)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4.48</v>
      </c>
      <c r="J78" s="19">
        <f>(1 + I78 / 100 / 2)^2 - 1</f>
        <v/>
      </c>
      <c r="K78" s="19">
        <f>(1 + J78)^(1/12) - 1</f>
        <v/>
      </c>
      <c r="L78" s="19">
        <f>L77 / (1 + K78)</f>
        <v/>
      </c>
      <c r="M78" s="19">
        <f>J78 + 0.01</f>
        <v/>
      </c>
      <c r="N78" s="19">
        <f>(1 + M78)^(1/12) - 1</f>
        <v/>
      </c>
      <c r="O78" s="19">
        <f>O77 / (1 + N78)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3.98</v>
      </c>
      <c r="J79" s="21">
        <f>(1 + I79 / 100 / 2)^2 - 1</f>
        <v/>
      </c>
      <c r="K79" s="21">
        <f>(1 + J79)^(1/12) - 1</f>
        <v/>
      </c>
      <c r="L79" s="21">
        <f>L78 / (1 + K79)</f>
        <v/>
      </c>
      <c r="M79" s="21">
        <f>J79 + 0.01</f>
        <v/>
      </c>
      <c r="N79" s="21">
        <f>(1 + M79)^(1/12) - 1</f>
        <v/>
      </c>
      <c r="O79" s="21">
        <f>O78 / (1 + N79)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3.582</v>
      </c>
      <c r="J80" s="19">
        <f>(1 + I80 / 100 / 2)^2 - 1</f>
        <v/>
      </c>
      <c r="K80" s="19">
        <f>(1 + J80)^(1/12) - 1</f>
        <v/>
      </c>
      <c r="L80" s="19">
        <f>L79 / (1 + K80)</f>
        <v/>
      </c>
      <c r="M80" s="19">
        <f>J80 + 0.01</f>
        <v/>
      </c>
      <c r="N80" s="19">
        <f>(1 + M80)^(1/12) - 1</f>
        <v/>
      </c>
      <c r="O80" s="19">
        <f>O79 / (1 + N80)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3.982</v>
      </c>
      <c r="J81" s="21">
        <f>(1 + I81 / 100 / 2)^2 - 1</f>
        <v/>
      </c>
      <c r="K81" s="21">
        <f>(1 + J81)^(1/12) - 1</f>
        <v/>
      </c>
      <c r="L81" s="21">
        <f>L80 / (1 + K81)</f>
        <v/>
      </c>
      <c r="M81" s="21">
        <f>J81 + 0.01</f>
        <v/>
      </c>
      <c r="N81" s="21">
        <f>(1 + M81)^(1/12) - 1</f>
        <v/>
      </c>
      <c r="O81" s="21">
        <f>O80 / (1 + N81)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3.98</v>
      </c>
      <c r="J82" s="19">
        <f>(1 + I82 / 100 / 2)^2 - 1</f>
        <v/>
      </c>
      <c r="K82" s="19">
        <f>(1 + J82)^(1/12) - 1</f>
        <v/>
      </c>
      <c r="L82" s="19">
        <f>L81 / (1 + K82)</f>
        <v/>
      </c>
      <c r="M82" s="19">
        <f>J82 + 0.01</f>
        <v/>
      </c>
      <c r="N82" s="19">
        <f>(1 + M82)^(1/12) - 1</f>
        <v/>
      </c>
      <c r="O82" s="19">
        <f>O81 / (1 + N82)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4.48</v>
      </c>
      <c r="J83" s="21">
        <f>(1 + I83 / 100 / 2)^2 - 1</f>
        <v/>
      </c>
      <c r="K83" s="21">
        <f>(1 + J83)^(1/12) - 1</f>
        <v/>
      </c>
      <c r="L83" s="21">
        <f>L82 / (1 + K83)</f>
        <v/>
      </c>
      <c r="M83" s="21">
        <f>J83 + 0.01</f>
        <v/>
      </c>
      <c r="N83" s="21">
        <f>(1 + M83)^(1/12) - 1</f>
        <v/>
      </c>
      <c r="O83" s="21">
        <f>O82 / (1 + N83)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3.98</v>
      </c>
      <c r="J84" s="19">
        <f>(1 + I84 / 100 / 2)^2 - 1</f>
        <v/>
      </c>
      <c r="K84" s="19">
        <f>(1 + J84)^(1/12) - 1</f>
        <v/>
      </c>
      <c r="L84" s="19">
        <f>L83 / (1 + K84)</f>
        <v/>
      </c>
      <c r="M84" s="19">
        <f>J84 + 0.01</f>
        <v/>
      </c>
      <c r="N84" s="19">
        <f>(1 + M84)^(1/12) - 1</f>
        <v/>
      </c>
      <c r="O84" s="19">
        <f>O83 / (1 + N84)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3.582</v>
      </c>
      <c r="J85" s="21">
        <f>(1 + I85 / 100 / 2)^2 - 1</f>
        <v/>
      </c>
      <c r="K85" s="21">
        <f>(1 + J85)^(1/12) - 1</f>
        <v/>
      </c>
      <c r="L85" s="21">
        <f>L84 / (1 + K85)</f>
        <v/>
      </c>
      <c r="M85" s="21">
        <f>J85 + 0.01</f>
        <v/>
      </c>
      <c r="N85" s="21">
        <f>(1 + M85)^(1/12) - 1</f>
        <v/>
      </c>
      <c r="O85" s="21">
        <f>O84 / (1 + N85)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3.982</v>
      </c>
      <c r="J86" s="19">
        <f>(1 + I86 / 100 / 2)^2 - 1</f>
        <v/>
      </c>
      <c r="K86" s="19">
        <f>(1 + J86)^(1/12) - 1</f>
        <v/>
      </c>
      <c r="L86" s="19">
        <f>L85 / (1 + K86)</f>
        <v/>
      </c>
      <c r="M86" s="19">
        <f>J86 + 0.01</f>
        <v/>
      </c>
      <c r="N86" s="19">
        <f>(1 + M86)^(1/12) - 1</f>
        <v/>
      </c>
      <c r="O86" s="19">
        <f>O85 / (1 + N86)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3.98</v>
      </c>
      <c r="J87" s="21">
        <f>(1 + I87 / 100 / 2)^2 - 1</f>
        <v/>
      </c>
      <c r="K87" s="21">
        <f>(1 + J87)^(1/12) - 1</f>
        <v/>
      </c>
      <c r="L87" s="21">
        <f>L86 / (1 + K87)</f>
        <v/>
      </c>
      <c r="M87" s="21">
        <f>J87 + 0.01</f>
        <v/>
      </c>
      <c r="N87" s="21">
        <f>(1 + M87)^(1/12) - 1</f>
        <v/>
      </c>
      <c r="O87" s="21">
        <f>O86 / (1 + N87)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>4.48</v>
      </c>
      <c r="J88" s="19">
        <f>(1 + I88 / 100 / 2)^2 - 1</f>
        <v/>
      </c>
      <c r="K88" s="19">
        <f>(1 + J88)^(1/12) - 1</f>
        <v/>
      </c>
      <c r="L88" s="19">
        <f>L87 / (1 + K88)</f>
        <v/>
      </c>
      <c r="M88" s="19">
        <f>J88 + 0.01</f>
        <v/>
      </c>
      <c r="N88" s="19">
        <f>(1 + M88)^(1/12) - 1</f>
        <v/>
      </c>
      <c r="O88" s="19">
        <f>O87 / (1 + N88)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>3.98</v>
      </c>
      <c r="J89" s="21">
        <f>(1 + I89 / 100 / 2)^2 - 1</f>
        <v/>
      </c>
      <c r="K89" s="21">
        <f>(1 + J89)^(1/12) - 1</f>
        <v/>
      </c>
      <c r="L89" s="21">
        <f>L88 / (1 + K89)</f>
        <v/>
      </c>
      <c r="M89" s="21">
        <f>J89 + 0.01</f>
        <v/>
      </c>
      <c r="N89" s="21">
        <f>(1 + M89)^(1/12) - 1</f>
        <v/>
      </c>
      <c r="O89" s="21">
        <f>O88 / (1 + N89)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>3.582</v>
      </c>
      <c r="J90" s="19">
        <f>(1 + I90 / 100 / 2)^2 - 1</f>
        <v/>
      </c>
      <c r="K90" s="19">
        <f>(1 + J90)^(1/12) - 1</f>
        <v/>
      </c>
      <c r="L90" s="19">
        <f>L89 / (1 + K90)</f>
        <v/>
      </c>
      <c r="M90" s="19">
        <f>J90 + 0.01</f>
        <v/>
      </c>
      <c r="N90" s="19">
        <f>(1 + M90)^(1/12) - 1</f>
        <v/>
      </c>
      <c r="O90" s="19">
        <f>O89 / (1 + N90)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>3.982</v>
      </c>
      <c r="J91" s="21">
        <f>(1 + I91 / 100 / 2)^2 - 1</f>
        <v/>
      </c>
      <c r="K91" s="21">
        <f>(1 + J91)^(1/12) - 1</f>
        <v/>
      </c>
      <c r="L91" s="21">
        <f>L90 / (1 + K91)</f>
        <v/>
      </c>
      <c r="M91" s="21">
        <f>J91 + 0.01</f>
        <v/>
      </c>
      <c r="N91" s="21">
        <f>(1 + M91)^(1/12) - 1</f>
        <v/>
      </c>
      <c r="O91" s="21">
        <f>O90 / (1 + N91)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>3.98</v>
      </c>
      <c r="J92" s="19">
        <f>(1 + I92 / 100 / 2)^2 - 1</f>
        <v/>
      </c>
      <c r="K92" s="19">
        <f>(1 + J92)^(1/12) - 1</f>
        <v/>
      </c>
      <c r="L92" s="19">
        <f>L91 / (1 + K92)</f>
        <v/>
      </c>
      <c r="M92" s="19">
        <f>J92 + 0.01</f>
        <v/>
      </c>
      <c r="N92" s="19">
        <f>(1 + M92)^(1/12) - 1</f>
        <v/>
      </c>
      <c r="O92" s="19">
        <f>O91 / (1 + N92)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>4.48</v>
      </c>
      <c r="J93" s="21">
        <f>(1 + I93 / 100 / 2)^2 - 1</f>
        <v/>
      </c>
      <c r="K93" s="21">
        <f>(1 + J93)^(1/12) - 1</f>
        <v/>
      </c>
      <c r="L93" s="21">
        <f>L92 / (1 + K93)</f>
        <v/>
      </c>
      <c r="M93" s="21">
        <f>J93 + 0.01</f>
        <v/>
      </c>
      <c r="N93" s="21">
        <f>(1 + M93)^(1/12) - 1</f>
        <v/>
      </c>
      <c r="O93" s="21">
        <f>O92 / (1 + N93)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>3.98</v>
      </c>
      <c r="J94" s="19">
        <f>(1 + I94 / 100 / 2)^2 - 1</f>
        <v/>
      </c>
      <c r="K94" s="19">
        <f>(1 + J94)^(1/12) - 1</f>
        <v/>
      </c>
      <c r="L94" s="19">
        <f>L93 / (1 + K94)</f>
        <v/>
      </c>
      <c r="M94" s="19">
        <f>J94 + 0.01</f>
        <v/>
      </c>
      <c r="N94" s="19">
        <f>(1 + M94)^(1/12) - 1</f>
        <v/>
      </c>
      <c r="O94" s="19">
        <f>O93 / (1 + N94)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>3.582</v>
      </c>
      <c r="J95" s="21">
        <f>(1 + I95 / 100 / 2)^2 - 1</f>
        <v/>
      </c>
      <c r="K95" s="21">
        <f>(1 + J95)^(1/12) - 1</f>
        <v/>
      </c>
      <c r="L95" s="21">
        <f>L94 / (1 + K95)</f>
        <v/>
      </c>
      <c r="M95" s="21">
        <f>J95 + 0.01</f>
        <v/>
      </c>
      <c r="N95" s="21">
        <f>(1 + M95)^(1/12) - 1</f>
        <v/>
      </c>
      <c r="O95" s="21">
        <f>O94 / (1 + N95)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>3.982</v>
      </c>
      <c r="J96" s="19">
        <f>(1 + I96 / 100 / 2)^2 - 1</f>
        <v/>
      </c>
      <c r="K96" s="19">
        <f>(1 + J96)^(1/12) - 1</f>
        <v/>
      </c>
      <c r="L96" s="19">
        <f>L95 / (1 + K96)</f>
        <v/>
      </c>
      <c r="M96" s="19">
        <f>J96 + 0.01</f>
        <v/>
      </c>
      <c r="N96" s="19">
        <f>(1 + M96)^(1/12) - 1</f>
        <v/>
      </c>
      <c r="O96" s="19">
        <f>O95 / (1 + N96)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>3.98</v>
      </c>
      <c r="J97" s="21">
        <f>(1 + I97 / 100 / 2)^2 - 1</f>
        <v/>
      </c>
      <c r="K97" s="21">
        <f>(1 + J97)^(1/12) - 1</f>
        <v/>
      </c>
      <c r="L97" s="21">
        <f>L96 / (1 + K97)</f>
        <v/>
      </c>
      <c r="M97" s="21">
        <f>J97 + 0.01</f>
        <v/>
      </c>
      <c r="N97" s="21">
        <f>(1 + M97)^(1/12) - 1</f>
        <v/>
      </c>
      <c r="O97" s="21">
        <f>O96 / (1 + N97)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>4.48</v>
      </c>
      <c r="J98" s="19">
        <f>(1 + I98 / 100 / 2)^2 - 1</f>
        <v/>
      </c>
      <c r="K98" s="19">
        <f>(1 + J98)^(1/12) - 1</f>
        <v/>
      </c>
      <c r="L98" s="19">
        <f>L97 / (1 + K98)</f>
        <v/>
      </c>
      <c r="M98" s="19">
        <f>J98 + 0.01</f>
        <v/>
      </c>
      <c r="N98" s="19">
        <f>(1 + M98)^(1/12) - 1</f>
        <v/>
      </c>
      <c r="O98" s="19">
        <f>O97 / (1 + N98)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>3.98</v>
      </c>
      <c r="J99" s="21">
        <f>(1 + I99 / 100 / 2)^2 - 1</f>
        <v/>
      </c>
      <c r="K99" s="21">
        <f>(1 + J99)^(1/12) - 1</f>
        <v/>
      </c>
      <c r="L99" s="21">
        <f>L98 / (1 + K99)</f>
        <v/>
      </c>
      <c r="M99" s="21">
        <f>J99 + 0.01</f>
        <v/>
      </c>
      <c r="N99" s="21">
        <f>(1 + M99)^(1/12) - 1</f>
        <v/>
      </c>
      <c r="O99" s="21">
        <f>O98 / (1 + N99)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3.582</v>
      </c>
      <c r="J100" s="19">
        <f>(1 + I100 / 100 / 2)^2 - 1</f>
        <v/>
      </c>
      <c r="K100" s="19">
        <f>(1 + J100)^(1/12) - 1</f>
        <v/>
      </c>
      <c r="L100" s="19">
        <f>L99 / (1 + K100)</f>
        <v/>
      </c>
      <c r="M100" s="19">
        <f>J100 + 0.01</f>
        <v/>
      </c>
      <c r="N100" s="19">
        <f>(1 + M100)^(1/12) - 1</f>
        <v/>
      </c>
      <c r="O100" s="19">
        <f>O99 / (1 + N100)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3.982</v>
      </c>
      <c r="J101" s="21">
        <f>(1 + I101 / 100 / 2)^2 - 1</f>
        <v/>
      </c>
      <c r="K101" s="21">
        <f>(1 + J101)^(1/12) - 1</f>
        <v/>
      </c>
      <c r="L101" s="21">
        <f>L100 / (1 + K101)</f>
        <v/>
      </c>
      <c r="M101" s="21">
        <f>J101 + 0.01</f>
        <v/>
      </c>
      <c r="N101" s="21">
        <f>(1 + M101)^(1/12) - 1</f>
        <v/>
      </c>
      <c r="O101" s="21">
        <f>O100 / (1 + N101)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3.98</v>
      </c>
      <c r="J102" s="19">
        <f>(1 + I102 / 100 / 2)^2 - 1</f>
        <v/>
      </c>
      <c r="K102" s="19">
        <f>(1 + J102)^(1/12) - 1</f>
        <v/>
      </c>
      <c r="L102" s="19">
        <f>L101 / (1 + K102)</f>
        <v/>
      </c>
      <c r="M102" s="19">
        <f>J102 + 0.01</f>
        <v/>
      </c>
      <c r="N102" s="19">
        <f>(1 + M102)^(1/12) - 1</f>
        <v/>
      </c>
      <c r="O102" s="19">
        <f>O101 / (1 + N102)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4.48</v>
      </c>
      <c r="J103" s="21">
        <f>(1 + I103 / 100 / 2)^2 - 1</f>
        <v/>
      </c>
      <c r="K103" s="21">
        <f>(1 + J103)^(1/12) - 1</f>
        <v/>
      </c>
      <c r="L103" s="21">
        <f>L102 / (1 + K103)</f>
        <v/>
      </c>
      <c r="M103" s="21">
        <f>J103 + 0.01</f>
        <v/>
      </c>
      <c r="N103" s="21">
        <f>(1 + M103)^(1/12) - 1</f>
        <v/>
      </c>
      <c r="O103" s="21">
        <f>O102 / (1 + N103)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3.98</v>
      </c>
      <c r="J104" s="19">
        <f>(1 + I104 / 100 / 2)^2 - 1</f>
        <v/>
      </c>
      <c r="K104" s="19">
        <f>(1 + J104)^(1/12) - 1</f>
        <v/>
      </c>
      <c r="L104" s="19">
        <f>L103 / (1 + K104)</f>
        <v/>
      </c>
      <c r="M104" s="19">
        <f>J104 + 0.01</f>
        <v/>
      </c>
      <c r="N104" s="19">
        <f>(1 + M104)^(1/12) - 1</f>
        <v/>
      </c>
      <c r="O104" s="19">
        <f>O103 / (1 + N104)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3.582</v>
      </c>
      <c r="J105" s="21">
        <f>(1 + I105 / 100 / 2)^2 - 1</f>
        <v/>
      </c>
      <c r="K105" s="21">
        <f>(1 + J105)^(1/12) - 1</f>
        <v/>
      </c>
      <c r="L105" s="21">
        <f>L104 / (1 + K105)</f>
        <v/>
      </c>
      <c r="M105" s="21">
        <f>J105 + 0.01</f>
        <v/>
      </c>
      <c r="N105" s="21">
        <f>(1 + M105)^(1/12) - 1</f>
        <v/>
      </c>
      <c r="O105" s="21">
        <f>O104 / (1 + N105)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3.982</v>
      </c>
      <c r="J106" s="19">
        <f>(1 + I106 / 100 / 2)^2 - 1</f>
        <v/>
      </c>
      <c r="K106" s="19">
        <f>(1 + J106)^(1/12) - 1</f>
        <v/>
      </c>
      <c r="L106" s="19">
        <f>L105 / (1 + K106)</f>
        <v/>
      </c>
      <c r="M106" s="19">
        <f>J106 + 0.01</f>
        <v/>
      </c>
      <c r="N106" s="19">
        <f>(1 + M106)^(1/12) - 1</f>
        <v/>
      </c>
      <c r="O106" s="19">
        <f>O105 / (1 + N106)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3.98</v>
      </c>
      <c r="J107" s="21">
        <f>(1 + I107 / 100 / 2)^2 - 1</f>
        <v/>
      </c>
      <c r="K107" s="21">
        <f>(1 + J107)^(1/12) - 1</f>
        <v/>
      </c>
      <c r="L107" s="21">
        <f>L106 / (1 + K107)</f>
        <v/>
      </c>
      <c r="M107" s="21">
        <f>J107 + 0.01</f>
        <v/>
      </c>
      <c r="N107" s="21">
        <f>(1 + M107)^(1/12) - 1</f>
        <v/>
      </c>
      <c r="O107" s="21">
        <f>O106 / (1 + N107)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4.48</v>
      </c>
      <c r="J108" s="19">
        <f>(1 + I108 / 100 / 2)^2 - 1</f>
        <v/>
      </c>
      <c r="K108" s="19">
        <f>(1 + J108)^(1/12) - 1</f>
        <v/>
      </c>
      <c r="L108" s="19">
        <f>L107 / (1 + K108)</f>
        <v/>
      </c>
      <c r="M108" s="19">
        <f>J108 + 0.01</f>
        <v/>
      </c>
      <c r="N108" s="19">
        <f>(1 + M108)^(1/12) - 1</f>
        <v/>
      </c>
      <c r="O108" s="19">
        <f>O107 / (1 + N108)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3.98</v>
      </c>
      <c r="J109" s="21">
        <f>(1 + I109 / 100 / 2)^2 - 1</f>
        <v/>
      </c>
      <c r="K109" s="21">
        <f>(1 + J109)^(1/12) - 1</f>
        <v/>
      </c>
      <c r="L109" s="21">
        <f>L108 / (1 + K109)</f>
        <v/>
      </c>
      <c r="M109" s="21">
        <f>J109 + 0.01</f>
        <v/>
      </c>
      <c r="N109" s="21">
        <f>(1 + M109)^(1/12) - 1</f>
        <v/>
      </c>
      <c r="O109" s="21">
        <f>O108 / (1 + N109)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3.582</v>
      </c>
      <c r="J110" s="19">
        <f>(1 + I110 / 100 / 2)^2 - 1</f>
        <v/>
      </c>
      <c r="K110" s="19">
        <f>(1 + J110)^(1/12) - 1</f>
        <v/>
      </c>
      <c r="L110" s="19">
        <f>L109 / (1 + K110)</f>
        <v/>
      </c>
      <c r="M110" s="19">
        <f>J110 + 0.01</f>
        <v/>
      </c>
      <c r="N110" s="19">
        <f>(1 + M110)^(1/12) - 1</f>
        <v/>
      </c>
      <c r="O110" s="19">
        <f>O109 / (1 + N110)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3.982</v>
      </c>
      <c r="J111" s="21">
        <f>(1 + I111 / 100 / 2)^2 - 1</f>
        <v/>
      </c>
      <c r="K111" s="21">
        <f>(1 + J111)^(1/12) - 1</f>
        <v/>
      </c>
      <c r="L111" s="21">
        <f>L110 / (1 + K111)</f>
        <v/>
      </c>
      <c r="M111" s="21">
        <f>J111 + 0.01</f>
        <v/>
      </c>
      <c r="N111" s="21">
        <f>(1 + M111)^(1/12) - 1</f>
        <v/>
      </c>
      <c r="O111" s="21">
        <f>O110 / (1 + N111)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3.98</v>
      </c>
      <c r="J112" s="19">
        <f>(1 + I112 / 100 / 2)^2 - 1</f>
        <v/>
      </c>
      <c r="K112" s="19">
        <f>(1 + J112)^(1/12) - 1</f>
        <v/>
      </c>
      <c r="L112" s="19">
        <f>L111 / (1 + K112)</f>
        <v/>
      </c>
      <c r="M112" s="19">
        <f>J112 + 0.01</f>
        <v/>
      </c>
      <c r="N112" s="19">
        <f>(1 + M112)^(1/12) - 1</f>
        <v/>
      </c>
      <c r="O112" s="19">
        <f>O111 / (1 + N112)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4.48</v>
      </c>
      <c r="J113" s="21">
        <f>(1 + I113 / 100 / 2)^2 - 1</f>
        <v/>
      </c>
      <c r="K113" s="21">
        <f>(1 + J113)^(1/12) - 1</f>
        <v/>
      </c>
      <c r="L113" s="21">
        <f>L112 / (1 + K113)</f>
        <v/>
      </c>
      <c r="M113" s="21">
        <f>J113 + 0.01</f>
        <v/>
      </c>
      <c r="N113" s="21">
        <f>(1 + M113)^(1/12) - 1</f>
        <v/>
      </c>
      <c r="O113" s="21">
        <f>O112 / (1 + N113)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3.98</v>
      </c>
      <c r="J114" s="19">
        <f>(1 + I114 / 100 / 2)^2 - 1</f>
        <v/>
      </c>
      <c r="K114" s="19">
        <f>(1 + J114)^(1/12) - 1</f>
        <v/>
      </c>
      <c r="L114" s="19">
        <f>L113 / (1 + K114)</f>
        <v/>
      </c>
      <c r="M114" s="19">
        <f>J114 + 0.01</f>
        <v/>
      </c>
      <c r="N114" s="19">
        <f>(1 + M114)^(1/12) - 1</f>
        <v/>
      </c>
      <c r="O114" s="19">
        <f>O113 / (1 + N114)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3.582</v>
      </c>
      <c r="J115" s="21">
        <f>(1 + I115 / 100 / 2)^2 - 1</f>
        <v/>
      </c>
      <c r="K115" s="21">
        <f>(1 + J115)^(1/12) - 1</f>
        <v/>
      </c>
      <c r="L115" s="21">
        <f>L114 / (1 + K115)</f>
        <v/>
      </c>
      <c r="M115" s="21">
        <f>J115 + 0.01</f>
        <v/>
      </c>
      <c r="N115" s="21">
        <f>(1 + M115)^(1/12) - 1</f>
        <v/>
      </c>
      <c r="O115" s="21">
        <f>O114 / (1 + N115)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3.982</v>
      </c>
      <c r="J116" s="19">
        <f>(1 + I116 / 100 / 2)^2 - 1</f>
        <v/>
      </c>
      <c r="K116" s="19">
        <f>(1 + J116)^(1/12) - 1</f>
        <v/>
      </c>
      <c r="L116" s="19">
        <f>L115 / (1 + K116)</f>
        <v/>
      </c>
      <c r="M116" s="19">
        <f>J116 + 0.01</f>
        <v/>
      </c>
      <c r="N116" s="19">
        <f>(1 + M116)^(1/12) - 1</f>
        <v/>
      </c>
      <c r="O116" s="19">
        <f>O115 / (1 + N116)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3.98</v>
      </c>
      <c r="J117" s="21">
        <f>(1 + I117 / 100 / 2)^2 - 1</f>
        <v/>
      </c>
      <c r="K117" s="21">
        <f>(1 + J117)^(1/12) - 1</f>
        <v/>
      </c>
      <c r="L117" s="21">
        <f>L116 / (1 + K117)</f>
        <v/>
      </c>
      <c r="M117" s="21">
        <f>J117 + 0.01</f>
        <v/>
      </c>
      <c r="N117" s="21">
        <f>(1 + M117)^(1/12) - 1</f>
        <v/>
      </c>
      <c r="O117" s="21">
        <f>O116 / (1 + N117)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4.48</v>
      </c>
      <c r="J118" s="19">
        <f>(1 + I118 / 100 / 2)^2 - 1</f>
        <v/>
      </c>
      <c r="K118" s="19">
        <f>(1 + J118)^(1/12) - 1</f>
        <v/>
      </c>
      <c r="L118" s="19">
        <f>L117 / (1 + K118)</f>
        <v/>
      </c>
      <c r="M118" s="19">
        <f>J118 + 0.01</f>
        <v/>
      </c>
      <c r="N118" s="19">
        <f>(1 + M118)^(1/12) - 1</f>
        <v/>
      </c>
      <c r="O118" s="19">
        <f>O117 / (1 + N118)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3.98</v>
      </c>
      <c r="J119" s="21">
        <f>(1 + I119 / 100 / 2)^2 - 1</f>
        <v/>
      </c>
      <c r="K119" s="21">
        <f>(1 + J119)^(1/12) - 1</f>
        <v/>
      </c>
      <c r="L119" s="21">
        <f>L118 / (1 + K119)</f>
        <v/>
      </c>
      <c r="M119" s="21">
        <f>J119 + 0.01</f>
        <v/>
      </c>
      <c r="N119" s="21">
        <f>(1 + M119)^(1/12) - 1</f>
        <v/>
      </c>
      <c r="O119" s="21">
        <f>O118 / (1 + N119)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3.582</v>
      </c>
      <c r="J120" s="19">
        <f>(1 + I120 / 100 / 2)^2 - 1</f>
        <v/>
      </c>
      <c r="K120" s="19">
        <f>(1 + J120)^(1/12) - 1</f>
        <v/>
      </c>
      <c r="L120" s="19">
        <f>L119 / (1 + K120)</f>
        <v/>
      </c>
      <c r="M120" s="19">
        <f>J120 + 0.01</f>
        <v/>
      </c>
      <c r="N120" s="19">
        <f>(1 + M120)^(1/12) - 1</f>
        <v/>
      </c>
      <c r="O120" s="19">
        <f>O119 / (1 + N120)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3.982</v>
      </c>
      <c r="J121" s="21">
        <f>(1 + I121 / 100 / 2)^2 - 1</f>
        <v/>
      </c>
      <c r="K121" s="21">
        <f>(1 + J121)^(1/12) - 1</f>
        <v/>
      </c>
      <c r="L121" s="21">
        <f>L120 / (1 + K121)</f>
        <v/>
      </c>
      <c r="M121" s="21">
        <f>J121 + 0.01</f>
        <v/>
      </c>
      <c r="N121" s="21">
        <f>(1 + M121)^(1/12) - 1</f>
        <v/>
      </c>
      <c r="O121" s="21">
        <f>O120 / (1 + N121)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3.982</v>
      </c>
      <c r="J122" s="19">
        <f>(1 + I122 / 100 / 2)^2 - 1</f>
        <v/>
      </c>
      <c r="K122" s="19">
        <f>(1 + J122)^(1/12) - 1</f>
        <v/>
      </c>
      <c r="L122" s="19">
        <f>L121 / (1 + K122)</f>
        <v/>
      </c>
      <c r="M122" s="19">
        <f>J122 + 0.01</f>
        <v/>
      </c>
      <c r="N122" s="19">
        <f>(1 + M122)^(1/12) - 1</f>
        <v/>
      </c>
      <c r="O122" s="19">
        <f>O121 / (1 + N122)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3.982</v>
      </c>
      <c r="J123" s="21">
        <f>(1 + I123 / 100 / 2)^2 - 1</f>
        <v/>
      </c>
      <c r="K123" s="21">
        <f>(1 + J123)^(1/12) - 1</f>
        <v/>
      </c>
      <c r="L123" s="21">
        <f>L122 / (1 + K123)</f>
        <v/>
      </c>
      <c r="M123" s="21">
        <f>J123 + 0.01</f>
        <v/>
      </c>
      <c r="N123" s="21">
        <f>(1 + M123)^(1/12) - 1</f>
        <v/>
      </c>
      <c r="O123" s="21">
        <f>O122 / (1 + N123)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3.982</v>
      </c>
      <c r="J124" s="19">
        <f>(1 + I124 / 100 / 2)^2 - 1</f>
        <v/>
      </c>
      <c r="K124" s="19">
        <f>(1 + J124)^(1/12) - 1</f>
        <v/>
      </c>
      <c r="L124" s="19">
        <f>L123 / (1 + K124)</f>
        <v/>
      </c>
      <c r="M124" s="19">
        <f>J124 + 0.01</f>
        <v/>
      </c>
      <c r="N124" s="19">
        <f>(1 + M124)^(1/12) - 1</f>
        <v/>
      </c>
      <c r="O124" s="19">
        <f>O123 / (1 + N124)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3.982</v>
      </c>
      <c r="J125" s="21">
        <f>(1 + I125 / 100 / 2)^2 - 1</f>
        <v/>
      </c>
      <c r="K125" s="21">
        <f>(1 + J125)^(1/12) - 1</f>
        <v/>
      </c>
      <c r="L125" s="21">
        <f>L124 / (1 + K125)</f>
        <v/>
      </c>
      <c r="M125" s="21">
        <f>J125 + 0.01</f>
        <v/>
      </c>
      <c r="N125" s="21">
        <f>(1 + M125)^(1/12) - 1</f>
        <v/>
      </c>
      <c r="O125" s="21">
        <f>O124 / (1 + N125)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3.982</v>
      </c>
      <c r="J126" s="19">
        <f>(1 + I126 / 100 / 2)^2 - 1</f>
        <v/>
      </c>
      <c r="K126" s="19">
        <f>(1 + J126)^(1/12) - 1</f>
        <v/>
      </c>
      <c r="L126" s="19">
        <f>L125 / (1 + K126)</f>
        <v/>
      </c>
      <c r="M126" s="19">
        <f>J126 + 0.01</f>
        <v/>
      </c>
      <c r="N126" s="19">
        <f>(1 + M126)^(1/12) - 1</f>
        <v/>
      </c>
      <c r="O126" s="19">
        <f>O125 / (1 + N126)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3.982</v>
      </c>
      <c r="J127" s="21">
        <f>(1 + I127 / 100 / 2)^2 - 1</f>
        <v/>
      </c>
      <c r="K127" s="21">
        <f>(1 + J127)^(1/12) - 1</f>
        <v/>
      </c>
      <c r="L127" s="21">
        <f>L126 / (1 + K127)</f>
        <v/>
      </c>
      <c r="M127" s="21">
        <f>J127 + 0.01</f>
        <v/>
      </c>
      <c r="N127" s="21">
        <f>(1 + M127)^(1/12) - 1</f>
        <v/>
      </c>
      <c r="O127" s="21">
        <f>O126 / (1 + N127)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3.982</v>
      </c>
      <c r="J128" s="19">
        <f>(1 + I128 / 100 / 2)^2 - 1</f>
        <v/>
      </c>
      <c r="K128" s="19">
        <f>(1 + J128)^(1/12) - 1</f>
        <v/>
      </c>
      <c r="L128" s="19">
        <f>L127 / (1 + K128)</f>
        <v/>
      </c>
      <c r="M128" s="19">
        <f>J128 + 0.01</f>
        <v/>
      </c>
      <c r="N128" s="19">
        <f>(1 + M128)^(1/12) - 1</f>
        <v/>
      </c>
      <c r="O128" s="19">
        <f>O127 / (1 + N128)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3.982</v>
      </c>
      <c r="J129" s="21">
        <f>(1 + I129 / 100 / 2)^2 - 1</f>
        <v/>
      </c>
      <c r="K129" s="21">
        <f>(1 + J129)^(1/12) - 1</f>
        <v/>
      </c>
      <c r="L129" s="21">
        <f>L128 / (1 + K129)</f>
        <v/>
      </c>
      <c r="M129" s="21">
        <f>J129 + 0.01</f>
        <v/>
      </c>
      <c r="N129" s="21">
        <f>(1 + M129)^(1/12) - 1</f>
        <v/>
      </c>
      <c r="O129" s="21">
        <f>O128 / (1 + N129)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3.982</v>
      </c>
      <c r="J130" s="19">
        <f>(1 + I130 / 100 / 2)^2 - 1</f>
        <v/>
      </c>
      <c r="K130" s="19">
        <f>(1 + J130)^(1/12) - 1</f>
        <v/>
      </c>
      <c r="L130" s="19">
        <f>L129 / (1 + K130)</f>
        <v/>
      </c>
      <c r="M130" s="19">
        <f>J130 + 0.01</f>
        <v/>
      </c>
      <c r="N130" s="19">
        <f>(1 + M130)^(1/12) - 1</f>
        <v/>
      </c>
      <c r="O130" s="19">
        <f>O129 / (1 + N130)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3.982</v>
      </c>
      <c r="J131" s="21">
        <f>(1 + I131 / 100 / 2)^2 - 1</f>
        <v/>
      </c>
      <c r="K131" s="21">
        <f>(1 + J131)^(1/12) - 1</f>
        <v/>
      </c>
      <c r="L131" s="21">
        <f>L130 / (1 + K131)</f>
        <v/>
      </c>
      <c r="M131" s="21">
        <f>J131 + 0.01</f>
        <v/>
      </c>
      <c r="N131" s="21">
        <f>(1 + M131)^(1/12) - 1</f>
        <v/>
      </c>
      <c r="O131" s="21">
        <f>O130 / (1 + N131)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3.982</v>
      </c>
      <c r="J132" s="19">
        <f>(1 + I132 / 100 / 2)^2 - 1</f>
        <v/>
      </c>
      <c r="K132" s="19">
        <f>(1 + J132)^(1/12) - 1</f>
        <v/>
      </c>
      <c r="L132" s="19">
        <f>L131 / (1 + K132)</f>
        <v/>
      </c>
      <c r="M132" s="19">
        <f>J132 + 0.01</f>
        <v/>
      </c>
      <c r="N132" s="19">
        <f>(1 + M132)^(1/12) - 1</f>
        <v/>
      </c>
      <c r="O132" s="19">
        <f>O131 / (1 + N132)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3.982</v>
      </c>
      <c r="J133" s="21">
        <f>(1 + I133 / 100 / 2)^2 - 1</f>
        <v/>
      </c>
      <c r="K133" s="21">
        <f>(1 + J133)^(1/12) - 1</f>
        <v/>
      </c>
      <c r="L133" s="21">
        <f>L132 / (1 + K133)</f>
        <v/>
      </c>
      <c r="M133" s="21">
        <f>J133 + 0.01</f>
        <v/>
      </c>
      <c r="N133" s="21">
        <f>(1 + M133)^(1/12) - 1</f>
        <v/>
      </c>
      <c r="O133" s="21">
        <f>O132 / (1 + N133)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3.982</v>
      </c>
      <c r="J134" s="19">
        <f>(1 + I134 / 100 / 2)^2 - 1</f>
        <v/>
      </c>
      <c r="K134" s="19">
        <f>(1 + J134)^(1/12) - 1</f>
        <v/>
      </c>
      <c r="L134" s="19">
        <f>L133 / (1 + K134)</f>
        <v/>
      </c>
      <c r="M134" s="19">
        <f>J134 + 0.01</f>
        <v/>
      </c>
      <c r="N134" s="19">
        <f>(1 + M134)^(1/12) - 1</f>
        <v/>
      </c>
      <c r="O134" s="19">
        <f>O133 / (1 + N134)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3.982</v>
      </c>
      <c r="J135" s="21">
        <f>(1 + I135 / 100 / 2)^2 - 1</f>
        <v/>
      </c>
      <c r="K135" s="21">
        <f>(1 + J135)^(1/12) - 1</f>
        <v/>
      </c>
      <c r="L135" s="21">
        <f>L134 / (1 + K135)</f>
        <v/>
      </c>
      <c r="M135" s="21">
        <f>J135 + 0.01</f>
        <v/>
      </c>
      <c r="N135" s="21">
        <f>(1 + M135)^(1/12) - 1</f>
        <v/>
      </c>
      <c r="O135" s="21">
        <f>O134 / (1 + N135)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3.982</v>
      </c>
      <c r="J136" s="19">
        <f>(1 + I136 / 100 / 2)^2 - 1</f>
        <v/>
      </c>
      <c r="K136" s="19">
        <f>(1 + J136)^(1/12) - 1</f>
        <v/>
      </c>
      <c r="L136" s="19">
        <f>L135 / (1 + K136)</f>
        <v/>
      </c>
      <c r="M136" s="19">
        <f>J136 + 0.01</f>
        <v/>
      </c>
      <c r="N136" s="19">
        <f>(1 + M136)^(1/12) - 1</f>
        <v/>
      </c>
      <c r="O136" s="19">
        <f>O135 / (1 + N136)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3.982</v>
      </c>
      <c r="J137" s="21">
        <f>(1 + I137 / 100 / 2)^2 - 1</f>
        <v/>
      </c>
      <c r="K137" s="21">
        <f>(1 + J137)^(1/12) - 1</f>
        <v/>
      </c>
      <c r="L137" s="21">
        <f>L136 / (1 + K137)</f>
        <v/>
      </c>
      <c r="M137" s="21">
        <f>J137 + 0.01</f>
        <v/>
      </c>
      <c r="N137" s="21">
        <f>(1 + M137)^(1/12) - 1</f>
        <v/>
      </c>
      <c r="O137" s="21">
        <f>O136 / (1 + N137)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3.982</v>
      </c>
      <c r="J138" s="19">
        <f>(1 + I138 / 100 / 2)^2 - 1</f>
        <v/>
      </c>
      <c r="K138" s="19">
        <f>(1 + J138)^(1/12) - 1</f>
        <v/>
      </c>
      <c r="L138" s="19">
        <f>L137 / (1 + K138)</f>
        <v/>
      </c>
      <c r="M138" s="19">
        <f>J138 + 0.01</f>
        <v/>
      </c>
      <c r="N138" s="19">
        <f>(1 + M138)^(1/12) - 1</f>
        <v/>
      </c>
      <c r="O138" s="19">
        <f>O137 / (1 + N138)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3.982</v>
      </c>
      <c r="J139" s="21">
        <f>(1 + I139 / 100 / 2)^2 - 1</f>
        <v/>
      </c>
      <c r="K139" s="21">
        <f>(1 + J139)^(1/12) - 1</f>
        <v/>
      </c>
      <c r="L139" s="21">
        <f>L138 / (1 + K139)</f>
        <v/>
      </c>
      <c r="M139" s="21">
        <f>J139 + 0.01</f>
        <v/>
      </c>
      <c r="N139" s="21">
        <f>(1 + M139)^(1/12) - 1</f>
        <v/>
      </c>
      <c r="O139" s="21">
        <f>O138 / (1 + N139)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3.982</v>
      </c>
      <c r="J140" s="19">
        <f>(1 + I140 / 100 / 2)^2 - 1</f>
        <v/>
      </c>
      <c r="K140" s="19">
        <f>(1 + J140)^(1/12) - 1</f>
        <v/>
      </c>
      <c r="L140" s="19">
        <f>L139 / (1 + K140)</f>
        <v/>
      </c>
      <c r="M140" s="19">
        <f>J140 + 0.01</f>
        <v/>
      </c>
      <c r="N140" s="19">
        <f>(1 + M140)^(1/12) - 1</f>
        <v/>
      </c>
      <c r="O140" s="19">
        <f>O139 / (1 + N140)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3.982</v>
      </c>
      <c r="J141" s="21">
        <f>(1 + I141 / 100 / 2)^2 - 1</f>
        <v/>
      </c>
      <c r="K141" s="21">
        <f>(1 + J141)^(1/12) - 1</f>
        <v/>
      </c>
      <c r="L141" s="21">
        <f>L140 / (1 + K141)</f>
        <v/>
      </c>
      <c r="M141" s="21">
        <f>J141 + 0.01</f>
        <v/>
      </c>
      <c r="N141" s="21">
        <f>(1 + M141)^(1/12) - 1</f>
        <v/>
      </c>
      <c r="O141" s="21">
        <f>O140 / (1 + N141)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3.982</v>
      </c>
      <c r="J142" s="19">
        <f>(1 + I142 / 100 / 2)^2 - 1</f>
        <v/>
      </c>
      <c r="K142" s="19">
        <f>(1 + J142)^(1/12) - 1</f>
        <v/>
      </c>
      <c r="L142" s="19">
        <f>L141 / (1 + K142)</f>
        <v/>
      </c>
      <c r="M142" s="19">
        <f>J142 + 0.01</f>
        <v/>
      </c>
      <c r="N142" s="19">
        <f>(1 + M142)^(1/12) - 1</f>
        <v/>
      </c>
      <c r="O142" s="19">
        <f>O141 / (1 + N142)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3.982</v>
      </c>
      <c r="J143" s="21">
        <f>(1 + I143 / 100 / 2)^2 - 1</f>
        <v/>
      </c>
      <c r="K143" s="21">
        <f>(1 + J143)^(1/12) - 1</f>
        <v/>
      </c>
      <c r="L143" s="21">
        <f>L142 / (1 + K143)</f>
        <v/>
      </c>
      <c r="M143" s="21">
        <f>J143 + 0.01</f>
        <v/>
      </c>
      <c r="N143" s="21">
        <f>(1 + M143)^(1/12) - 1</f>
        <v/>
      </c>
      <c r="O143" s="21">
        <f>O142 / (1 + N143)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3.982</v>
      </c>
      <c r="J144" s="19">
        <f>(1 + I144 / 100 / 2)^2 - 1</f>
        <v/>
      </c>
      <c r="K144" s="19">
        <f>(1 + J144)^(1/12) - 1</f>
        <v/>
      </c>
      <c r="L144" s="19">
        <f>L143 / (1 + K144)</f>
        <v/>
      </c>
      <c r="M144" s="19">
        <f>J144 + 0.01</f>
        <v/>
      </c>
      <c r="N144" s="19">
        <f>(1 + M144)^(1/12) - 1</f>
        <v/>
      </c>
      <c r="O144" s="19">
        <f>O143 / (1 + N144)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3.982</v>
      </c>
      <c r="J145" s="21">
        <f>(1 + I145 / 100 / 2)^2 - 1</f>
        <v/>
      </c>
      <c r="K145" s="21">
        <f>(1 + J145)^(1/12) - 1</f>
        <v/>
      </c>
      <c r="L145" s="21">
        <f>L144 / (1 + K145)</f>
        <v/>
      </c>
      <c r="M145" s="21">
        <f>J145 + 0.01</f>
        <v/>
      </c>
      <c r="N145" s="21">
        <f>(1 + M145)^(1/12) - 1</f>
        <v/>
      </c>
      <c r="O145" s="21">
        <f>O144 / (1 + N145)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3.982</v>
      </c>
      <c r="J146" s="19">
        <f>(1 + I146 / 100 / 2)^2 - 1</f>
        <v/>
      </c>
      <c r="K146" s="19">
        <f>(1 + J146)^(1/12) - 1</f>
        <v/>
      </c>
      <c r="L146" s="19">
        <f>L145 / (1 + K146)</f>
        <v/>
      </c>
      <c r="M146" s="19">
        <f>J146 + 0.01</f>
        <v/>
      </c>
      <c r="N146" s="19">
        <f>(1 + M146)^(1/12) - 1</f>
        <v/>
      </c>
      <c r="O146" s="19">
        <f>O145 / (1 + N146)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3.982</v>
      </c>
      <c r="J147" s="21">
        <f>(1 + I147 / 100 / 2)^2 - 1</f>
        <v/>
      </c>
      <c r="K147" s="21">
        <f>(1 + J147)^(1/12) - 1</f>
        <v/>
      </c>
      <c r="L147" s="21">
        <f>L146 / (1 + K147)</f>
        <v/>
      </c>
      <c r="M147" s="21">
        <f>J147 + 0.01</f>
        <v/>
      </c>
      <c r="N147" s="21">
        <f>(1 + M147)^(1/12) - 1</f>
        <v/>
      </c>
      <c r="O147" s="21">
        <f>O146 / (1 + N147)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3.982</v>
      </c>
      <c r="J148" s="19">
        <f>(1 + I148 / 100 / 2)^2 - 1</f>
        <v/>
      </c>
      <c r="K148" s="19">
        <f>(1 + J148)^(1/12) - 1</f>
        <v/>
      </c>
      <c r="L148" s="19">
        <f>L147 / (1 + K148)</f>
        <v/>
      </c>
      <c r="M148" s="19">
        <f>J148 + 0.01</f>
        <v/>
      </c>
      <c r="N148" s="19">
        <f>(1 + M148)^(1/12) - 1</f>
        <v/>
      </c>
      <c r="O148" s="19">
        <f>O147 / (1 + N148)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3.982</v>
      </c>
      <c r="J149" s="21">
        <f>(1 + I149 / 100 / 2)^2 - 1</f>
        <v/>
      </c>
      <c r="K149" s="21">
        <f>(1 + J149)^(1/12) - 1</f>
        <v/>
      </c>
      <c r="L149" s="21">
        <f>L148 / (1 + K149)</f>
        <v/>
      </c>
      <c r="M149" s="21">
        <f>J149 + 0.01</f>
        <v/>
      </c>
      <c r="N149" s="21">
        <f>(1 + M149)^(1/12) - 1</f>
        <v/>
      </c>
      <c r="O149" s="21">
        <f>O148 / (1 + N149)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3.982</v>
      </c>
      <c r="J150" s="19">
        <f>(1 + I150 / 100 / 2)^2 - 1</f>
        <v/>
      </c>
      <c r="K150" s="19">
        <f>(1 + J150)^(1/12) - 1</f>
        <v/>
      </c>
      <c r="L150" s="19">
        <f>L149 / (1 + K150)</f>
        <v/>
      </c>
      <c r="M150" s="19">
        <f>J150 + 0.01</f>
        <v/>
      </c>
      <c r="N150" s="19">
        <f>(1 + M150)^(1/12) - 1</f>
        <v/>
      </c>
      <c r="O150" s="19">
        <f>O149 / (1 + N150)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3.982</v>
      </c>
      <c r="J151" s="21">
        <f>(1 + I151 / 100 / 2)^2 - 1</f>
        <v/>
      </c>
      <c r="K151" s="21">
        <f>(1 + J151)^(1/12) - 1</f>
        <v/>
      </c>
      <c r="L151" s="21">
        <f>L150 / (1 + K151)</f>
        <v/>
      </c>
      <c r="M151" s="21">
        <f>J151 + 0.01</f>
        <v/>
      </c>
      <c r="N151" s="21">
        <f>(1 + M151)^(1/12) - 1</f>
        <v/>
      </c>
      <c r="O151" s="21">
        <f>O150 / (1 + N151)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3.982</v>
      </c>
      <c r="J152" s="19">
        <f>(1 + I152 / 100 / 2)^2 - 1</f>
        <v/>
      </c>
      <c r="K152" s="19">
        <f>(1 + J152)^(1/12) - 1</f>
        <v/>
      </c>
      <c r="L152" s="19">
        <f>L151 / (1 + K152)</f>
        <v/>
      </c>
      <c r="M152" s="19">
        <f>J152 + 0.01</f>
        <v/>
      </c>
      <c r="N152" s="19">
        <f>(1 + M152)^(1/12) - 1</f>
        <v/>
      </c>
      <c r="O152" s="19">
        <f>O151 / (1 + N152)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3.982</v>
      </c>
      <c r="J153" s="21">
        <f>(1 + I153 / 100 / 2)^2 - 1</f>
        <v/>
      </c>
      <c r="K153" s="21">
        <f>(1 + J153)^(1/12) - 1</f>
        <v/>
      </c>
      <c r="L153" s="21">
        <f>L152 / (1 + K153)</f>
        <v/>
      </c>
      <c r="M153" s="21">
        <f>J153 + 0.01</f>
        <v/>
      </c>
      <c r="N153" s="21">
        <f>(1 + M153)^(1/12) - 1</f>
        <v/>
      </c>
      <c r="O153" s="21">
        <f>O152 / (1 + N153)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3.982</v>
      </c>
      <c r="J154" s="19">
        <f>(1 + I154 / 100 / 2)^2 - 1</f>
        <v/>
      </c>
      <c r="K154" s="19">
        <f>(1 + J154)^(1/12) - 1</f>
        <v/>
      </c>
      <c r="L154" s="19">
        <f>L153 / (1 + K154)</f>
        <v/>
      </c>
      <c r="M154" s="19">
        <f>J154 + 0.01</f>
        <v/>
      </c>
      <c r="N154" s="19">
        <f>(1 + M154)^(1/12) - 1</f>
        <v/>
      </c>
      <c r="O154" s="19">
        <f>O153 / (1 + N154)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3.982</v>
      </c>
      <c r="J155" s="21">
        <f>(1 + I155 / 100 / 2)^2 - 1</f>
        <v/>
      </c>
      <c r="K155" s="21">
        <f>(1 + J155)^(1/12) - 1</f>
        <v/>
      </c>
      <c r="L155" s="21">
        <f>L154 / (1 + K155)</f>
        <v/>
      </c>
      <c r="M155" s="21">
        <f>J155 + 0.01</f>
        <v/>
      </c>
      <c r="N155" s="21">
        <f>(1 + M155)^(1/12) - 1</f>
        <v/>
      </c>
      <c r="O155" s="21">
        <f>O154 / (1 + N155)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3.982</v>
      </c>
      <c r="J156" s="19">
        <f>(1 + I156 / 100 / 2)^2 - 1</f>
        <v/>
      </c>
      <c r="K156" s="19">
        <f>(1 + J156)^(1/12) - 1</f>
        <v/>
      </c>
      <c r="L156" s="19">
        <f>L155 / (1 + K156)</f>
        <v/>
      </c>
      <c r="M156" s="19">
        <f>J156 + 0.01</f>
        <v/>
      </c>
      <c r="N156" s="19">
        <f>(1 + M156)^(1/12) - 1</f>
        <v/>
      </c>
      <c r="O156" s="19">
        <f>O155 / (1 + N156)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3.982</v>
      </c>
      <c r="J157" s="21">
        <f>(1 + I157 / 100 / 2)^2 - 1</f>
        <v/>
      </c>
      <c r="K157" s="21">
        <f>(1 + J157)^(1/12) - 1</f>
        <v/>
      </c>
      <c r="L157" s="21">
        <f>L156 / (1 + K157)</f>
        <v/>
      </c>
      <c r="M157" s="21">
        <f>J157 + 0.01</f>
        <v/>
      </c>
      <c r="N157" s="21">
        <f>(1 + M157)^(1/12) - 1</f>
        <v/>
      </c>
      <c r="O157" s="21">
        <f>O156 / (1 + N157)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3.982</v>
      </c>
      <c r="J158" s="19">
        <f>(1 + I158 / 100 / 2)^2 - 1</f>
        <v/>
      </c>
      <c r="K158" s="19">
        <f>(1 + J158)^(1/12) - 1</f>
        <v/>
      </c>
      <c r="L158" s="19">
        <f>L157 / (1 + K158)</f>
        <v/>
      </c>
      <c r="M158" s="19">
        <f>J158 + 0.01</f>
        <v/>
      </c>
      <c r="N158" s="19">
        <f>(1 + M158)^(1/12) - 1</f>
        <v/>
      </c>
      <c r="O158" s="19">
        <f>O157 / (1 + N158)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3.982</v>
      </c>
      <c r="J159" s="21">
        <f>(1 + I159 / 100 / 2)^2 - 1</f>
        <v/>
      </c>
      <c r="K159" s="21">
        <f>(1 + J159)^(1/12) - 1</f>
        <v/>
      </c>
      <c r="L159" s="21">
        <f>L158 / (1 + K159)</f>
        <v/>
      </c>
      <c r="M159" s="21">
        <f>J159 + 0.01</f>
        <v/>
      </c>
      <c r="N159" s="21">
        <f>(1 + M159)^(1/12) - 1</f>
        <v/>
      </c>
      <c r="O159" s="21">
        <f>O158 / (1 + N159)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3.982</v>
      </c>
      <c r="J160" s="19">
        <f>(1 + I160 / 100 / 2)^2 - 1</f>
        <v/>
      </c>
      <c r="K160" s="19">
        <f>(1 + J160)^(1/12) - 1</f>
        <v/>
      </c>
      <c r="L160" s="19">
        <f>L159 / (1 + K160)</f>
        <v/>
      </c>
      <c r="M160" s="19">
        <f>J160 + 0.01</f>
        <v/>
      </c>
      <c r="N160" s="19">
        <f>(1 + M160)^(1/12) - 1</f>
        <v/>
      </c>
      <c r="O160" s="19">
        <f>O159 / (1 + N160)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3.982</v>
      </c>
      <c r="J161" s="21">
        <f>(1 + I161 / 100 / 2)^2 - 1</f>
        <v/>
      </c>
      <c r="K161" s="21">
        <f>(1 + J161)^(1/12) - 1</f>
        <v/>
      </c>
      <c r="L161" s="21">
        <f>L160 / (1 + K161)</f>
        <v/>
      </c>
      <c r="M161" s="21">
        <f>J161 + 0.01</f>
        <v/>
      </c>
      <c r="N161" s="21">
        <f>(1 + M161)^(1/12) - 1</f>
        <v/>
      </c>
      <c r="O161" s="21">
        <f>O160 / (1 + N161)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3.982</v>
      </c>
      <c r="J162" s="19">
        <f>(1 + I162 / 100 / 2)^2 - 1</f>
        <v/>
      </c>
      <c r="K162" s="19">
        <f>(1 + J162)^(1/12) - 1</f>
        <v/>
      </c>
      <c r="L162" s="19">
        <f>L161 / (1 + K162)</f>
        <v/>
      </c>
      <c r="M162" s="19">
        <f>J162 + 0.01</f>
        <v/>
      </c>
      <c r="N162" s="19">
        <f>(1 + M162)^(1/12) - 1</f>
        <v/>
      </c>
      <c r="O162" s="19">
        <f>O161 / (1 + N162)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3.982</v>
      </c>
      <c r="J163" s="21">
        <f>(1 + I163 / 100 / 2)^2 - 1</f>
        <v/>
      </c>
      <c r="K163" s="21">
        <f>(1 + J163)^(1/12) - 1</f>
        <v/>
      </c>
      <c r="L163" s="21">
        <f>L162 / (1 + K163)</f>
        <v/>
      </c>
      <c r="M163" s="21">
        <f>J163 + 0.01</f>
        <v/>
      </c>
      <c r="N163" s="21">
        <f>(1 + M163)^(1/12) - 1</f>
        <v/>
      </c>
      <c r="O163" s="21">
        <f>O162 / (1 + N163)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3.982</v>
      </c>
      <c r="J164" s="19">
        <f>(1 + I164 / 100 / 2)^2 - 1</f>
        <v/>
      </c>
      <c r="K164" s="19">
        <f>(1 + J164)^(1/12) - 1</f>
        <v/>
      </c>
      <c r="L164" s="19">
        <f>L163 / (1 + K164)</f>
        <v/>
      </c>
      <c r="M164" s="19">
        <f>J164 + 0.01</f>
        <v/>
      </c>
      <c r="N164" s="19">
        <f>(1 + M164)^(1/12) - 1</f>
        <v/>
      </c>
      <c r="O164" s="19">
        <f>O163 / (1 + N164)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3.982</v>
      </c>
      <c r="J165" s="21">
        <f>(1 + I165 / 100 / 2)^2 - 1</f>
        <v/>
      </c>
      <c r="K165" s="21">
        <f>(1 + J165)^(1/12) - 1</f>
        <v/>
      </c>
      <c r="L165" s="21">
        <f>L164 / (1 + K165)</f>
        <v/>
      </c>
      <c r="M165" s="21">
        <f>J165 + 0.01</f>
        <v/>
      </c>
      <c r="N165" s="21">
        <f>(1 + M165)^(1/12) - 1</f>
        <v/>
      </c>
      <c r="O165" s="21">
        <f>O164 / (1 + N165)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3.982</v>
      </c>
      <c r="J166" s="19">
        <f>(1 + I166 / 100 / 2)^2 - 1</f>
        <v/>
      </c>
      <c r="K166" s="19">
        <f>(1 + J166)^(1/12) - 1</f>
        <v/>
      </c>
      <c r="L166" s="19">
        <f>L165 / (1 + K166)</f>
        <v/>
      </c>
      <c r="M166" s="19">
        <f>J166 + 0.01</f>
        <v/>
      </c>
      <c r="N166" s="19">
        <f>(1 + M166)^(1/12) - 1</f>
        <v/>
      </c>
      <c r="O166" s="19">
        <f>O165 / (1 + N166)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3.982</v>
      </c>
      <c r="J167" s="21">
        <f>(1 + I167 / 100 / 2)^2 - 1</f>
        <v/>
      </c>
      <c r="K167" s="21">
        <f>(1 + J167)^(1/12) - 1</f>
        <v/>
      </c>
      <c r="L167" s="21">
        <f>L166 / (1 + K167)</f>
        <v/>
      </c>
      <c r="M167" s="21">
        <f>J167 + 0.01</f>
        <v/>
      </c>
      <c r="N167" s="21">
        <f>(1 + M167)^(1/12) - 1</f>
        <v/>
      </c>
      <c r="O167" s="21">
        <f>O166 / (1 + N167)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3.982</v>
      </c>
      <c r="J168" s="19">
        <f>(1 + I168 / 100 / 2)^2 - 1</f>
        <v/>
      </c>
      <c r="K168" s="19">
        <f>(1 + J168)^(1/12) - 1</f>
        <v/>
      </c>
      <c r="L168" s="19">
        <f>L167 / (1 + K168)</f>
        <v/>
      </c>
      <c r="M168" s="19">
        <f>J168 + 0.01</f>
        <v/>
      </c>
      <c r="N168" s="19">
        <f>(1 + M168)^(1/12) - 1</f>
        <v/>
      </c>
      <c r="O168" s="19">
        <f>O167 / (1 + N168)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3.982</v>
      </c>
      <c r="J169" s="21">
        <f>(1 + I169 / 100 / 2)^2 - 1</f>
        <v/>
      </c>
      <c r="K169" s="21">
        <f>(1 + J169)^(1/12) - 1</f>
        <v/>
      </c>
      <c r="L169" s="21">
        <f>L168 / (1 + K169)</f>
        <v/>
      </c>
      <c r="M169" s="21">
        <f>J169 + 0.01</f>
        <v/>
      </c>
      <c r="N169" s="21">
        <f>(1 + M169)^(1/12) - 1</f>
        <v/>
      </c>
      <c r="O169" s="21">
        <f>O168 / (1 + N169)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3.982</v>
      </c>
      <c r="J170" s="19">
        <f>(1 + I170 / 100 / 2)^2 - 1</f>
        <v/>
      </c>
      <c r="K170" s="19">
        <f>(1 + J170)^(1/12) - 1</f>
        <v/>
      </c>
      <c r="L170" s="19">
        <f>L169 / (1 + K170)</f>
        <v/>
      </c>
      <c r="M170" s="19">
        <f>J170 + 0.01</f>
        <v/>
      </c>
      <c r="N170" s="19">
        <f>(1 + M170)^(1/12) - 1</f>
        <v/>
      </c>
      <c r="O170" s="19">
        <f>O169 / (1 + N170)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3.982</v>
      </c>
      <c r="J171" s="21">
        <f>(1 + I171 / 100 / 2)^2 - 1</f>
        <v/>
      </c>
      <c r="K171" s="21">
        <f>(1 + J171)^(1/12) - 1</f>
        <v/>
      </c>
      <c r="L171" s="21">
        <f>L170 / (1 + K171)</f>
        <v/>
      </c>
      <c r="M171" s="21">
        <f>J171 + 0.01</f>
        <v/>
      </c>
      <c r="N171" s="21">
        <f>(1 + M171)^(1/12) - 1</f>
        <v/>
      </c>
      <c r="O171" s="21">
        <f>O170 / (1 + N171)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3.982</v>
      </c>
      <c r="J172" s="19">
        <f>(1 + I172 / 100 / 2)^2 - 1</f>
        <v/>
      </c>
      <c r="K172" s="19">
        <f>(1 + J172)^(1/12) - 1</f>
        <v/>
      </c>
      <c r="L172" s="19">
        <f>L171 / (1 + K172)</f>
        <v/>
      </c>
      <c r="M172" s="19">
        <f>J172 + 0.01</f>
        <v/>
      </c>
      <c r="N172" s="19">
        <f>(1 + M172)^(1/12) - 1</f>
        <v/>
      </c>
      <c r="O172" s="19">
        <f>O171 / (1 + N172)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3.982</v>
      </c>
      <c r="J173" s="21">
        <f>(1 + I173 / 100 / 2)^2 - 1</f>
        <v/>
      </c>
      <c r="K173" s="21">
        <f>(1 + J173)^(1/12) - 1</f>
        <v/>
      </c>
      <c r="L173" s="21">
        <f>L172 / (1 + K173)</f>
        <v/>
      </c>
      <c r="M173" s="21">
        <f>J173 + 0.01</f>
        <v/>
      </c>
      <c r="N173" s="21">
        <f>(1 + M173)^(1/12) - 1</f>
        <v/>
      </c>
      <c r="O173" s="21">
        <f>O172 / (1 + N173)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3.982</v>
      </c>
      <c r="J174" s="19">
        <f>(1 + I174 / 100 / 2)^2 - 1</f>
        <v/>
      </c>
      <c r="K174" s="19">
        <f>(1 + J174)^(1/12) - 1</f>
        <v/>
      </c>
      <c r="L174" s="19">
        <f>L173 / (1 + K174)</f>
        <v/>
      </c>
      <c r="M174" s="19">
        <f>J174 + 0.01</f>
        <v/>
      </c>
      <c r="N174" s="19">
        <f>(1 + M174)^(1/12) - 1</f>
        <v/>
      </c>
      <c r="O174" s="19">
        <f>O173 / (1 + N174)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3.982</v>
      </c>
      <c r="J175" s="21">
        <f>(1 + I175 / 100 / 2)^2 - 1</f>
        <v/>
      </c>
      <c r="K175" s="21">
        <f>(1 + J175)^(1/12) - 1</f>
        <v/>
      </c>
      <c r="L175" s="21">
        <f>L174 / (1 + K175)</f>
        <v/>
      </c>
      <c r="M175" s="21">
        <f>J175 + 0.01</f>
        <v/>
      </c>
      <c r="N175" s="21">
        <f>(1 + M175)^(1/12) - 1</f>
        <v/>
      </c>
      <c r="O175" s="21">
        <f>O174 / (1 + N175)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3.982</v>
      </c>
      <c r="J176" s="19">
        <f>(1 + I176 / 100 / 2)^2 - 1</f>
        <v/>
      </c>
      <c r="K176" s="19">
        <f>(1 + J176)^(1/12) - 1</f>
        <v/>
      </c>
      <c r="L176" s="19">
        <f>L175 / (1 + K176)</f>
        <v/>
      </c>
      <c r="M176" s="19">
        <f>J176 + 0.01</f>
        <v/>
      </c>
      <c r="N176" s="19">
        <f>(1 + M176)^(1/12) - 1</f>
        <v/>
      </c>
      <c r="O176" s="19">
        <f>O175 / (1 + N176)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3.982</v>
      </c>
      <c r="J177" s="21">
        <f>(1 + I177 / 100 / 2)^2 - 1</f>
        <v/>
      </c>
      <c r="K177" s="21">
        <f>(1 + J177)^(1/12) - 1</f>
        <v/>
      </c>
      <c r="L177" s="21">
        <f>L176 / (1 + K177)</f>
        <v/>
      </c>
      <c r="M177" s="21">
        <f>J177 + 0.01</f>
        <v/>
      </c>
      <c r="N177" s="21">
        <f>(1 + M177)^(1/12) - 1</f>
        <v/>
      </c>
      <c r="O177" s="21">
        <f>O176 / (1 + N177)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3.982</v>
      </c>
      <c r="J178" s="19">
        <f>(1 + I178 / 100 / 2)^2 - 1</f>
        <v/>
      </c>
      <c r="K178" s="19">
        <f>(1 + J178)^(1/12) - 1</f>
        <v/>
      </c>
      <c r="L178" s="19">
        <f>L177 / (1 + K178)</f>
        <v/>
      </c>
      <c r="M178" s="19">
        <f>J178 + 0.01</f>
        <v/>
      </c>
      <c r="N178" s="19">
        <f>(1 + M178)^(1/12) - 1</f>
        <v/>
      </c>
      <c r="O178" s="19">
        <f>O177 / (1 + N178)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3.982</v>
      </c>
      <c r="J179" s="21">
        <f>(1 + I179 / 100 / 2)^2 - 1</f>
        <v/>
      </c>
      <c r="K179" s="21">
        <f>(1 + J179)^(1/12) - 1</f>
        <v/>
      </c>
      <c r="L179" s="21">
        <f>L178 / (1 + K179)</f>
        <v/>
      </c>
      <c r="M179" s="21">
        <f>J179 + 0.01</f>
        <v/>
      </c>
      <c r="N179" s="21">
        <f>(1 + M179)^(1/12) - 1</f>
        <v/>
      </c>
      <c r="O179" s="21">
        <f>O178 / (1 + N179)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3.982</v>
      </c>
      <c r="J180" s="19">
        <f>(1 + I180 / 100 / 2)^2 - 1</f>
        <v/>
      </c>
      <c r="K180" s="19">
        <f>(1 + J180)^(1/12) - 1</f>
        <v/>
      </c>
      <c r="L180" s="19">
        <f>L179 / (1 + K180)</f>
        <v/>
      </c>
      <c r="M180" s="19">
        <f>J180 + 0.01</f>
        <v/>
      </c>
      <c r="N180" s="19">
        <f>(1 + M180)^(1/12) - 1</f>
        <v/>
      </c>
      <c r="O180" s="19">
        <f>O179 / (1 + N180)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3.982</v>
      </c>
      <c r="J181" s="21">
        <f>(1 + I181 / 100 / 2)^2 - 1</f>
        <v/>
      </c>
      <c r="K181" s="21">
        <f>(1 + J181)^(1/12) - 1</f>
        <v/>
      </c>
      <c r="L181" s="21">
        <f>L180 / (1 + K181)</f>
        <v/>
      </c>
      <c r="M181" s="21">
        <f>J181 + 0.01</f>
        <v/>
      </c>
      <c r="N181" s="21">
        <f>(1 + M181)^(1/12) - 1</f>
        <v/>
      </c>
      <c r="O181" s="21">
        <f>O180 / (1 + N181)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3.982</v>
      </c>
      <c r="J182" s="19">
        <f>(1 + I182 / 100 / 2)^2 - 1</f>
        <v/>
      </c>
      <c r="K182" s="19">
        <f>(1 + J182)^(1/12) - 1</f>
        <v/>
      </c>
      <c r="L182" s="19">
        <f>L181 / (1 + K182)</f>
        <v/>
      </c>
      <c r="M182" s="19">
        <f>J182 + 0.01</f>
        <v/>
      </c>
      <c r="N182" s="19">
        <f>(1 + M182)^(1/12) - 1</f>
        <v/>
      </c>
      <c r="O182" s="19">
        <f>O181 / (1 + N182)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3.982</v>
      </c>
      <c r="J183" s="21">
        <f>(1 + I183 / 100 / 2)^2 - 1</f>
        <v/>
      </c>
      <c r="K183" s="21">
        <f>(1 + J183)^(1/12) - 1</f>
        <v/>
      </c>
      <c r="L183" s="21">
        <f>L182 / (1 + K183)</f>
        <v/>
      </c>
      <c r="M183" s="21">
        <f>J183 + 0.01</f>
        <v/>
      </c>
      <c r="N183" s="21">
        <f>(1 + M183)^(1/12) - 1</f>
        <v/>
      </c>
      <c r="O183" s="21">
        <f>O182 / (1 + N183)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3.982</v>
      </c>
      <c r="J184" s="19">
        <f>(1 + I184 / 100 / 2)^2 - 1</f>
        <v/>
      </c>
      <c r="K184" s="19">
        <f>(1 + J184)^(1/12) - 1</f>
        <v/>
      </c>
      <c r="L184" s="19">
        <f>L183 / (1 + K184)</f>
        <v/>
      </c>
      <c r="M184" s="19">
        <f>J184 + 0.01</f>
        <v/>
      </c>
      <c r="N184" s="19">
        <f>(1 + M184)^(1/12) - 1</f>
        <v/>
      </c>
      <c r="O184" s="19">
        <f>O183 / (1 + N184)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3.982</v>
      </c>
      <c r="J185" s="21">
        <f>(1 + I185 / 100 / 2)^2 - 1</f>
        <v/>
      </c>
      <c r="K185" s="21">
        <f>(1 + J185)^(1/12) - 1</f>
        <v/>
      </c>
      <c r="L185" s="21">
        <f>L184 / (1 + K185)</f>
        <v/>
      </c>
      <c r="M185" s="21">
        <f>J185 + 0.01</f>
        <v/>
      </c>
      <c r="N185" s="21">
        <f>(1 + M185)^(1/12) - 1</f>
        <v/>
      </c>
      <c r="O185" s="21">
        <f>O184 / (1 + N185)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3.982</v>
      </c>
      <c r="J186" s="19">
        <f>(1 + I186 / 100 / 2)^2 - 1</f>
        <v/>
      </c>
      <c r="K186" s="19">
        <f>(1 + J186)^(1/12) - 1</f>
        <v/>
      </c>
      <c r="L186" s="19">
        <f>L185 / (1 + K186)</f>
        <v/>
      </c>
      <c r="M186" s="19">
        <f>J186 + 0.01</f>
        <v/>
      </c>
      <c r="N186" s="19">
        <f>(1 + M186)^(1/12) - 1</f>
        <v/>
      </c>
      <c r="O186" s="19">
        <f>O185 / (1 + N186)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3.982</v>
      </c>
      <c r="J187" s="21">
        <f>(1 + I187 / 100 / 2)^2 - 1</f>
        <v/>
      </c>
      <c r="K187" s="21">
        <f>(1 + J187)^(1/12) - 1</f>
        <v/>
      </c>
      <c r="L187" s="21">
        <f>L186 / (1 + K187)</f>
        <v/>
      </c>
      <c r="M187" s="21">
        <f>J187 + 0.01</f>
        <v/>
      </c>
      <c r="N187" s="21">
        <f>(1 + M187)^(1/12) - 1</f>
        <v/>
      </c>
      <c r="O187" s="21">
        <f>O186 / (1 + N187)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3.982</v>
      </c>
      <c r="J188" s="19">
        <f>(1 + I188 / 100 / 2)^2 - 1</f>
        <v/>
      </c>
      <c r="K188" s="19">
        <f>(1 + J188)^(1/12) - 1</f>
        <v/>
      </c>
      <c r="L188" s="19">
        <f>L187 / (1 + K188)</f>
        <v/>
      </c>
      <c r="M188" s="19">
        <f>J188 + 0.01</f>
        <v/>
      </c>
      <c r="N188" s="19">
        <f>(1 + M188)^(1/12) - 1</f>
        <v/>
      </c>
      <c r="O188" s="19">
        <f>O187 / (1 + N188)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3.982</v>
      </c>
      <c r="J189" s="21">
        <f>(1 + I189 / 100 / 2)^2 - 1</f>
        <v/>
      </c>
      <c r="K189" s="21">
        <f>(1 + J189)^(1/12) - 1</f>
        <v/>
      </c>
      <c r="L189" s="21">
        <f>L188 / (1 + K189)</f>
        <v/>
      </c>
      <c r="M189" s="21">
        <f>J189 + 0.01</f>
        <v/>
      </c>
      <c r="N189" s="21">
        <f>(1 + M189)^(1/12) - 1</f>
        <v/>
      </c>
      <c r="O189" s="21">
        <f>O188 / (1 + N189)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3.982</v>
      </c>
      <c r="J190" s="19">
        <f>(1 + I190 / 100 / 2)^2 - 1</f>
        <v/>
      </c>
      <c r="K190" s="19">
        <f>(1 + J190)^(1/12) - 1</f>
        <v/>
      </c>
      <c r="L190" s="19">
        <f>L189 / (1 + K190)</f>
        <v/>
      </c>
      <c r="M190" s="19">
        <f>J190 + 0.01</f>
        <v/>
      </c>
      <c r="N190" s="19">
        <f>(1 + M190)^(1/12) - 1</f>
        <v/>
      </c>
      <c r="O190" s="19">
        <f>O189 / (1 + N190)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3.982</v>
      </c>
      <c r="J191" s="21">
        <f>(1 + I191 / 100 / 2)^2 - 1</f>
        <v/>
      </c>
      <c r="K191" s="21">
        <f>(1 + J191)^(1/12) - 1</f>
        <v/>
      </c>
      <c r="L191" s="21">
        <f>L190 / (1 + K191)</f>
        <v/>
      </c>
      <c r="M191" s="21">
        <f>J191 + 0.01</f>
        <v/>
      </c>
      <c r="N191" s="21">
        <f>(1 + M191)^(1/12) - 1</f>
        <v/>
      </c>
      <c r="O191" s="21">
        <f>O190 / (1 + N191)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3.982</v>
      </c>
      <c r="J192" s="19">
        <f>(1 + I192 / 100 / 2)^2 - 1</f>
        <v/>
      </c>
      <c r="K192" s="19">
        <f>(1 + J192)^(1/12) - 1</f>
        <v/>
      </c>
      <c r="L192" s="19">
        <f>L191 / (1 + K192)</f>
        <v/>
      </c>
      <c r="M192" s="19">
        <f>J192 + 0.01</f>
        <v/>
      </c>
      <c r="N192" s="19">
        <f>(1 + M192)^(1/12) - 1</f>
        <v/>
      </c>
      <c r="O192" s="19">
        <f>O191 / (1 + N192)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3.982</v>
      </c>
      <c r="J193" s="21">
        <f>(1 + I193 / 100 / 2)^2 - 1</f>
        <v/>
      </c>
      <c r="K193" s="21">
        <f>(1 + J193)^(1/12) - 1</f>
        <v/>
      </c>
      <c r="L193" s="21">
        <f>L192 / (1 + K193)</f>
        <v/>
      </c>
      <c r="M193" s="21">
        <f>J193 + 0.01</f>
        <v/>
      </c>
      <c r="N193" s="21">
        <f>(1 + M193)^(1/12) - 1</f>
        <v/>
      </c>
      <c r="O193" s="21">
        <f>O192 / (1 + N193)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3.982</v>
      </c>
      <c r="J194" s="19">
        <f>(1 + I194 / 100 / 2)^2 - 1</f>
        <v/>
      </c>
      <c r="K194" s="19">
        <f>(1 + J194)^(1/12) - 1</f>
        <v/>
      </c>
      <c r="L194" s="19">
        <f>L193 / (1 + K194)</f>
        <v/>
      </c>
      <c r="M194" s="19">
        <f>J194 + 0.01</f>
        <v/>
      </c>
      <c r="N194" s="19">
        <f>(1 + M194)^(1/12) - 1</f>
        <v/>
      </c>
      <c r="O194" s="19">
        <f>O193 / (1 + N194)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3.982</v>
      </c>
      <c r="J195" s="21">
        <f>(1 + I195 / 100 / 2)^2 - 1</f>
        <v/>
      </c>
      <c r="K195" s="21">
        <f>(1 + J195)^(1/12) - 1</f>
        <v/>
      </c>
      <c r="L195" s="21">
        <f>L194 / (1 + K195)</f>
        <v/>
      </c>
      <c r="M195" s="21">
        <f>J195 + 0.01</f>
        <v/>
      </c>
      <c r="N195" s="21">
        <f>(1 + M195)^(1/12) - 1</f>
        <v/>
      </c>
      <c r="O195" s="21">
        <f>O194 / (1 + N195)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>3.982</v>
      </c>
      <c r="J196" s="19">
        <f>(1 + I196 / 100 / 2)^2 - 1</f>
        <v/>
      </c>
      <c r="K196" s="19">
        <f>(1 + J196)^(1/12) - 1</f>
        <v/>
      </c>
      <c r="L196" s="19">
        <f>L195 / (1 + K196)</f>
        <v/>
      </c>
      <c r="M196" s="19">
        <f>J196 + 0.01</f>
        <v/>
      </c>
      <c r="N196" s="19">
        <f>(1 + M196)^(1/12) - 1</f>
        <v/>
      </c>
      <c r="O196" s="19">
        <f>O195 / (1 + N196)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>3.982</v>
      </c>
      <c r="J197" s="21">
        <f>(1 + I197 / 100 / 2)^2 - 1</f>
        <v/>
      </c>
      <c r="K197" s="21">
        <f>(1 + J197)^(1/12) - 1</f>
        <v/>
      </c>
      <c r="L197" s="21">
        <f>L196 / (1 + K197)</f>
        <v/>
      </c>
      <c r="M197" s="21">
        <f>J197 + 0.01</f>
        <v/>
      </c>
      <c r="N197" s="21">
        <f>(1 + M197)^(1/12) - 1</f>
        <v/>
      </c>
      <c r="O197" s="21">
        <f>O196 / (1 + N197)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>3.982</v>
      </c>
      <c r="J198" s="19">
        <f>(1 + I198 / 100 / 2)^2 - 1</f>
        <v/>
      </c>
      <c r="K198" s="19">
        <f>(1 + J198)^(1/12) - 1</f>
        <v/>
      </c>
      <c r="L198" s="19">
        <f>L197 / (1 + K198)</f>
        <v/>
      </c>
      <c r="M198" s="19">
        <f>J198 + 0.01</f>
        <v/>
      </c>
      <c r="N198" s="19">
        <f>(1 + M198)^(1/12) - 1</f>
        <v/>
      </c>
      <c r="O198" s="19">
        <f>O197 / (1 + N198)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>3.982</v>
      </c>
      <c r="J199" s="21">
        <f>(1 + I199 / 100 / 2)^2 - 1</f>
        <v/>
      </c>
      <c r="K199" s="21">
        <f>(1 + J199)^(1/12) - 1</f>
        <v/>
      </c>
      <c r="L199" s="21">
        <f>L198 / (1 + K199)</f>
        <v/>
      </c>
      <c r="M199" s="21">
        <f>J199 + 0.01</f>
        <v/>
      </c>
      <c r="N199" s="21">
        <f>(1 + M199)^(1/12) - 1</f>
        <v/>
      </c>
      <c r="O199" s="21">
        <f>O198 / (1 + N199)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>3.982</v>
      </c>
      <c r="J200" s="19">
        <f>(1 + I200 / 100 / 2)^2 - 1</f>
        <v/>
      </c>
      <c r="K200" s="19">
        <f>(1 + J200)^(1/12) - 1</f>
        <v/>
      </c>
      <c r="L200" s="19">
        <f>L199 / (1 + K200)</f>
        <v/>
      </c>
      <c r="M200" s="19">
        <f>J200 + 0.01</f>
        <v/>
      </c>
      <c r="N200" s="19">
        <f>(1 + M200)^(1/12) - 1</f>
        <v/>
      </c>
      <c r="O200" s="19">
        <f>O199 / (1 + N200)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>3.982</v>
      </c>
      <c r="J201" s="21">
        <f>(1 + I201 / 100 / 2)^2 - 1</f>
        <v/>
      </c>
      <c r="K201" s="21">
        <f>(1 + J201)^(1/12) - 1</f>
        <v/>
      </c>
      <c r="L201" s="21">
        <f>L200 / (1 + K201)</f>
        <v/>
      </c>
      <c r="M201" s="21">
        <f>J201 + 0.01</f>
        <v/>
      </c>
      <c r="N201" s="21">
        <f>(1 + M201)^(1/12) - 1</f>
        <v/>
      </c>
      <c r="O201" s="21">
        <f>O200 / (1 + N201)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>3.982</v>
      </c>
      <c r="J202" s="19">
        <f>(1 + I202 / 100 / 2)^2 - 1</f>
        <v/>
      </c>
      <c r="K202" s="19">
        <f>(1 + J202)^(1/12) - 1</f>
        <v/>
      </c>
      <c r="L202" s="19">
        <f>L201 / (1 + K202)</f>
        <v/>
      </c>
      <c r="M202" s="19">
        <f>J202 + 0.01</f>
        <v/>
      </c>
      <c r="N202" s="19">
        <f>(1 + M202)^(1/12) - 1</f>
        <v/>
      </c>
      <c r="O202" s="19">
        <f>O201 / (1 + N202)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>3.982</v>
      </c>
      <c r="J203" s="21">
        <f>(1 + I203 / 100 / 2)^2 - 1</f>
        <v/>
      </c>
      <c r="K203" s="21">
        <f>(1 + J203)^(1/12) - 1</f>
        <v/>
      </c>
      <c r="L203" s="21">
        <f>L202 / (1 + K203)</f>
        <v/>
      </c>
      <c r="M203" s="21">
        <f>J203 + 0.01</f>
        <v/>
      </c>
      <c r="N203" s="21">
        <f>(1 + M203)^(1/12) - 1</f>
        <v/>
      </c>
      <c r="O203" s="21">
        <f>O202 / (1 + N203)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>3.982</v>
      </c>
      <c r="J204" s="19">
        <f>(1 + I204 / 100 / 2)^2 - 1</f>
        <v/>
      </c>
      <c r="K204" s="19">
        <f>(1 + J204)^(1/12) - 1</f>
        <v/>
      </c>
      <c r="L204" s="19">
        <f>L203 / (1 + K204)</f>
        <v/>
      </c>
      <c r="M204" s="19">
        <f>J204 + 0.01</f>
        <v/>
      </c>
      <c r="N204" s="19">
        <f>(1 + M204)^(1/12) - 1</f>
        <v/>
      </c>
      <c r="O204" s="19">
        <f>O203 / (1 + N204)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>3.982</v>
      </c>
      <c r="J205" s="21">
        <f>(1 + I205 / 100 / 2)^2 - 1</f>
        <v/>
      </c>
      <c r="K205" s="21">
        <f>(1 + J205)^(1/12) - 1</f>
        <v/>
      </c>
      <c r="L205" s="21">
        <f>L204 / (1 + K205)</f>
        <v/>
      </c>
      <c r="M205" s="21">
        <f>J205 + 0.01</f>
        <v/>
      </c>
      <c r="N205" s="21">
        <f>(1 + M205)^(1/12) - 1</f>
        <v/>
      </c>
      <c r="O205" s="21">
        <f>O204 / (1 + N205)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>3.982</v>
      </c>
      <c r="J206" s="19">
        <f>(1 + I206 / 100 / 2)^2 - 1</f>
        <v/>
      </c>
      <c r="K206" s="19">
        <f>(1 + J206)^(1/12) - 1</f>
        <v/>
      </c>
      <c r="L206" s="19">
        <f>L205 / (1 + K206)</f>
        <v/>
      </c>
      <c r="M206" s="19">
        <f>J206 + 0.01</f>
        <v/>
      </c>
      <c r="N206" s="19">
        <f>(1 + M206)^(1/12) - 1</f>
        <v/>
      </c>
      <c r="O206" s="19">
        <f>O205 / (1 + N206)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>3.982</v>
      </c>
      <c r="J207" s="21">
        <f>(1 + I207 / 100 / 2)^2 - 1</f>
        <v/>
      </c>
      <c r="K207" s="21">
        <f>(1 + J207)^(1/12) - 1</f>
        <v/>
      </c>
      <c r="L207" s="21">
        <f>L206 / (1 + K207)</f>
        <v/>
      </c>
      <c r="M207" s="21">
        <f>J207 + 0.01</f>
        <v/>
      </c>
      <c r="N207" s="21">
        <f>(1 + M207)^(1/12) - 1</f>
        <v/>
      </c>
      <c r="O207" s="21">
        <f>O206 / (1 + N207)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3.982</v>
      </c>
      <c r="J208" s="19">
        <f>(1 + I208 / 100 / 2)^2 - 1</f>
        <v/>
      </c>
      <c r="K208" s="19">
        <f>(1 + J208)^(1/12) - 1</f>
        <v/>
      </c>
      <c r="L208" s="19">
        <f>L207 / (1 + K208)</f>
        <v/>
      </c>
      <c r="M208" s="19">
        <f>J208 + 0.01</f>
        <v/>
      </c>
      <c r="N208" s="19">
        <f>(1 + M208)^(1/12) - 1</f>
        <v/>
      </c>
      <c r="O208" s="19">
        <f>O207 / (1 + N208)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3.982</v>
      </c>
      <c r="J209" s="21">
        <f>(1 + I209 / 100 / 2)^2 - 1</f>
        <v/>
      </c>
      <c r="K209" s="21">
        <f>(1 + J209)^(1/12) - 1</f>
        <v/>
      </c>
      <c r="L209" s="21">
        <f>L208 / (1 + K209)</f>
        <v/>
      </c>
      <c r="M209" s="21">
        <f>J209 + 0.01</f>
        <v/>
      </c>
      <c r="N209" s="21">
        <f>(1 + M209)^(1/12) - 1</f>
        <v/>
      </c>
      <c r="O209" s="21">
        <f>O208 / (1 + N209)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3.982</v>
      </c>
      <c r="J210" s="19">
        <f>(1 + I210 / 100 / 2)^2 - 1</f>
        <v/>
      </c>
      <c r="K210" s="19">
        <f>(1 + J210)^(1/12) - 1</f>
        <v/>
      </c>
      <c r="L210" s="19">
        <f>L209 / (1 + K210)</f>
        <v/>
      </c>
      <c r="M210" s="19">
        <f>J210 + 0.01</f>
        <v/>
      </c>
      <c r="N210" s="19">
        <f>(1 + M210)^(1/12) - 1</f>
        <v/>
      </c>
      <c r="O210" s="19">
        <f>O209 / (1 + N210)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3.982</v>
      </c>
      <c r="J211" s="21">
        <f>(1 + I211 / 100 / 2)^2 - 1</f>
        <v/>
      </c>
      <c r="K211" s="21">
        <f>(1 + J211)^(1/12) - 1</f>
        <v/>
      </c>
      <c r="L211" s="21">
        <f>L210 / (1 + K211)</f>
        <v/>
      </c>
      <c r="M211" s="21">
        <f>J211 + 0.01</f>
        <v/>
      </c>
      <c r="N211" s="21">
        <f>(1 + M211)^(1/12) - 1</f>
        <v/>
      </c>
      <c r="O211" s="21">
        <f>O210 / (1 + N211)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3.982</v>
      </c>
      <c r="J212" s="19">
        <f>(1 + I212 / 100 / 2)^2 - 1</f>
        <v/>
      </c>
      <c r="K212" s="19">
        <f>(1 + J212)^(1/12) - 1</f>
        <v/>
      </c>
      <c r="L212" s="19">
        <f>L211 / (1 + K212)</f>
        <v/>
      </c>
      <c r="M212" s="19">
        <f>J212 + 0.01</f>
        <v/>
      </c>
      <c r="N212" s="19">
        <f>(1 + M212)^(1/12) - 1</f>
        <v/>
      </c>
      <c r="O212" s="19">
        <f>O211 / (1 + N212)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3.982</v>
      </c>
      <c r="J213" s="21">
        <f>(1 + I213 / 100 / 2)^2 - 1</f>
        <v/>
      </c>
      <c r="K213" s="21">
        <f>(1 + J213)^(1/12) - 1</f>
        <v/>
      </c>
      <c r="L213" s="21">
        <f>L212 / (1 + K213)</f>
        <v/>
      </c>
      <c r="M213" s="21">
        <f>J213 + 0.01</f>
        <v/>
      </c>
      <c r="N213" s="21">
        <f>(1 + M213)^(1/12) - 1</f>
        <v/>
      </c>
      <c r="O213" s="21">
        <f>O212 / (1 + N213)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3.982</v>
      </c>
      <c r="J214" s="19">
        <f>(1 + I214 / 100 / 2)^2 - 1</f>
        <v/>
      </c>
      <c r="K214" s="19">
        <f>(1 + J214)^(1/12) - 1</f>
        <v/>
      </c>
      <c r="L214" s="19">
        <f>L213 / (1 + K214)</f>
        <v/>
      </c>
      <c r="M214" s="19">
        <f>J214 + 0.01</f>
        <v/>
      </c>
      <c r="N214" s="19">
        <f>(1 + M214)^(1/12) - 1</f>
        <v/>
      </c>
      <c r="O214" s="19">
        <f>O213 / (1 + N214)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3.982</v>
      </c>
      <c r="J215" s="21">
        <f>(1 + I215 / 100 / 2)^2 - 1</f>
        <v/>
      </c>
      <c r="K215" s="21">
        <f>(1 + J215)^(1/12) - 1</f>
        <v/>
      </c>
      <c r="L215" s="21">
        <f>L214 / (1 + K215)</f>
        <v/>
      </c>
      <c r="M215" s="21">
        <f>J215 + 0.01</f>
        <v/>
      </c>
      <c r="N215" s="21">
        <f>(1 + M215)^(1/12) - 1</f>
        <v/>
      </c>
      <c r="O215" s="21">
        <f>O214 / (1 + N215)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3.982</v>
      </c>
      <c r="J216" s="19">
        <f>(1 + I216 / 100 / 2)^2 - 1</f>
        <v/>
      </c>
      <c r="K216" s="19">
        <f>(1 + J216)^(1/12) - 1</f>
        <v/>
      </c>
      <c r="L216" s="19">
        <f>L215 / (1 + K216)</f>
        <v/>
      </c>
      <c r="M216" s="19">
        <f>J216 + 0.01</f>
        <v/>
      </c>
      <c r="N216" s="19">
        <f>(1 + M216)^(1/12) - 1</f>
        <v/>
      </c>
      <c r="O216" s="19">
        <f>O215 / (1 + N216)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3.982</v>
      </c>
      <c r="J217" s="21">
        <f>(1 + I217 / 100 / 2)^2 - 1</f>
        <v/>
      </c>
      <c r="K217" s="21">
        <f>(1 + J217)^(1/12) - 1</f>
        <v/>
      </c>
      <c r="L217" s="21">
        <f>L216 / (1 + K217)</f>
        <v/>
      </c>
      <c r="M217" s="21">
        <f>J217 + 0.01</f>
        <v/>
      </c>
      <c r="N217" s="21">
        <f>(1 + M217)^(1/12) - 1</f>
        <v/>
      </c>
      <c r="O217" s="21">
        <f>O216 / (1 + N217)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3.982</v>
      </c>
      <c r="J218" s="19">
        <f>(1 + I218 / 100 / 2)^2 - 1</f>
        <v/>
      </c>
      <c r="K218" s="19">
        <f>(1 + J218)^(1/12) - 1</f>
        <v/>
      </c>
      <c r="L218" s="19">
        <f>L217 / (1 + K218)</f>
        <v/>
      </c>
      <c r="M218" s="19">
        <f>J218 + 0.01</f>
        <v/>
      </c>
      <c r="N218" s="19">
        <f>(1 + M218)^(1/12) - 1</f>
        <v/>
      </c>
      <c r="O218" s="19">
        <f>O217 / (1 + N218)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3.982</v>
      </c>
      <c r="J219" s="21">
        <f>(1 + I219 / 100 / 2)^2 - 1</f>
        <v/>
      </c>
      <c r="K219" s="21">
        <f>(1 + J219)^(1/12) - 1</f>
        <v/>
      </c>
      <c r="L219" s="21">
        <f>L218 / (1 + K219)</f>
        <v/>
      </c>
      <c r="M219" s="21">
        <f>J219 + 0.01</f>
        <v/>
      </c>
      <c r="N219" s="21">
        <f>(1 + M219)^(1/12) - 1</f>
        <v/>
      </c>
      <c r="O219" s="21">
        <f>O218 / (1 + N219)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3.982</v>
      </c>
      <c r="J220" s="19">
        <f>(1 + I220 / 100 / 2)^2 - 1</f>
        <v/>
      </c>
      <c r="K220" s="19">
        <f>(1 + J220)^(1/12) - 1</f>
        <v/>
      </c>
      <c r="L220" s="19">
        <f>L219 / (1 + K220)</f>
        <v/>
      </c>
      <c r="M220" s="19">
        <f>J220 + 0.01</f>
        <v/>
      </c>
      <c r="N220" s="19">
        <f>(1 + M220)^(1/12) - 1</f>
        <v/>
      </c>
      <c r="O220" s="19">
        <f>O219 / (1 + N220)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3.982</v>
      </c>
      <c r="J221" s="21">
        <f>(1 + I221 / 100 / 2)^2 - 1</f>
        <v/>
      </c>
      <c r="K221" s="21">
        <f>(1 + J221)^(1/12) - 1</f>
        <v/>
      </c>
      <c r="L221" s="21">
        <f>L220 / (1 + K221)</f>
        <v/>
      </c>
      <c r="M221" s="21">
        <f>J221 + 0.01</f>
        <v/>
      </c>
      <c r="N221" s="21">
        <f>(1 + M221)^(1/12) - 1</f>
        <v/>
      </c>
      <c r="O221" s="21">
        <f>O220 / (1 + N221)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3.982</v>
      </c>
      <c r="J222" s="19">
        <f>(1 + I222 / 100 / 2)^2 - 1</f>
        <v/>
      </c>
      <c r="K222" s="19">
        <f>(1 + J222)^(1/12) - 1</f>
        <v/>
      </c>
      <c r="L222" s="19">
        <f>L221 / (1 + K222)</f>
        <v/>
      </c>
      <c r="M222" s="19">
        <f>J222 + 0.01</f>
        <v/>
      </c>
      <c r="N222" s="19">
        <f>(1 + M222)^(1/12) - 1</f>
        <v/>
      </c>
      <c r="O222" s="19">
        <f>O221 / (1 + N222)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3.982</v>
      </c>
      <c r="J223" s="21">
        <f>(1 + I223 / 100 / 2)^2 - 1</f>
        <v/>
      </c>
      <c r="K223" s="21">
        <f>(1 + J223)^(1/12) - 1</f>
        <v/>
      </c>
      <c r="L223" s="21">
        <f>L222 / (1 + K223)</f>
        <v/>
      </c>
      <c r="M223" s="21">
        <f>J223 + 0.01</f>
        <v/>
      </c>
      <c r="N223" s="21">
        <f>(1 + M223)^(1/12) - 1</f>
        <v/>
      </c>
      <c r="O223" s="21">
        <f>O222 / (1 + N223)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3.982</v>
      </c>
      <c r="J224" s="19">
        <f>(1 + I224 / 100 / 2)^2 - 1</f>
        <v/>
      </c>
      <c r="K224" s="19">
        <f>(1 + J224)^(1/12) - 1</f>
        <v/>
      </c>
      <c r="L224" s="19">
        <f>L223 / (1 + K224)</f>
        <v/>
      </c>
      <c r="M224" s="19">
        <f>J224 + 0.01</f>
        <v/>
      </c>
      <c r="N224" s="19">
        <f>(1 + M224)^(1/12) - 1</f>
        <v/>
      </c>
      <c r="O224" s="19">
        <f>O223 / (1 + N224)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3.982</v>
      </c>
      <c r="J225" s="21">
        <f>(1 + I225 / 100 / 2)^2 - 1</f>
        <v/>
      </c>
      <c r="K225" s="21">
        <f>(1 + J225)^(1/12) - 1</f>
        <v/>
      </c>
      <c r="L225" s="21">
        <f>L224 / (1 + K225)</f>
        <v/>
      </c>
      <c r="M225" s="21">
        <f>J225 + 0.01</f>
        <v/>
      </c>
      <c r="N225" s="21">
        <f>(1 + M225)^(1/12) - 1</f>
        <v/>
      </c>
      <c r="O225" s="21">
        <f>O224 / (1 + N225)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3.982</v>
      </c>
      <c r="J226" s="19">
        <f>(1 + I226 / 100 / 2)^2 - 1</f>
        <v/>
      </c>
      <c r="K226" s="19">
        <f>(1 + J226)^(1/12) - 1</f>
        <v/>
      </c>
      <c r="L226" s="19">
        <f>L225 / (1 + K226)</f>
        <v/>
      </c>
      <c r="M226" s="19">
        <f>J226 + 0.01</f>
        <v/>
      </c>
      <c r="N226" s="19">
        <f>(1 + M226)^(1/12) - 1</f>
        <v/>
      </c>
      <c r="O226" s="19">
        <f>O225 / (1 + N226)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3.982</v>
      </c>
      <c r="J227" s="21">
        <f>(1 + I227 / 100 / 2)^2 - 1</f>
        <v/>
      </c>
      <c r="K227" s="21">
        <f>(1 + J227)^(1/12) - 1</f>
        <v/>
      </c>
      <c r="L227" s="21">
        <f>L226 / (1 + K227)</f>
        <v/>
      </c>
      <c r="M227" s="21">
        <f>J227 + 0.01</f>
        <v/>
      </c>
      <c r="N227" s="21">
        <f>(1 + M227)^(1/12) - 1</f>
        <v/>
      </c>
      <c r="O227" s="21">
        <f>O226 / (1 + N227)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3.982</v>
      </c>
      <c r="J228" s="19">
        <f>(1 + I228 / 100 / 2)^2 - 1</f>
        <v/>
      </c>
      <c r="K228" s="19">
        <f>(1 + J228)^(1/12) - 1</f>
        <v/>
      </c>
      <c r="L228" s="19">
        <f>L227 / (1 + K228)</f>
        <v/>
      </c>
      <c r="M228" s="19">
        <f>J228 + 0.01</f>
        <v/>
      </c>
      <c r="N228" s="19">
        <f>(1 + M228)^(1/12) - 1</f>
        <v/>
      </c>
      <c r="O228" s="19">
        <f>O227 / (1 + N228)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3.982</v>
      </c>
      <c r="J229" s="21">
        <f>(1 + I229 / 100 / 2)^2 - 1</f>
        <v/>
      </c>
      <c r="K229" s="21">
        <f>(1 + J229)^(1/12) - 1</f>
        <v/>
      </c>
      <c r="L229" s="21">
        <f>L228 / (1 + K229)</f>
        <v/>
      </c>
      <c r="M229" s="21">
        <f>J229 + 0.01</f>
        <v/>
      </c>
      <c r="N229" s="21">
        <f>(1 + M229)^(1/12) - 1</f>
        <v/>
      </c>
      <c r="O229" s="21">
        <f>O228 / (1 + N229)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3.982</v>
      </c>
      <c r="J230" s="19">
        <f>(1 + I230 / 100 / 2)^2 - 1</f>
        <v/>
      </c>
      <c r="K230" s="19">
        <f>(1 + J230)^(1/12) - 1</f>
        <v/>
      </c>
      <c r="L230" s="19">
        <f>L229 / (1 + K230)</f>
        <v/>
      </c>
      <c r="M230" s="19">
        <f>J230 + 0.01</f>
        <v/>
      </c>
      <c r="N230" s="19">
        <f>(1 + M230)^(1/12) - 1</f>
        <v/>
      </c>
      <c r="O230" s="19">
        <f>O229 / (1 + N230)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3.982</v>
      </c>
      <c r="J231" s="21">
        <f>(1 + I231 / 100 / 2)^2 - 1</f>
        <v/>
      </c>
      <c r="K231" s="21">
        <f>(1 + J231)^(1/12) - 1</f>
        <v/>
      </c>
      <c r="L231" s="21">
        <f>L230 / (1 + K231)</f>
        <v/>
      </c>
      <c r="M231" s="21">
        <f>J231 + 0.01</f>
        <v/>
      </c>
      <c r="N231" s="21">
        <f>(1 + M231)^(1/12) - 1</f>
        <v/>
      </c>
      <c r="O231" s="21">
        <f>O230 / (1 + N231)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>3.982</v>
      </c>
      <c r="J232" s="19">
        <f>(1 + I232 / 100 / 2)^2 - 1</f>
        <v/>
      </c>
      <c r="K232" s="19">
        <f>(1 + J232)^(1/12) - 1</f>
        <v/>
      </c>
      <c r="L232" s="19">
        <f>L231 / (1 + K232)</f>
        <v/>
      </c>
      <c r="M232" s="19">
        <f>J232 + 0.01</f>
        <v/>
      </c>
      <c r="N232" s="19">
        <f>(1 + M232)^(1/12) - 1</f>
        <v/>
      </c>
      <c r="O232" s="19">
        <f>O231 / (1 + N232)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>3.982</v>
      </c>
      <c r="J233" s="21">
        <f>(1 + I233 / 100 / 2)^2 - 1</f>
        <v/>
      </c>
      <c r="K233" s="21">
        <f>(1 + J233)^(1/12) - 1</f>
        <v/>
      </c>
      <c r="L233" s="21">
        <f>L232 / (1 + K233)</f>
        <v/>
      </c>
      <c r="M233" s="21">
        <f>J233 + 0.01</f>
        <v/>
      </c>
      <c r="N233" s="21">
        <f>(1 + M233)^(1/12) - 1</f>
        <v/>
      </c>
      <c r="O233" s="21">
        <f>O232 / (1 + N233)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>3.982</v>
      </c>
      <c r="J234" s="19">
        <f>(1 + I234 / 100 / 2)^2 - 1</f>
        <v/>
      </c>
      <c r="K234" s="19">
        <f>(1 + J234)^(1/12) - 1</f>
        <v/>
      </c>
      <c r="L234" s="19">
        <f>L233 / (1 + K234)</f>
        <v/>
      </c>
      <c r="M234" s="19">
        <f>J234 + 0.01</f>
        <v/>
      </c>
      <c r="N234" s="19">
        <f>(1 + M234)^(1/12) - 1</f>
        <v/>
      </c>
      <c r="O234" s="19">
        <f>O233 / (1 + N234)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>3.982</v>
      </c>
      <c r="J235" s="21">
        <f>(1 + I235 / 100 / 2)^2 - 1</f>
        <v/>
      </c>
      <c r="K235" s="21">
        <f>(1 + J235)^(1/12) - 1</f>
        <v/>
      </c>
      <c r="L235" s="21">
        <f>L234 / (1 + K235)</f>
        <v/>
      </c>
      <c r="M235" s="21">
        <f>J235 + 0.01</f>
        <v/>
      </c>
      <c r="N235" s="21">
        <f>(1 + M235)^(1/12) - 1</f>
        <v/>
      </c>
      <c r="O235" s="21">
        <f>O234 / (1 + N235)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>3.982</v>
      </c>
      <c r="J236" s="19">
        <f>(1 + I236 / 100 / 2)^2 - 1</f>
        <v/>
      </c>
      <c r="K236" s="19">
        <f>(1 + J236)^(1/12) - 1</f>
        <v/>
      </c>
      <c r="L236" s="19">
        <f>L235 / (1 + K236)</f>
        <v/>
      </c>
      <c r="M236" s="19">
        <f>J236 + 0.01</f>
        <v/>
      </c>
      <c r="N236" s="19">
        <f>(1 + M236)^(1/12) - 1</f>
        <v/>
      </c>
      <c r="O236" s="19">
        <f>O235 / (1 + N236)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>3.982</v>
      </c>
      <c r="J237" s="21">
        <f>(1 + I237 / 100 / 2)^2 - 1</f>
        <v/>
      </c>
      <c r="K237" s="21">
        <f>(1 + J237)^(1/12) - 1</f>
        <v/>
      </c>
      <c r="L237" s="21">
        <f>L236 / (1 + K237)</f>
        <v/>
      </c>
      <c r="M237" s="21">
        <f>J237 + 0.01</f>
        <v/>
      </c>
      <c r="N237" s="21">
        <f>(1 + M237)^(1/12) - 1</f>
        <v/>
      </c>
      <c r="O237" s="21">
        <f>O236 / (1 + N237)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>3.982</v>
      </c>
      <c r="J238" s="19">
        <f>(1 + I238 / 100 / 2)^2 - 1</f>
        <v/>
      </c>
      <c r="K238" s="19">
        <f>(1 + J238)^(1/12) - 1</f>
        <v/>
      </c>
      <c r="L238" s="19">
        <f>L237 / (1 + K238)</f>
        <v/>
      </c>
      <c r="M238" s="19">
        <f>J238 + 0.01</f>
        <v/>
      </c>
      <c r="N238" s="19">
        <f>(1 + M238)^(1/12) - 1</f>
        <v/>
      </c>
      <c r="O238" s="19">
        <f>O237 / (1 + N238)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>3.982</v>
      </c>
      <c r="J239" s="21">
        <f>(1 + I239 / 100 / 2)^2 - 1</f>
        <v/>
      </c>
      <c r="K239" s="21">
        <f>(1 + J239)^(1/12) - 1</f>
        <v/>
      </c>
      <c r="L239" s="21">
        <f>L238 / (1 + K239)</f>
        <v/>
      </c>
      <c r="M239" s="21">
        <f>J239 + 0.01</f>
        <v/>
      </c>
      <c r="N239" s="21">
        <f>(1 + M239)^(1/12) - 1</f>
        <v/>
      </c>
      <c r="O239" s="21">
        <f>O238 / (1 + N239)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>3.982</v>
      </c>
      <c r="J240" s="19">
        <f>(1 + I240 / 100 / 2)^2 - 1</f>
        <v/>
      </c>
      <c r="K240" s="19">
        <f>(1 + J240)^(1/12) - 1</f>
        <v/>
      </c>
      <c r="L240" s="19">
        <f>L239 / (1 + K240)</f>
        <v/>
      </c>
      <c r="M240" s="19">
        <f>J240 + 0.01</f>
        <v/>
      </c>
      <c r="N240" s="19">
        <f>(1 + M240)^(1/12) - 1</f>
        <v/>
      </c>
      <c r="O240" s="19">
        <f>O239 / (1 + N240)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>3.982</v>
      </c>
      <c r="J241" s="21">
        <f>(1 + I241 / 100 / 2)^2 - 1</f>
        <v/>
      </c>
      <c r="K241" s="21">
        <f>(1 + J241)^(1/12) - 1</f>
        <v/>
      </c>
      <c r="L241" s="21">
        <f>L240 / (1 + K241)</f>
        <v/>
      </c>
      <c r="M241" s="21">
        <f>J241 + 0.01</f>
        <v/>
      </c>
      <c r="N241" s="21">
        <f>(1 + M241)^(1/12) - 1</f>
        <v/>
      </c>
      <c r="O241" s="21">
        <f>O240 / (1 + N241)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>3.982</v>
      </c>
      <c r="J242" s="19">
        <f>(1 + I242 / 100 / 2)^2 - 1</f>
        <v/>
      </c>
      <c r="K242" s="19">
        <f>(1 + J242)^(1/12) - 1</f>
        <v/>
      </c>
      <c r="L242" s="19">
        <f>L241 / (1 + K242)</f>
        <v/>
      </c>
      <c r="M242" s="19">
        <f>J242 + 0.01</f>
        <v/>
      </c>
      <c r="N242" s="19">
        <f>(1 + M242)^(1/12) - 1</f>
        <v/>
      </c>
      <c r="O242" s="19">
        <f>O241 / (1 + N242)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>3.982</v>
      </c>
      <c r="J243" s="21">
        <f>(1 + I243 / 100 / 2)^2 - 1</f>
        <v/>
      </c>
      <c r="K243" s="21">
        <f>(1 + J243)^(1/12) - 1</f>
        <v/>
      </c>
      <c r="L243" s="21">
        <f>L242 / (1 + K243)</f>
        <v/>
      </c>
      <c r="M243" s="21">
        <f>J243 + 0.01</f>
        <v/>
      </c>
      <c r="N243" s="21">
        <f>(1 + M243)^(1/12) - 1</f>
        <v/>
      </c>
      <c r="O243" s="21">
        <f>O242 / (1 + N243)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3.982</v>
      </c>
      <c r="J244" s="19">
        <f>(1 + I244 / 100 / 2)^2 - 1</f>
        <v/>
      </c>
      <c r="K244" s="19">
        <f>(1 + J244)^(1/12) - 1</f>
        <v/>
      </c>
      <c r="L244" s="19">
        <f>L243 / (1 + K244)</f>
        <v/>
      </c>
      <c r="M244" s="19">
        <f>J244 + 0.01</f>
        <v/>
      </c>
      <c r="N244" s="19">
        <f>(1 + M244)^(1/12) - 1</f>
        <v/>
      </c>
      <c r="O244" s="19">
        <f>O243 / (1 + N244)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3.982</v>
      </c>
      <c r="J245" s="21">
        <f>(1 + I245 / 100 / 2)^2 - 1</f>
        <v/>
      </c>
      <c r="K245" s="21">
        <f>(1 + J245)^(1/12) - 1</f>
        <v/>
      </c>
      <c r="L245" s="21">
        <f>L244 / (1 + K245)</f>
        <v/>
      </c>
      <c r="M245" s="21">
        <f>J245 + 0.01</f>
        <v/>
      </c>
      <c r="N245" s="21">
        <f>(1 + M245)^(1/12) - 1</f>
        <v/>
      </c>
      <c r="O245" s="21">
        <f>O244 / (1 + N245)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3.982</v>
      </c>
      <c r="J246" s="19">
        <f>(1 + I246 / 100 / 2)^2 - 1</f>
        <v/>
      </c>
      <c r="K246" s="19">
        <f>(1 + J246)^(1/12) - 1</f>
        <v/>
      </c>
      <c r="L246" s="19">
        <f>L245 / (1 + K246)</f>
        <v/>
      </c>
      <c r="M246" s="19">
        <f>J246 + 0.01</f>
        <v/>
      </c>
      <c r="N246" s="19">
        <f>(1 + M246)^(1/12) - 1</f>
        <v/>
      </c>
      <c r="O246" s="19">
        <f>O245 / (1 + N246)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3.982</v>
      </c>
      <c r="J247" s="21">
        <f>(1 + I247 / 100 / 2)^2 - 1</f>
        <v/>
      </c>
      <c r="K247" s="21">
        <f>(1 + J247)^(1/12) - 1</f>
        <v/>
      </c>
      <c r="L247" s="21">
        <f>L246 / (1 + K247)</f>
        <v/>
      </c>
      <c r="M247" s="21">
        <f>J247 + 0.01</f>
        <v/>
      </c>
      <c r="N247" s="21">
        <f>(1 + M247)^(1/12) - 1</f>
        <v/>
      </c>
      <c r="O247" s="21">
        <f>O246 / (1 + N247)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3.982</v>
      </c>
      <c r="J248" s="19">
        <f>(1 + I248 / 100 / 2)^2 - 1</f>
        <v/>
      </c>
      <c r="K248" s="19">
        <f>(1 + J248)^(1/12) - 1</f>
        <v/>
      </c>
      <c r="L248" s="19">
        <f>L247 / (1 + K248)</f>
        <v/>
      </c>
      <c r="M248" s="19">
        <f>J248 + 0.01</f>
        <v/>
      </c>
      <c r="N248" s="19">
        <f>(1 + M248)^(1/12) - 1</f>
        <v/>
      </c>
      <c r="O248" s="19">
        <f>O247 / (1 + N248)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3.982</v>
      </c>
      <c r="J249" s="21">
        <f>(1 + I249 / 100 / 2)^2 - 1</f>
        <v/>
      </c>
      <c r="K249" s="21">
        <f>(1 + J249)^(1/12) - 1</f>
        <v/>
      </c>
      <c r="L249" s="21">
        <f>L248 / (1 + K249)</f>
        <v/>
      </c>
      <c r="M249" s="21">
        <f>J249 + 0.01</f>
        <v/>
      </c>
      <c r="N249" s="21">
        <f>(1 + M249)^(1/12) - 1</f>
        <v/>
      </c>
      <c r="O249" s="21">
        <f>O248 / (1 + N249)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3.982</v>
      </c>
      <c r="J250" s="19">
        <f>(1 + I250 / 100 / 2)^2 - 1</f>
        <v/>
      </c>
      <c r="K250" s="19">
        <f>(1 + J250)^(1/12) - 1</f>
        <v/>
      </c>
      <c r="L250" s="19">
        <f>L249 / (1 + K250)</f>
        <v/>
      </c>
      <c r="M250" s="19">
        <f>J250 + 0.01</f>
        <v/>
      </c>
      <c r="N250" s="19">
        <f>(1 + M250)^(1/12) - 1</f>
        <v/>
      </c>
      <c r="O250" s="19">
        <f>O249 / (1 + N250)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3.982</v>
      </c>
      <c r="J251" s="21">
        <f>(1 + I251 / 100 / 2)^2 - 1</f>
        <v/>
      </c>
      <c r="K251" s="21">
        <f>(1 + J251)^(1/12) - 1</f>
        <v/>
      </c>
      <c r="L251" s="21">
        <f>L250 / (1 + K251)</f>
        <v/>
      </c>
      <c r="M251" s="21">
        <f>J251 + 0.01</f>
        <v/>
      </c>
      <c r="N251" s="21">
        <f>(1 + M251)^(1/12) - 1</f>
        <v/>
      </c>
      <c r="O251" s="21">
        <f>O250 / (1 + N251)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3.982</v>
      </c>
      <c r="J252" s="19">
        <f>(1 + I252 / 100 / 2)^2 - 1</f>
        <v/>
      </c>
      <c r="K252" s="19">
        <f>(1 + J252)^(1/12) - 1</f>
        <v/>
      </c>
      <c r="L252" s="19">
        <f>L251 / (1 + K252)</f>
        <v/>
      </c>
      <c r="M252" s="19">
        <f>J252 + 0.01</f>
        <v/>
      </c>
      <c r="N252" s="19">
        <f>(1 + M252)^(1/12) - 1</f>
        <v/>
      </c>
      <c r="O252" s="19">
        <f>O251 / (1 + N252)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3.982</v>
      </c>
      <c r="J253" s="21">
        <f>(1 + I253 / 100 / 2)^2 - 1</f>
        <v/>
      </c>
      <c r="K253" s="21">
        <f>(1 + J253)^(1/12) - 1</f>
        <v/>
      </c>
      <c r="L253" s="21">
        <f>L252 / (1 + K253)</f>
        <v/>
      </c>
      <c r="M253" s="21">
        <f>J253 + 0.01</f>
        <v/>
      </c>
      <c r="N253" s="21">
        <f>(1 + M253)^(1/12) - 1</f>
        <v/>
      </c>
      <c r="O253" s="21">
        <f>O252 / (1 + N253)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3.982</v>
      </c>
      <c r="J254" s="19">
        <f>(1 + I254 / 100 / 2)^2 - 1</f>
        <v/>
      </c>
      <c r="K254" s="19">
        <f>(1 + J254)^(1/12) - 1</f>
        <v/>
      </c>
      <c r="L254" s="19">
        <f>L253 / (1 + K254)</f>
        <v/>
      </c>
      <c r="M254" s="19">
        <f>J254 + 0.01</f>
        <v/>
      </c>
      <c r="N254" s="19">
        <f>(1 + M254)^(1/12) - 1</f>
        <v/>
      </c>
      <c r="O254" s="19">
        <f>O253 / (1 + N254)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3.982</v>
      </c>
      <c r="J255" s="21">
        <f>(1 + I255 / 100 / 2)^2 - 1</f>
        <v/>
      </c>
      <c r="K255" s="21">
        <f>(1 + J255)^(1/12) - 1</f>
        <v/>
      </c>
      <c r="L255" s="21">
        <f>L254 / (1 + K255)</f>
        <v/>
      </c>
      <c r="M255" s="21">
        <f>J255 + 0.01</f>
        <v/>
      </c>
      <c r="N255" s="21">
        <f>(1 + M255)^(1/12) - 1</f>
        <v/>
      </c>
      <c r="O255" s="21">
        <f>O254 / (1 + N255)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3.982</v>
      </c>
      <c r="J256" s="19">
        <f>(1 + I256 / 100 / 2)^2 - 1</f>
        <v/>
      </c>
      <c r="K256" s="19">
        <f>(1 + J256)^(1/12) - 1</f>
        <v/>
      </c>
      <c r="L256" s="19">
        <f>L255 / (1 + K256)</f>
        <v/>
      </c>
      <c r="M256" s="19">
        <f>J256 + 0.01</f>
        <v/>
      </c>
      <c r="N256" s="19">
        <f>(1 + M256)^(1/12) - 1</f>
        <v/>
      </c>
      <c r="O256" s="19">
        <f>O255 / (1 + N256)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3.982</v>
      </c>
      <c r="J257" s="21">
        <f>(1 + I257 / 100 / 2)^2 - 1</f>
        <v/>
      </c>
      <c r="K257" s="21">
        <f>(1 + J257)^(1/12) - 1</f>
        <v/>
      </c>
      <c r="L257" s="21">
        <f>L256 / (1 + K257)</f>
        <v/>
      </c>
      <c r="M257" s="21">
        <f>J257 + 0.01</f>
        <v/>
      </c>
      <c r="N257" s="21">
        <f>(1 + M257)^(1/12) - 1</f>
        <v/>
      </c>
      <c r="O257" s="21">
        <f>O256 / (1 + N257)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3.982</v>
      </c>
      <c r="J258" s="19">
        <f>(1 + I258 / 100 / 2)^2 - 1</f>
        <v/>
      </c>
      <c r="K258" s="19">
        <f>(1 + J258)^(1/12) - 1</f>
        <v/>
      </c>
      <c r="L258" s="19">
        <f>L257 / (1 + K258)</f>
        <v/>
      </c>
      <c r="M258" s="19">
        <f>J258 + 0.01</f>
        <v/>
      </c>
      <c r="N258" s="19">
        <f>(1 + M258)^(1/12) - 1</f>
        <v/>
      </c>
      <c r="O258" s="19">
        <f>O257 / (1 + N258)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3.982</v>
      </c>
      <c r="J259" s="21">
        <f>(1 + I259 / 100 / 2)^2 - 1</f>
        <v/>
      </c>
      <c r="K259" s="21">
        <f>(1 + J259)^(1/12) - 1</f>
        <v/>
      </c>
      <c r="L259" s="21">
        <f>L258 / (1 + K259)</f>
        <v/>
      </c>
      <c r="M259" s="21">
        <f>J259 + 0.01</f>
        <v/>
      </c>
      <c r="N259" s="21">
        <f>(1 + M259)^(1/12) - 1</f>
        <v/>
      </c>
      <c r="O259" s="21">
        <f>O258 / (1 + N259)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3.982</v>
      </c>
      <c r="J260" s="19">
        <f>(1 + I260 / 100 / 2)^2 - 1</f>
        <v/>
      </c>
      <c r="K260" s="19">
        <f>(1 + J260)^(1/12) - 1</f>
        <v/>
      </c>
      <c r="L260" s="19">
        <f>L259 / (1 + K260)</f>
        <v/>
      </c>
      <c r="M260" s="19">
        <f>J260 + 0.01</f>
        <v/>
      </c>
      <c r="N260" s="19">
        <f>(1 + M260)^(1/12) - 1</f>
        <v/>
      </c>
      <c r="O260" s="19">
        <f>O259 / (1 + N260)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3.982</v>
      </c>
      <c r="J261" s="21">
        <f>(1 + I261 / 100 / 2)^2 - 1</f>
        <v/>
      </c>
      <c r="K261" s="21">
        <f>(1 + J261)^(1/12) - 1</f>
        <v/>
      </c>
      <c r="L261" s="21">
        <f>L260 / (1 + K261)</f>
        <v/>
      </c>
      <c r="M261" s="21">
        <f>J261 + 0.01</f>
        <v/>
      </c>
      <c r="N261" s="21">
        <f>(1 + M261)^(1/12) - 1</f>
        <v/>
      </c>
      <c r="O261" s="21">
        <f>O260 / (1 + N261)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3.982</v>
      </c>
      <c r="J262" s="19">
        <f>(1 + I262 / 100 / 2)^2 - 1</f>
        <v/>
      </c>
      <c r="K262" s="19">
        <f>(1 + J262)^(1/12) - 1</f>
        <v/>
      </c>
      <c r="L262" s="19">
        <f>L261 / (1 + K262)</f>
        <v/>
      </c>
      <c r="M262" s="19">
        <f>J262 + 0.01</f>
        <v/>
      </c>
      <c r="N262" s="19">
        <f>(1 + M262)^(1/12) - 1</f>
        <v/>
      </c>
      <c r="O262" s="19">
        <f>O261 / (1 + N262)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3.982</v>
      </c>
      <c r="J263" s="21">
        <f>(1 + I263 / 100 / 2)^2 - 1</f>
        <v/>
      </c>
      <c r="K263" s="21">
        <f>(1 + J263)^(1/12) - 1</f>
        <v/>
      </c>
      <c r="L263" s="21">
        <f>L262 / (1 + K263)</f>
        <v/>
      </c>
      <c r="M263" s="21">
        <f>J263 + 0.01</f>
        <v/>
      </c>
      <c r="N263" s="21">
        <f>(1 + M263)^(1/12) - 1</f>
        <v/>
      </c>
      <c r="O263" s="21">
        <f>O262 / (1 + N263)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3.982</v>
      </c>
      <c r="J264" s="19">
        <f>(1 + I264 / 100 / 2)^2 - 1</f>
        <v/>
      </c>
      <c r="K264" s="19">
        <f>(1 + J264)^(1/12) - 1</f>
        <v/>
      </c>
      <c r="L264" s="19">
        <f>L263 / (1 + K264)</f>
        <v/>
      </c>
      <c r="M264" s="19">
        <f>J264 + 0.01</f>
        <v/>
      </c>
      <c r="N264" s="19">
        <f>(1 + M264)^(1/12) - 1</f>
        <v/>
      </c>
      <c r="O264" s="19">
        <f>O263 / (1 + N264)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3.982</v>
      </c>
      <c r="J265" s="21">
        <f>(1 + I265 / 100 / 2)^2 - 1</f>
        <v/>
      </c>
      <c r="K265" s="21">
        <f>(1 + J265)^(1/12) - 1</f>
        <v/>
      </c>
      <c r="L265" s="21">
        <f>L264 / (1 + K265)</f>
        <v/>
      </c>
      <c r="M265" s="21">
        <f>J265 + 0.01</f>
        <v/>
      </c>
      <c r="N265" s="21">
        <f>(1 + M265)^(1/12) - 1</f>
        <v/>
      </c>
      <c r="O265" s="21">
        <f>O264 / (1 + N265)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3.982</v>
      </c>
      <c r="J266" s="19">
        <f>(1 + I266 / 100 / 2)^2 - 1</f>
        <v/>
      </c>
      <c r="K266" s="19">
        <f>(1 + J266)^(1/12) - 1</f>
        <v/>
      </c>
      <c r="L266" s="19">
        <f>L265 / (1 + K266)</f>
        <v/>
      </c>
      <c r="M266" s="19">
        <f>J266 + 0.01</f>
        <v/>
      </c>
      <c r="N266" s="19">
        <f>(1 + M266)^(1/12) - 1</f>
        <v/>
      </c>
      <c r="O266" s="19">
        <f>O265 / (1 + N266)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3.982</v>
      </c>
      <c r="J267" s="21">
        <f>(1 + I267 / 100 / 2)^2 - 1</f>
        <v/>
      </c>
      <c r="K267" s="21">
        <f>(1 + J267)^(1/12) - 1</f>
        <v/>
      </c>
      <c r="L267" s="21">
        <f>L266 / (1 + K267)</f>
        <v/>
      </c>
      <c r="M267" s="21">
        <f>J267 + 0.01</f>
        <v/>
      </c>
      <c r="N267" s="21">
        <f>(1 + M267)^(1/12) - 1</f>
        <v/>
      </c>
      <c r="O267" s="21">
        <f>O266 / (1 + N267)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3.982</v>
      </c>
      <c r="J268" s="19">
        <f>(1 + I268 / 100 / 2)^2 - 1</f>
        <v/>
      </c>
      <c r="K268" s="19">
        <f>(1 + J268)^(1/12) - 1</f>
        <v/>
      </c>
      <c r="L268" s="19">
        <f>L267 / (1 + K268)</f>
        <v/>
      </c>
      <c r="M268" s="19">
        <f>J268 + 0.01</f>
        <v/>
      </c>
      <c r="N268" s="19">
        <f>(1 + M268)^(1/12) - 1</f>
        <v/>
      </c>
      <c r="O268" s="19">
        <f>O267 / (1 + N268)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3.982</v>
      </c>
      <c r="J269" s="21">
        <f>(1 + I269 / 100 / 2)^2 - 1</f>
        <v/>
      </c>
      <c r="K269" s="21">
        <f>(1 + J269)^(1/12) - 1</f>
        <v/>
      </c>
      <c r="L269" s="21">
        <f>L268 / (1 + K269)</f>
        <v/>
      </c>
      <c r="M269" s="21">
        <f>J269 + 0.01</f>
        <v/>
      </c>
      <c r="N269" s="21">
        <f>(1 + M269)^(1/12) - 1</f>
        <v/>
      </c>
      <c r="O269" s="21">
        <f>O268 / (1 + N269)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3.982</v>
      </c>
      <c r="J270" s="19">
        <f>(1 + I270 / 100 / 2)^2 - 1</f>
        <v/>
      </c>
      <c r="K270" s="19">
        <f>(1 + J270)^(1/12) - 1</f>
        <v/>
      </c>
      <c r="L270" s="19">
        <f>L269 / (1 + K270)</f>
        <v/>
      </c>
      <c r="M270" s="19">
        <f>J270 + 0.01</f>
        <v/>
      </c>
      <c r="N270" s="19">
        <f>(1 + M270)^(1/12) - 1</f>
        <v/>
      </c>
      <c r="O270" s="19">
        <f>O269 / (1 + N270)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3.982</v>
      </c>
      <c r="J271" s="21">
        <f>(1 + I271 / 100 / 2)^2 - 1</f>
        <v/>
      </c>
      <c r="K271" s="21">
        <f>(1 + J271)^(1/12) - 1</f>
        <v/>
      </c>
      <c r="L271" s="21">
        <f>L270 / (1 + K271)</f>
        <v/>
      </c>
      <c r="M271" s="21">
        <f>J271 + 0.01</f>
        <v/>
      </c>
      <c r="N271" s="21">
        <f>(1 + M271)^(1/12) - 1</f>
        <v/>
      </c>
      <c r="O271" s="21">
        <f>O270 / (1 + N271)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3.982</v>
      </c>
      <c r="J272" s="19">
        <f>(1 + I272 / 100 / 2)^2 - 1</f>
        <v/>
      </c>
      <c r="K272" s="19">
        <f>(1 + J272)^(1/12) - 1</f>
        <v/>
      </c>
      <c r="L272" s="19">
        <f>L271 / (1 + K272)</f>
        <v/>
      </c>
      <c r="M272" s="19">
        <f>J272 + 0.01</f>
        <v/>
      </c>
      <c r="N272" s="19">
        <f>(1 + M272)^(1/12) - 1</f>
        <v/>
      </c>
      <c r="O272" s="19">
        <f>O271 / (1 + N272)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3.982</v>
      </c>
      <c r="J273" s="21">
        <f>(1 + I273 / 100 / 2)^2 - 1</f>
        <v/>
      </c>
      <c r="K273" s="21">
        <f>(1 + J273)^(1/12) - 1</f>
        <v/>
      </c>
      <c r="L273" s="21">
        <f>L272 / (1 + K273)</f>
        <v/>
      </c>
      <c r="M273" s="21">
        <f>J273 + 0.01</f>
        <v/>
      </c>
      <c r="N273" s="21">
        <f>(1 + M273)^(1/12) - 1</f>
        <v/>
      </c>
      <c r="O273" s="21">
        <f>O272 / (1 + N273)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3.982</v>
      </c>
      <c r="J274" s="19">
        <f>(1 + I274 / 100 / 2)^2 - 1</f>
        <v/>
      </c>
      <c r="K274" s="19">
        <f>(1 + J274)^(1/12) - 1</f>
        <v/>
      </c>
      <c r="L274" s="19">
        <f>L273 / (1 + K274)</f>
        <v/>
      </c>
      <c r="M274" s="19">
        <f>J274 + 0.01</f>
        <v/>
      </c>
      <c r="N274" s="19">
        <f>(1 + M274)^(1/12) - 1</f>
        <v/>
      </c>
      <c r="O274" s="19">
        <f>O273 / (1 + N274)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3.982</v>
      </c>
      <c r="J275" s="21">
        <f>(1 + I275 / 100 / 2)^2 - 1</f>
        <v/>
      </c>
      <c r="K275" s="21">
        <f>(1 + J275)^(1/12) - 1</f>
        <v/>
      </c>
      <c r="L275" s="21">
        <f>L274 / (1 + K275)</f>
        <v/>
      </c>
      <c r="M275" s="21">
        <f>J275 + 0.01</f>
        <v/>
      </c>
      <c r="N275" s="21">
        <f>(1 + M275)^(1/12) - 1</f>
        <v/>
      </c>
      <c r="O275" s="21">
        <f>O274 / (1 + N275)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3.982</v>
      </c>
      <c r="J276" s="19">
        <f>(1 + I276 / 100 / 2)^2 - 1</f>
        <v/>
      </c>
      <c r="K276" s="19">
        <f>(1 + J276)^(1/12) - 1</f>
        <v/>
      </c>
      <c r="L276" s="19">
        <f>L275 / (1 + K276)</f>
        <v/>
      </c>
      <c r="M276" s="19">
        <f>J276 + 0.01</f>
        <v/>
      </c>
      <c r="N276" s="19">
        <f>(1 + M276)^(1/12) - 1</f>
        <v/>
      </c>
      <c r="O276" s="19">
        <f>O275 / (1 + N276)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3.982</v>
      </c>
      <c r="J277" s="21">
        <f>(1 + I277 / 100 / 2)^2 - 1</f>
        <v/>
      </c>
      <c r="K277" s="21">
        <f>(1 + J277)^(1/12) - 1</f>
        <v/>
      </c>
      <c r="L277" s="21">
        <f>L276 / (1 + K277)</f>
        <v/>
      </c>
      <c r="M277" s="21">
        <f>J277 + 0.01</f>
        <v/>
      </c>
      <c r="N277" s="21">
        <f>(1 + M277)^(1/12) - 1</f>
        <v/>
      </c>
      <c r="O277" s="21">
        <f>O276 / (1 + N277)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3.982</v>
      </c>
      <c r="J278" s="19">
        <f>(1 + I278 / 100 / 2)^2 - 1</f>
        <v/>
      </c>
      <c r="K278" s="19">
        <f>(1 + J278)^(1/12) - 1</f>
        <v/>
      </c>
      <c r="L278" s="19">
        <f>L277 / (1 + K278)</f>
        <v/>
      </c>
      <c r="M278" s="19">
        <f>J278 + 0.01</f>
        <v/>
      </c>
      <c r="N278" s="19">
        <f>(1 + M278)^(1/12) - 1</f>
        <v/>
      </c>
      <c r="O278" s="19">
        <f>O277 / (1 + N278)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3.982</v>
      </c>
      <c r="J279" s="21">
        <f>(1 + I279 / 100 / 2)^2 - 1</f>
        <v/>
      </c>
      <c r="K279" s="21">
        <f>(1 + J279)^(1/12) - 1</f>
        <v/>
      </c>
      <c r="L279" s="21">
        <f>L278 / (1 + K279)</f>
        <v/>
      </c>
      <c r="M279" s="21">
        <f>J279 + 0.01</f>
        <v/>
      </c>
      <c r="N279" s="21">
        <f>(1 + M279)^(1/12) - 1</f>
        <v/>
      </c>
      <c r="O279" s="21">
        <f>O278 / (1 + N279)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3.982</v>
      </c>
      <c r="J280" s="19">
        <f>(1 + I280 / 100 / 2)^2 - 1</f>
        <v/>
      </c>
      <c r="K280" s="19">
        <f>(1 + J280)^(1/12) - 1</f>
        <v/>
      </c>
      <c r="L280" s="19">
        <f>L279 / (1 + K280)</f>
        <v/>
      </c>
      <c r="M280" s="19">
        <f>J280 + 0.01</f>
        <v/>
      </c>
      <c r="N280" s="19">
        <f>(1 + M280)^(1/12) - 1</f>
        <v/>
      </c>
      <c r="O280" s="19">
        <f>O279 / (1 + N280)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3.982</v>
      </c>
      <c r="J281" s="21">
        <f>(1 + I281 / 100 / 2)^2 - 1</f>
        <v/>
      </c>
      <c r="K281" s="21">
        <f>(1 + J281)^(1/12) - 1</f>
        <v/>
      </c>
      <c r="L281" s="21">
        <f>L280 / (1 + K281)</f>
        <v/>
      </c>
      <c r="M281" s="21">
        <f>J281 + 0.01</f>
        <v/>
      </c>
      <c r="N281" s="21">
        <f>(1 + M281)^(1/12) - 1</f>
        <v/>
      </c>
      <c r="O281" s="21">
        <f>O280 / (1 + N281)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3.982</v>
      </c>
      <c r="J282" s="19">
        <f>(1 + I282 / 100 / 2)^2 - 1</f>
        <v/>
      </c>
      <c r="K282" s="19">
        <f>(1 + J282)^(1/12) - 1</f>
        <v/>
      </c>
      <c r="L282" s="19">
        <f>L281 / (1 + K282)</f>
        <v/>
      </c>
      <c r="M282" s="19">
        <f>J282 + 0.01</f>
        <v/>
      </c>
      <c r="N282" s="19">
        <f>(1 + M282)^(1/12) - 1</f>
        <v/>
      </c>
      <c r="O282" s="19">
        <f>O281 / (1 + N282)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3.982</v>
      </c>
      <c r="J283" s="21">
        <f>(1 + I283 / 100 / 2)^2 - 1</f>
        <v/>
      </c>
      <c r="K283" s="21">
        <f>(1 + J283)^(1/12) - 1</f>
        <v/>
      </c>
      <c r="L283" s="21">
        <f>L282 / (1 + K283)</f>
        <v/>
      </c>
      <c r="M283" s="21">
        <f>J283 + 0.01</f>
        <v/>
      </c>
      <c r="N283" s="21">
        <f>(1 + M283)^(1/12) - 1</f>
        <v/>
      </c>
      <c r="O283" s="21">
        <f>O282 / (1 + N283)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3.982</v>
      </c>
      <c r="J284" s="19">
        <f>(1 + I284 / 100 / 2)^2 - 1</f>
        <v/>
      </c>
      <c r="K284" s="19">
        <f>(1 + J284)^(1/12) - 1</f>
        <v/>
      </c>
      <c r="L284" s="19">
        <f>L283 / (1 + K284)</f>
        <v/>
      </c>
      <c r="M284" s="19">
        <f>J284 + 0.01</f>
        <v/>
      </c>
      <c r="N284" s="19">
        <f>(1 + M284)^(1/12) - 1</f>
        <v/>
      </c>
      <c r="O284" s="19">
        <f>O283 / (1 + N284)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3.982</v>
      </c>
      <c r="J285" s="21">
        <f>(1 + I285 / 100 / 2)^2 - 1</f>
        <v/>
      </c>
      <c r="K285" s="21">
        <f>(1 + J285)^(1/12) - 1</f>
        <v/>
      </c>
      <c r="L285" s="21">
        <f>L284 / (1 + K285)</f>
        <v/>
      </c>
      <c r="M285" s="21">
        <f>J285 + 0.01</f>
        <v/>
      </c>
      <c r="N285" s="21">
        <f>(1 + M285)^(1/12) - 1</f>
        <v/>
      </c>
      <c r="O285" s="21">
        <f>O284 / (1 + N285)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3.982</v>
      </c>
      <c r="J286" s="19">
        <f>(1 + I286 / 100 / 2)^2 - 1</f>
        <v/>
      </c>
      <c r="K286" s="19">
        <f>(1 + J286)^(1/12) - 1</f>
        <v/>
      </c>
      <c r="L286" s="19">
        <f>L285 / (1 + K286)</f>
        <v/>
      </c>
      <c r="M286" s="19">
        <f>J286 + 0.01</f>
        <v/>
      </c>
      <c r="N286" s="19">
        <f>(1 + M286)^(1/12) - 1</f>
        <v/>
      </c>
      <c r="O286" s="19">
        <f>O285 / (1 + N286)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3.982</v>
      </c>
      <c r="J287" s="21">
        <f>(1 + I287 / 100 / 2)^2 - 1</f>
        <v/>
      </c>
      <c r="K287" s="21">
        <f>(1 + J287)^(1/12) - 1</f>
        <v/>
      </c>
      <c r="L287" s="21">
        <f>L286 / (1 + K287)</f>
        <v/>
      </c>
      <c r="M287" s="21">
        <f>J287 + 0.01</f>
        <v/>
      </c>
      <c r="N287" s="21">
        <f>(1 + M287)^(1/12) - 1</f>
        <v/>
      </c>
      <c r="O287" s="21">
        <f>O286 / (1 + N287)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3.982</v>
      </c>
      <c r="J288" s="19">
        <f>(1 + I288 / 100 / 2)^2 - 1</f>
        <v/>
      </c>
      <c r="K288" s="19">
        <f>(1 + J288)^(1/12) - 1</f>
        <v/>
      </c>
      <c r="L288" s="19">
        <f>L287 / (1 + K288)</f>
        <v/>
      </c>
      <c r="M288" s="19">
        <f>J288 + 0.01</f>
        <v/>
      </c>
      <c r="N288" s="19">
        <f>(1 + M288)^(1/12) - 1</f>
        <v/>
      </c>
      <c r="O288" s="19">
        <f>O287 / (1 + N288)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3.982</v>
      </c>
      <c r="J289" s="21">
        <f>(1 + I289 / 100 / 2)^2 - 1</f>
        <v/>
      </c>
      <c r="K289" s="21">
        <f>(1 + J289)^(1/12) - 1</f>
        <v/>
      </c>
      <c r="L289" s="21">
        <f>L288 / (1 + K289)</f>
        <v/>
      </c>
      <c r="M289" s="21">
        <f>J289 + 0.01</f>
        <v/>
      </c>
      <c r="N289" s="21">
        <f>(1 + M289)^(1/12) - 1</f>
        <v/>
      </c>
      <c r="O289" s="21">
        <f>O288 / (1 + N289)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3.982</v>
      </c>
      <c r="J290" s="19">
        <f>(1 + I290 / 100 / 2)^2 - 1</f>
        <v/>
      </c>
      <c r="K290" s="19">
        <f>(1 + J290)^(1/12) - 1</f>
        <v/>
      </c>
      <c r="L290" s="19">
        <f>L289 / (1 + K290)</f>
        <v/>
      </c>
      <c r="M290" s="19">
        <f>J290 + 0.01</f>
        <v/>
      </c>
      <c r="N290" s="19">
        <f>(1 + M290)^(1/12) - 1</f>
        <v/>
      </c>
      <c r="O290" s="19">
        <f>O289 / (1 + N290)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3.982</v>
      </c>
      <c r="J291" s="21">
        <f>(1 + I291 / 100 / 2)^2 - 1</f>
        <v/>
      </c>
      <c r="K291" s="21">
        <f>(1 + J291)^(1/12) - 1</f>
        <v/>
      </c>
      <c r="L291" s="21">
        <f>L290 / (1 + K291)</f>
        <v/>
      </c>
      <c r="M291" s="21">
        <f>J291 + 0.01</f>
        <v/>
      </c>
      <c r="N291" s="21">
        <f>(1 + M291)^(1/12) - 1</f>
        <v/>
      </c>
      <c r="O291" s="21">
        <f>O290 / (1 + N291)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3.982</v>
      </c>
      <c r="J292" s="19">
        <f>(1 + I292 / 100 / 2)^2 - 1</f>
        <v/>
      </c>
      <c r="K292" s="19">
        <f>(1 + J292)^(1/12) - 1</f>
        <v/>
      </c>
      <c r="L292" s="19">
        <f>L291 / (1 + K292)</f>
        <v/>
      </c>
      <c r="M292" s="19">
        <f>J292 + 0.01</f>
        <v/>
      </c>
      <c r="N292" s="19">
        <f>(1 + M292)^(1/12) - 1</f>
        <v/>
      </c>
      <c r="O292" s="19">
        <f>O291 / (1 + N292)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3.982</v>
      </c>
      <c r="J293" s="21">
        <f>(1 + I293 / 100 / 2)^2 - 1</f>
        <v/>
      </c>
      <c r="K293" s="21">
        <f>(1 + J293)^(1/12) - 1</f>
        <v/>
      </c>
      <c r="L293" s="21">
        <f>L292 / (1 + K293)</f>
        <v/>
      </c>
      <c r="M293" s="21">
        <f>J293 + 0.01</f>
        <v/>
      </c>
      <c r="N293" s="21">
        <f>(1 + M293)^(1/12) - 1</f>
        <v/>
      </c>
      <c r="O293" s="21">
        <f>O292 / (1 + N293)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3.982</v>
      </c>
      <c r="J294" s="19">
        <f>(1 + I294 / 100 / 2)^2 - 1</f>
        <v/>
      </c>
      <c r="K294" s="19">
        <f>(1 + J294)^(1/12) - 1</f>
        <v/>
      </c>
      <c r="L294" s="19">
        <f>L293 / (1 + K294)</f>
        <v/>
      </c>
      <c r="M294" s="19">
        <f>J294 + 0.01</f>
        <v/>
      </c>
      <c r="N294" s="19">
        <f>(1 + M294)^(1/12) - 1</f>
        <v/>
      </c>
      <c r="O294" s="19">
        <f>O293 / (1 + N294)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3.982</v>
      </c>
      <c r="J295" s="21">
        <f>(1 + I295 / 100 / 2)^2 - 1</f>
        <v/>
      </c>
      <c r="K295" s="21">
        <f>(1 + J295)^(1/12) - 1</f>
        <v/>
      </c>
      <c r="L295" s="21">
        <f>L294 / (1 + K295)</f>
        <v/>
      </c>
      <c r="M295" s="21">
        <f>J295 + 0.01</f>
        <v/>
      </c>
      <c r="N295" s="21">
        <f>(1 + M295)^(1/12) - 1</f>
        <v/>
      </c>
      <c r="O295" s="21">
        <f>O294 / (1 + N295)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3.982</v>
      </c>
      <c r="J296" s="19">
        <f>(1 + I296 / 100 / 2)^2 - 1</f>
        <v/>
      </c>
      <c r="K296" s="19">
        <f>(1 + J296)^(1/12) - 1</f>
        <v/>
      </c>
      <c r="L296" s="19">
        <f>L295 / (1 + K296)</f>
        <v/>
      </c>
      <c r="M296" s="19">
        <f>J296 + 0.01</f>
        <v/>
      </c>
      <c r="N296" s="19">
        <f>(1 + M296)^(1/12) - 1</f>
        <v/>
      </c>
      <c r="O296" s="19">
        <f>O295 / (1 + N296)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3.982</v>
      </c>
      <c r="J297" s="21">
        <f>(1 + I297 / 100 / 2)^2 - 1</f>
        <v/>
      </c>
      <c r="K297" s="21">
        <f>(1 + J297)^(1/12) - 1</f>
        <v/>
      </c>
      <c r="L297" s="21">
        <f>L296 / (1 + K297)</f>
        <v/>
      </c>
      <c r="M297" s="21">
        <f>J297 + 0.01</f>
        <v/>
      </c>
      <c r="N297" s="21">
        <f>(1 + M297)^(1/12) - 1</f>
        <v/>
      </c>
      <c r="O297" s="21">
        <f>O296 / (1 + N297)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3.982</v>
      </c>
      <c r="J298" s="19">
        <f>(1 + I298 / 100 / 2)^2 - 1</f>
        <v/>
      </c>
      <c r="K298" s="19">
        <f>(1 + J298)^(1/12) - 1</f>
        <v/>
      </c>
      <c r="L298" s="19">
        <f>L297 / (1 + K298)</f>
        <v/>
      </c>
      <c r="M298" s="19">
        <f>J298 + 0.01</f>
        <v/>
      </c>
      <c r="N298" s="19">
        <f>(1 + M298)^(1/12) - 1</f>
        <v/>
      </c>
      <c r="O298" s="19">
        <f>O297 / (1 + N298)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3.982</v>
      </c>
      <c r="J299" s="21">
        <f>(1 + I299 / 100 / 2)^2 - 1</f>
        <v/>
      </c>
      <c r="K299" s="21">
        <f>(1 + J299)^(1/12) - 1</f>
        <v/>
      </c>
      <c r="L299" s="21">
        <f>L298 / (1 + K299)</f>
        <v/>
      </c>
      <c r="M299" s="21">
        <f>J299 + 0.01</f>
        <v/>
      </c>
      <c r="N299" s="21">
        <f>(1 + M299)^(1/12) - 1</f>
        <v/>
      </c>
      <c r="O299" s="21">
        <f>O298 / (1 + N299)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3.982</v>
      </c>
      <c r="J300" s="19">
        <f>(1 + I300 / 100 / 2)^2 - 1</f>
        <v/>
      </c>
      <c r="K300" s="19">
        <f>(1 + J300)^(1/12) - 1</f>
        <v/>
      </c>
      <c r="L300" s="19">
        <f>L299 / (1 + K300)</f>
        <v/>
      </c>
      <c r="M300" s="19">
        <f>J300 + 0.01</f>
        <v/>
      </c>
      <c r="N300" s="19">
        <f>(1 + M300)^(1/12) - 1</f>
        <v/>
      </c>
      <c r="O300" s="19">
        <f>O299 / (1 + N300)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3.982</v>
      </c>
      <c r="J301" s="21">
        <f>(1 + I301 / 100 / 2)^2 - 1</f>
        <v/>
      </c>
      <c r="K301" s="21">
        <f>(1 + J301)^(1/12) - 1</f>
        <v/>
      </c>
      <c r="L301" s="21">
        <f>L300 / (1 + K301)</f>
        <v/>
      </c>
      <c r="M301" s="21">
        <f>J301 + 0.01</f>
        <v/>
      </c>
      <c r="N301" s="21">
        <f>(1 + M301)^(1/12) - 1</f>
        <v/>
      </c>
      <c r="O301" s="21">
        <f>O300 / (1 + N301)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3.982</v>
      </c>
      <c r="J302" s="19">
        <f>(1 + I302 / 100 / 2)^2 - 1</f>
        <v/>
      </c>
      <c r="K302" s="19">
        <f>(1 + J302)^(1/12) - 1</f>
        <v/>
      </c>
      <c r="L302" s="19">
        <f>L301 / (1 + K302)</f>
        <v/>
      </c>
      <c r="M302" s="19">
        <f>J302 + 0.01</f>
        <v/>
      </c>
      <c r="N302" s="19">
        <f>(1 + M302)^(1/12) - 1</f>
        <v/>
      </c>
      <c r="O302" s="19">
        <f>O301 / (1 + N302)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3.982</v>
      </c>
      <c r="J303" s="21">
        <f>(1 + I303 / 100 / 2)^2 - 1</f>
        <v/>
      </c>
      <c r="K303" s="21">
        <f>(1 + J303)^(1/12) - 1</f>
        <v/>
      </c>
      <c r="L303" s="21">
        <f>L302 / (1 + K303)</f>
        <v/>
      </c>
      <c r="M303" s="21">
        <f>J303 + 0.01</f>
        <v/>
      </c>
      <c r="N303" s="21">
        <f>(1 + M303)^(1/12) - 1</f>
        <v/>
      </c>
      <c r="O303" s="21">
        <f>O302 / (1 + N303)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3.982</v>
      </c>
      <c r="J304" s="19">
        <f>(1 + I304 / 100 / 2)^2 - 1</f>
        <v/>
      </c>
      <c r="K304" s="19">
        <f>(1 + J304)^(1/12) - 1</f>
        <v/>
      </c>
      <c r="L304" s="19">
        <f>L303 / (1 + K304)</f>
        <v/>
      </c>
      <c r="M304" s="19">
        <f>J304 + 0.01</f>
        <v/>
      </c>
      <c r="N304" s="19">
        <f>(1 + M304)^(1/12) - 1</f>
        <v/>
      </c>
      <c r="O304" s="19">
        <f>O303 / (1 + N304)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3.982</v>
      </c>
      <c r="J305" s="21">
        <f>(1 + I305 / 100 / 2)^2 - 1</f>
        <v/>
      </c>
      <c r="K305" s="21">
        <f>(1 + J305)^(1/12) - 1</f>
        <v/>
      </c>
      <c r="L305" s="21">
        <f>L304 / (1 + K305)</f>
        <v/>
      </c>
      <c r="M305" s="21">
        <f>J305 + 0.01</f>
        <v/>
      </c>
      <c r="N305" s="21">
        <f>(1 + M305)^(1/12) - 1</f>
        <v/>
      </c>
      <c r="O305" s="21">
        <f>O304 / (1 + N305)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3.982</v>
      </c>
      <c r="J306" s="19">
        <f>(1 + I306 / 100 / 2)^2 - 1</f>
        <v/>
      </c>
      <c r="K306" s="19">
        <f>(1 + J306)^(1/12) - 1</f>
        <v/>
      </c>
      <c r="L306" s="19">
        <f>L305 / (1 + K306)</f>
        <v/>
      </c>
      <c r="M306" s="19">
        <f>J306 + 0.01</f>
        <v/>
      </c>
      <c r="N306" s="19">
        <f>(1 + M306)^(1/12) - 1</f>
        <v/>
      </c>
      <c r="O306" s="19">
        <f>O305 / (1 + N306)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3.982</v>
      </c>
      <c r="J307" s="21">
        <f>(1 + I307 / 100 / 2)^2 - 1</f>
        <v/>
      </c>
      <c r="K307" s="21">
        <f>(1 + J307)^(1/12) - 1</f>
        <v/>
      </c>
      <c r="L307" s="21">
        <f>L306 / (1 + K307)</f>
        <v/>
      </c>
      <c r="M307" s="21">
        <f>J307 + 0.01</f>
        <v/>
      </c>
      <c r="N307" s="21">
        <f>(1 + M307)^(1/12) - 1</f>
        <v/>
      </c>
      <c r="O307" s="21">
        <f>O306 / (1 + N307)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3.982</v>
      </c>
      <c r="J308" s="19">
        <f>(1 + I308 / 100 / 2)^2 - 1</f>
        <v/>
      </c>
      <c r="K308" s="19">
        <f>(1 + J308)^(1/12) - 1</f>
        <v/>
      </c>
      <c r="L308" s="19">
        <f>L307 / (1 + K308)</f>
        <v/>
      </c>
      <c r="M308" s="19">
        <f>J308 + 0.01</f>
        <v/>
      </c>
      <c r="N308" s="19">
        <f>(1 + M308)^(1/12) - 1</f>
        <v/>
      </c>
      <c r="O308" s="19">
        <f>O307 / (1 + N308)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3.982</v>
      </c>
      <c r="J309" s="21">
        <f>(1 + I309 / 100 / 2)^2 - 1</f>
        <v/>
      </c>
      <c r="K309" s="21">
        <f>(1 + J309)^(1/12) - 1</f>
        <v/>
      </c>
      <c r="L309" s="21">
        <f>L308 / (1 + K309)</f>
        <v/>
      </c>
      <c r="M309" s="21">
        <f>J309 + 0.01</f>
        <v/>
      </c>
      <c r="N309" s="21">
        <f>(1 + M309)^(1/12) - 1</f>
        <v/>
      </c>
      <c r="O309" s="21">
        <f>O308 / (1 + N309)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3.982</v>
      </c>
      <c r="J310" s="19">
        <f>(1 + I310 / 100 / 2)^2 - 1</f>
        <v/>
      </c>
      <c r="K310" s="19">
        <f>(1 + J310)^(1/12) - 1</f>
        <v/>
      </c>
      <c r="L310" s="19">
        <f>L309 / (1 + K310)</f>
        <v/>
      </c>
      <c r="M310" s="19">
        <f>J310 + 0.01</f>
        <v/>
      </c>
      <c r="N310" s="19">
        <f>(1 + M310)^(1/12) - 1</f>
        <v/>
      </c>
      <c r="O310" s="19">
        <f>O309 / (1 + N310)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3.982</v>
      </c>
      <c r="J311" s="21">
        <f>(1 + I311 / 100 / 2)^2 - 1</f>
        <v/>
      </c>
      <c r="K311" s="21">
        <f>(1 + J311)^(1/12) - 1</f>
        <v/>
      </c>
      <c r="L311" s="21">
        <f>L310 / (1 + K311)</f>
        <v/>
      </c>
      <c r="M311" s="21">
        <f>J311 + 0.01</f>
        <v/>
      </c>
      <c r="N311" s="21">
        <f>(1 + M311)^(1/12) - 1</f>
        <v/>
      </c>
      <c r="O311" s="21">
        <f>O310 / (1 + N311)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3.982</v>
      </c>
      <c r="J312" s="19">
        <f>(1 + I312 / 100 / 2)^2 - 1</f>
        <v/>
      </c>
      <c r="K312" s="19">
        <f>(1 + J312)^(1/12) - 1</f>
        <v/>
      </c>
      <c r="L312" s="19">
        <f>L311 / (1 + K312)</f>
        <v/>
      </c>
      <c r="M312" s="19">
        <f>J312 + 0.01</f>
        <v/>
      </c>
      <c r="N312" s="19">
        <f>(1 + M312)^(1/12) - 1</f>
        <v/>
      </c>
      <c r="O312" s="19">
        <f>O311 / (1 + N312)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3.982</v>
      </c>
      <c r="J313" s="21">
        <f>(1 + I313 / 100 / 2)^2 - 1</f>
        <v/>
      </c>
      <c r="K313" s="21">
        <f>(1 + J313)^(1/12) - 1</f>
        <v/>
      </c>
      <c r="L313" s="21">
        <f>L312 / (1 + K313)</f>
        <v/>
      </c>
      <c r="M313" s="21">
        <f>J313 + 0.01</f>
        <v/>
      </c>
      <c r="N313" s="21">
        <f>(1 + M313)^(1/12) - 1</f>
        <v/>
      </c>
      <c r="O313" s="21">
        <f>O312 / (1 + N313)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3.982</v>
      </c>
      <c r="J314" s="19">
        <f>(1 + I314 / 100 / 2)^2 - 1</f>
        <v/>
      </c>
      <c r="K314" s="19">
        <f>(1 + J314)^(1/12) - 1</f>
        <v/>
      </c>
      <c r="L314" s="19">
        <f>L313 / (1 + K314)</f>
        <v/>
      </c>
      <c r="M314" s="19">
        <f>J314 + 0.01</f>
        <v/>
      </c>
      <c r="N314" s="19">
        <f>(1 + M314)^(1/12) - 1</f>
        <v/>
      </c>
      <c r="O314" s="19">
        <f>O313 / (1 + N314)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3.982</v>
      </c>
      <c r="J315" s="21">
        <f>(1 + I315 / 100 / 2)^2 - 1</f>
        <v/>
      </c>
      <c r="K315" s="21">
        <f>(1 + J315)^(1/12) - 1</f>
        <v/>
      </c>
      <c r="L315" s="21">
        <f>L314 / (1 + K315)</f>
        <v/>
      </c>
      <c r="M315" s="21">
        <f>J315 + 0.01</f>
        <v/>
      </c>
      <c r="N315" s="21">
        <f>(1 + M315)^(1/12) - 1</f>
        <v/>
      </c>
      <c r="O315" s="21">
        <f>O314 / (1 + N315)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3.982</v>
      </c>
      <c r="J316" s="19">
        <f>(1 + I316 / 100 / 2)^2 - 1</f>
        <v/>
      </c>
      <c r="K316" s="19">
        <f>(1 + J316)^(1/12) - 1</f>
        <v/>
      </c>
      <c r="L316" s="19">
        <f>L315 / (1 + K316)</f>
        <v/>
      </c>
      <c r="M316" s="19">
        <f>J316 + 0.01</f>
        <v/>
      </c>
      <c r="N316" s="19">
        <f>(1 + M316)^(1/12) - 1</f>
        <v/>
      </c>
      <c r="O316" s="19">
        <f>O315 / (1 + N316)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3.982</v>
      </c>
      <c r="J317" s="21">
        <f>(1 + I317 / 100 / 2)^2 - 1</f>
        <v/>
      </c>
      <c r="K317" s="21">
        <f>(1 + J317)^(1/12) - 1</f>
        <v/>
      </c>
      <c r="L317" s="21">
        <f>L316 / (1 + K317)</f>
        <v/>
      </c>
      <c r="M317" s="21">
        <f>J317 + 0.01</f>
        <v/>
      </c>
      <c r="N317" s="21">
        <f>(1 + M317)^(1/12) - 1</f>
        <v/>
      </c>
      <c r="O317" s="21">
        <f>O316 / (1 + N317)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3.982</v>
      </c>
      <c r="J318" s="19">
        <f>(1 + I318 / 100 / 2)^2 - 1</f>
        <v/>
      </c>
      <c r="K318" s="19">
        <f>(1 + J318)^(1/12) - 1</f>
        <v/>
      </c>
      <c r="L318" s="19">
        <f>L317 / (1 + K318)</f>
        <v/>
      </c>
      <c r="M318" s="19">
        <f>J318 + 0.01</f>
        <v/>
      </c>
      <c r="N318" s="19">
        <f>(1 + M318)^(1/12) - 1</f>
        <v/>
      </c>
      <c r="O318" s="19">
        <f>O317 / (1 + N318)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3.982</v>
      </c>
      <c r="J319" s="21">
        <f>(1 + I319 / 100 / 2)^2 - 1</f>
        <v/>
      </c>
      <c r="K319" s="21">
        <f>(1 + J319)^(1/12) - 1</f>
        <v/>
      </c>
      <c r="L319" s="21">
        <f>L318 / (1 + K319)</f>
        <v/>
      </c>
      <c r="M319" s="21">
        <f>J319 + 0.01</f>
        <v/>
      </c>
      <c r="N319" s="21">
        <f>(1 + M319)^(1/12) - 1</f>
        <v/>
      </c>
      <c r="O319" s="21">
        <f>O318 / (1 + N319)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3.982</v>
      </c>
      <c r="J320" s="19">
        <f>(1 + I320 / 100 / 2)^2 - 1</f>
        <v/>
      </c>
      <c r="K320" s="19">
        <f>(1 + J320)^(1/12) - 1</f>
        <v/>
      </c>
      <c r="L320" s="19">
        <f>L319 / (1 + K320)</f>
        <v/>
      </c>
      <c r="M320" s="19">
        <f>J320 + 0.01</f>
        <v/>
      </c>
      <c r="N320" s="19">
        <f>(1 + M320)^(1/12) - 1</f>
        <v/>
      </c>
      <c r="O320" s="19">
        <f>O319 / (1 + N320)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3.982</v>
      </c>
      <c r="J321" s="21">
        <f>(1 + I321 / 100 / 2)^2 - 1</f>
        <v/>
      </c>
      <c r="K321" s="21">
        <f>(1 + J321)^(1/12) - 1</f>
        <v/>
      </c>
      <c r="L321" s="21">
        <f>L320 / (1 + K321)</f>
        <v/>
      </c>
      <c r="M321" s="21">
        <f>J321 + 0.01</f>
        <v/>
      </c>
      <c r="N321" s="21">
        <f>(1 + M321)^(1/12) - 1</f>
        <v/>
      </c>
      <c r="O321" s="21">
        <f>O320 / (1 + N321)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3.982</v>
      </c>
      <c r="J322" s="19">
        <f>(1 + I322 / 100 / 2)^2 - 1</f>
        <v/>
      </c>
      <c r="K322" s="19">
        <f>(1 + J322)^(1/12) - 1</f>
        <v/>
      </c>
      <c r="L322" s="19">
        <f>L321 / (1 + K322)</f>
        <v/>
      </c>
      <c r="M322" s="19">
        <f>J322 + 0.01</f>
        <v/>
      </c>
      <c r="N322" s="19">
        <f>(1 + M322)^(1/12) - 1</f>
        <v/>
      </c>
      <c r="O322" s="19">
        <f>O321 / (1 + N322)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3.982</v>
      </c>
      <c r="J323" s="21">
        <f>(1 + I323 / 100 / 2)^2 - 1</f>
        <v/>
      </c>
      <c r="K323" s="21">
        <f>(1 + J323)^(1/12) - 1</f>
        <v/>
      </c>
      <c r="L323" s="21">
        <f>L322 / (1 + K323)</f>
        <v/>
      </c>
      <c r="M323" s="21">
        <f>J323 + 0.01</f>
        <v/>
      </c>
      <c r="N323" s="21">
        <f>(1 + M323)^(1/12) - 1</f>
        <v/>
      </c>
      <c r="O323" s="21">
        <f>O322 / (1 + N323)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3.982</v>
      </c>
      <c r="J324" s="19">
        <f>(1 + I324 / 100 / 2)^2 - 1</f>
        <v/>
      </c>
      <c r="K324" s="19">
        <f>(1 + J324)^(1/12) - 1</f>
        <v/>
      </c>
      <c r="L324" s="19">
        <f>L323 / (1 + K324)</f>
        <v/>
      </c>
      <c r="M324" s="19">
        <f>J324 + 0.01</f>
        <v/>
      </c>
      <c r="N324" s="19">
        <f>(1 + M324)^(1/12) - 1</f>
        <v/>
      </c>
      <c r="O324" s="19">
        <f>O323 / (1 + N324)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3.982</v>
      </c>
      <c r="J325" s="21">
        <f>(1 + I325 / 100 / 2)^2 - 1</f>
        <v/>
      </c>
      <c r="K325" s="21">
        <f>(1 + J325)^(1/12) - 1</f>
        <v/>
      </c>
      <c r="L325" s="21">
        <f>L324 / (1 + K325)</f>
        <v/>
      </c>
      <c r="M325" s="21">
        <f>J325 + 0.01</f>
        <v/>
      </c>
      <c r="N325" s="21">
        <f>(1 + M325)^(1/12) - 1</f>
        <v/>
      </c>
      <c r="O325" s="21">
        <f>O324 / (1 + N325)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3.982</v>
      </c>
      <c r="J326" s="19">
        <f>(1 + I326 / 100 / 2)^2 - 1</f>
        <v/>
      </c>
      <c r="K326" s="19">
        <f>(1 + J326)^(1/12) - 1</f>
        <v/>
      </c>
      <c r="L326" s="19">
        <f>L325 / (1 + K326)</f>
        <v/>
      </c>
      <c r="M326" s="19">
        <f>J326 + 0.01</f>
        <v/>
      </c>
      <c r="N326" s="19">
        <f>(1 + M326)^(1/12) - 1</f>
        <v/>
      </c>
      <c r="O326" s="19">
        <f>O325 / (1 + N326)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3.982</v>
      </c>
      <c r="J327" s="21">
        <f>(1 + I327 / 100 / 2)^2 - 1</f>
        <v/>
      </c>
      <c r="K327" s="21">
        <f>(1 + J327)^(1/12) - 1</f>
        <v/>
      </c>
      <c r="L327" s="21">
        <f>L326 / (1 + K327)</f>
        <v/>
      </c>
      <c r="M327" s="21">
        <f>J327 + 0.01</f>
        <v/>
      </c>
      <c r="N327" s="21">
        <f>(1 + M327)^(1/12) - 1</f>
        <v/>
      </c>
      <c r="O327" s="21">
        <f>O326 / (1 + N327)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3.982</v>
      </c>
      <c r="J328" s="19">
        <f>(1 + I328 / 100 / 2)^2 - 1</f>
        <v/>
      </c>
      <c r="K328" s="19">
        <f>(1 + J328)^(1/12) - 1</f>
        <v/>
      </c>
      <c r="L328" s="19">
        <f>L327 / (1 + K328)</f>
        <v/>
      </c>
      <c r="M328" s="19">
        <f>J328 + 0.01</f>
        <v/>
      </c>
      <c r="N328" s="19">
        <f>(1 + M328)^(1/12) - 1</f>
        <v/>
      </c>
      <c r="O328" s="19">
        <f>O327 / (1 + N328)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3.982</v>
      </c>
      <c r="J329" s="21">
        <f>(1 + I329 / 100 / 2)^2 - 1</f>
        <v/>
      </c>
      <c r="K329" s="21">
        <f>(1 + J329)^(1/12) - 1</f>
        <v/>
      </c>
      <c r="L329" s="21">
        <f>L328 / (1 + K329)</f>
        <v/>
      </c>
      <c r="M329" s="21">
        <f>J329 + 0.01</f>
        <v/>
      </c>
      <c r="N329" s="21">
        <f>(1 + M329)^(1/12) - 1</f>
        <v/>
      </c>
      <c r="O329" s="21">
        <f>O328 / (1 + N329)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3.982</v>
      </c>
      <c r="J330" s="19">
        <f>(1 + I330 / 100 / 2)^2 - 1</f>
        <v/>
      </c>
      <c r="K330" s="19">
        <f>(1 + J330)^(1/12) - 1</f>
        <v/>
      </c>
      <c r="L330" s="19">
        <f>L329 / (1 + K330)</f>
        <v/>
      </c>
      <c r="M330" s="19">
        <f>J330 + 0.01</f>
        <v/>
      </c>
      <c r="N330" s="19">
        <f>(1 + M330)^(1/12) - 1</f>
        <v/>
      </c>
      <c r="O330" s="19">
        <f>O329 / (1 + N330)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3.982</v>
      </c>
      <c r="J331" s="21">
        <f>(1 + I331 / 100 / 2)^2 - 1</f>
        <v/>
      </c>
      <c r="K331" s="21">
        <f>(1 + J331)^(1/12) - 1</f>
        <v/>
      </c>
      <c r="L331" s="21">
        <f>L330 / (1 + K331)</f>
        <v/>
      </c>
      <c r="M331" s="21">
        <f>J331 + 0.01</f>
        <v/>
      </c>
      <c r="N331" s="21">
        <f>(1 + M331)^(1/12) - 1</f>
        <v/>
      </c>
      <c r="O331" s="21">
        <f>O330 / (1 + N331)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3.982</v>
      </c>
      <c r="J332" s="19">
        <f>(1 + I332 / 100 / 2)^2 - 1</f>
        <v/>
      </c>
      <c r="K332" s="19">
        <f>(1 + J332)^(1/12) - 1</f>
        <v/>
      </c>
      <c r="L332" s="19">
        <f>L331 / (1 + K332)</f>
        <v/>
      </c>
      <c r="M332" s="19">
        <f>J332 + 0.01</f>
        <v/>
      </c>
      <c r="N332" s="19">
        <f>(1 + M332)^(1/12) - 1</f>
        <v/>
      </c>
      <c r="O332" s="19">
        <f>O331 / (1 + N332)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3.982</v>
      </c>
      <c r="J333" s="21">
        <f>(1 + I333 / 100 / 2)^2 - 1</f>
        <v/>
      </c>
      <c r="K333" s="21">
        <f>(1 + J333)^(1/12) - 1</f>
        <v/>
      </c>
      <c r="L333" s="21">
        <f>L332 / (1 + K333)</f>
        <v/>
      </c>
      <c r="M333" s="21">
        <f>J333 + 0.01</f>
        <v/>
      </c>
      <c r="N333" s="21">
        <f>(1 + M333)^(1/12) - 1</f>
        <v/>
      </c>
      <c r="O333" s="21">
        <f>O332 / (1 + N333)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3.982</v>
      </c>
      <c r="J334" s="19">
        <f>(1 + I334 / 100 / 2)^2 - 1</f>
        <v/>
      </c>
      <c r="K334" s="19">
        <f>(1 + J334)^(1/12) - 1</f>
        <v/>
      </c>
      <c r="L334" s="19">
        <f>L333 / (1 + K334)</f>
        <v/>
      </c>
      <c r="M334" s="19">
        <f>J334 + 0.01</f>
        <v/>
      </c>
      <c r="N334" s="19">
        <f>(1 + M334)^(1/12) - 1</f>
        <v/>
      </c>
      <c r="O334" s="19">
        <f>O333 / (1 + N334)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3.982</v>
      </c>
      <c r="J335" s="21">
        <f>(1 + I335 / 100 / 2)^2 - 1</f>
        <v/>
      </c>
      <c r="K335" s="21">
        <f>(1 + J335)^(1/12) - 1</f>
        <v/>
      </c>
      <c r="L335" s="21">
        <f>L334 / (1 + K335)</f>
        <v/>
      </c>
      <c r="M335" s="21">
        <f>J335 + 0.01</f>
        <v/>
      </c>
      <c r="N335" s="21">
        <f>(1 + M335)^(1/12) - 1</f>
        <v/>
      </c>
      <c r="O335" s="21">
        <f>O334 / (1 + N335)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3.982</v>
      </c>
      <c r="J336" s="19">
        <f>(1 + I336 / 100 / 2)^2 - 1</f>
        <v/>
      </c>
      <c r="K336" s="19">
        <f>(1 + J336)^(1/12) - 1</f>
        <v/>
      </c>
      <c r="L336" s="19">
        <f>L335 / (1 + K336)</f>
        <v/>
      </c>
      <c r="M336" s="19">
        <f>J336 + 0.01</f>
        <v/>
      </c>
      <c r="N336" s="19">
        <f>(1 + M336)^(1/12) - 1</f>
        <v/>
      </c>
      <c r="O336" s="19">
        <f>O335 / (1 + N336)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3.982</v>
      </c>
      <c r="J337" s="21">
        <f>(1 + I337 / 100 / 2)^2 - 1</f>
        <v/>
      </c>
      <c r="K337" s="21">
        <f>(1 + J337)^(1/12) - 1</f>
        <v/>
      </c>
      <c r="L337" s="21">
        <f>L336 / (1 + K337)</f>
        <v/>
      </c>
      <c r="M337" s="21">
        <f>J337 + 0.01</f>
        <v/>
      </c>
      <c r="N337" s="21">
        <f>(1 + M337)^(1/12) - 1</f>
        <v/>
      </c>
      <c r="O337" s="21">
        <f>O336 / (1 + N337)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3.982</v>
      </c>
      <c r="J338" s="19">
        <f>(1 + I338 / 100 / 2)^2 - 1</f>
        <v/>
      </c>
      <c r="K338" s="19">
        <f>(1 + J338)^(1/12) - 1</f>
        <v/>
      </c>
      <c r="L338" s="19">
        <f>L337 / (1 + K338)</f>
        <v/>
      </c>
      <c r="M338" s="19">
        <f>J338 + 0.01</f>
        <v/>
      </c>
      <c r="N338" s="19">
        <f>(1 + M338)^(1/12) - 1</f>
        <v/>
      </c>
      <c r="O338" s="19">
        <f>O337 / (1 + N338)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3.982</v>
      </c>
      <c r="J339" s="21">
        <f>(1 + I339 / 100 / 2)^2 - 1</f>
        <v/>
      </c>
      <c r="K339" s="21">
        <f>(1 + J339)^(1/12) - 1</f>
        <v/>
      </c>
      <c r="L339" s="21">
        <f>L338 / (1 + K339)</f>
        <v/>
      </c>
      <c r="M339" s="21">
        <f>J339 + 0.01</f>
        <v/>
      </c>
      <c r="N339" s="21">
        <f>(1 + M339)^(1/12) - 1</f>
        <v/>
      </c>
      <c r="O339" s="21">
        <f>O338 / (1 + N339)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3.982</v>
      </c>
      <c r="J340" s="19">
        <f>(1 + I340 / 100 / 2)^2 - 1</f>
        <v/>
      </c>
      <c r="K340" s="19">
        <f>(1 + J340)^(1/12) - 1</f>
        <v/>
      </c>
      <c r="L340" s="19">
        <f>L339 / (1 + K340)</f>
        <v/>
      </c>
      <c r="M340" s="19">
        <f>J340 + 0.01</f>
        <v/>
      </c>
      <c r="N340" s="19">
        <f>(1 + M340)^(1/12) - 1</f>
        <v/>
      </c>
      <c r="O340" s="19">
        <f>O339 / (1 + N340)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3.982</v>
      </c>
      <c r="J341" s="21">
        <f>(1 + I341 / 100 / 2)^2 - 1</f>
        <v/>
      </c>
      <c r="K341" s="21">
        <f>(1 + J341)^(1/12) - 1</f>
        <v/>
      </c>
      <c r="L341" s="21">
        <f>L340 / (1 + K341)</f>
        <v/>
      </c>
      <c r="M341" s="21">
        <f>J341 + 0.01</f>
        <v/>
      </c>
      <c r="N341" s="21">
        <f>(1 + M341)^(1/12) - 1</f>
        <v/>
      </c>
      <c r="O341" s="21">
        <f>O340 / (1 + N341)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3.982</v>
      </c>
      <c r="J342" s="19">
        <f>(1 + I342 / 100 / 2)^2 - 1</f>
        <v/>
      </c>
      <c r="K342" s="19">
        <f>(1 + J342)^(1/12) - 1</f>
        <v/>
      </c>
      <c r="L342" s="19">
        <f>L341 / (1 + K342)</f>
        <v/>
      </c>
      <c r="M342" s="19">
        <f>J342 + 0.01</f>
        <v/>
      </c>
      <c r="N342" s="19">
        <f>(1 + M342)^(1/12) - 1</f>
        <v/>
      </c>
      <c r="O342" s="19">
        <f>O341 / (1 + N342)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3.982</v>
      </c>
      <c r="J343" s="21">
        <f>(1 + I343 / 100 / 2)^2 - 1</f>
        <v/>
      </c>
      <c r="K343" s="21">
        <f>(1 + J343)^(1/12) - 1</f>
        <v/>
      </c>
      <c r="L343" s="21">
        <f>L342 / (1 + K343)</f>
        <v/>
      </c>
      <c r="M343" s="21">
        <f>J343 + 0.01</f>
        <v/>
      </c>
      <c r="N343" s="21">
        <f>(1 + M343)^(1/12) - 1</f>
        <v/>
      </c>
      <c r="O343" s="21">
        <f>O342 / (1 + N343)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3.982</v>
      </c>
      <c r="J344" s="19">
        <f>(1 + I344 / 100 / 2)^2 - 1</f>
        <v/>
      </c>
      <c r="K344" s="19">
        <f>(1 + J344)^(1/12) - 1</f>
        <v/>
      </c>
      <c r="L344" s="19">
        <f>L343 / (1 + K344)</f>
        <v/>
      </c>
      <c r="M344" s="19">
        <f>J344 + 0.01</f>
        <v/>
      </c>
      <c r="N344" s="19">
        <f>(1 + M344)^(1/12) - 1</f>
        <v/>
      </c>
      <c r="O344" s="19">
        <f>O343 / (1 + N344)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3.982</v>
      </c>
      <c r="J345" s="21">
        <f>(1 + I345 / 100 / 2)^2 - 1</f>
        <v/>
      </c>
      <c r="K345" s="21">
        <f>(1 + J345)^(1/12) - 1</f>
        <v/>
      </c>
      <c r="L345" s="21">
        <f>L344 / (1 + K345)</f>
        <v/>
      </c>
      <c r="M345" s="21">
        <f>J345 + 0.01</f>
        <v/>
      </c>
      <c r="N345" s="21">
        <f>(1 + M345)^(1/12) - 1</f>
        <v/>
      </c>
      <c r="O345" s="21">
        <f>O344 / (1 + N345)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3.982</v>
      </c>
      <c r="J346" s="19">
        <f>(1 + I346 / 100 / 2)^2 - 1</f>
        <v/>
      </c>
      <c r="K346" s="19">
        <f>(1 + J346)^(1/12) - 1</f>
        <v/>
      </c>
      <c r="L346" s="19">
        <f>L345 / (1 + K346)</f>
        <v/>
      </c>
      <c r="M346" s="19">
        <f>J346 + 0.01</f>
        <v/>
      </c>
      <c r="N346" s="19">
        <f>(1 + M346)^(1/12) - 1</f>
        <v/>
      </c>
      <c r="O346" s="19">
        <f>O345 / (1 + N346)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3.982</v>
      </c>
      <c r="J347" s="21">
        <f>(1 + I347 / 100 / 2)^2 - 1</f>
        <v/>
      </c>
      <c r="K347" s="21">
        <f>(1 + J347)^(1/12) - 1</f>
        <v/>
      </c>
      <c r="L347" s="21">
        <f>L346 / (1 + K347)</f>
        <v/>
      </c>
      <c r="M347" s="21">
        <f>J347 + 0.01</f>
        <v/>
      </c>
      <c r="N347" s="21">
        <f>(1 + M347)^(1/12) - 1</f>
        <v/>
      </c>
      <c r="O347" s="21">
        <f>O346 / (1 + N347)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3.982</v>
      </c>
      <c r="J348" s="19">
        <f>(1 + I348 / 100 / 2)^2 - 1</f>
        <v/>
      </c>
      <c r="K348" s="19">
        <f>(1 + J348)^(1/12) - 1</f>
        <v/>
      </c>
      <c r="L348" s="19">
        <f>L347 / (1 + K348)</f>
        <v/>
      </c>
      <c r="M348" s="19">
        <f>J348 + 0.01</f>
        <v/>
      </c>
      <c r="N348" s="19">
        <f>(1 + M348)^(1/12) - 1</f>
        <v/>
      </c>
      <c r="O348" s="19">
        <f>O347 / (1 + N348)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3.982</v>
      </c>
      <c r="J349" s="21">
        <f>(1 + I349 / 100 / 2)^2 - 1</f>
        <v/>
      </c>
      <c r="K349" s="21">
        <f>(1 + J349)^(1/12) - 1</f>
        <v/>
      </c>
      <c r="L349" s="21">
        <f>L348 / (1 + K349)</f>
        <v/>
      </c>
      <c r="M349" s="21">
        <f>J349 + 0.01</f>
        <v/>
      </c>
      <c r="N349" s="21">
        <f>(1 + M349)^(1/12) - 1</f>
        <v/>
      </c>
      <c r="O349" s="21">
        <f>O348 / (1 + N349)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3.982</v>
      </c>
      <c r="J350" s="19">
        <f>(1 + I350 / 100 / 2)^2 - 1</f>
        <v/>
      </c>
      <c r="K350" s="19">
        <f>(1 + J350)^(1/12) - 1</f>
        <v/>
      </c>
      <c r="L350" s="19">
        <f>L349 / (1 + K350)</f>
        <v/>
      </c>
      <c r="M350" s="19">
        <f>J350 + 0.01</f>
        <v/>
      </c>
      <c r="N350" s="19">
        <f>(1 + M350)^(1/12) - 1</f>
        <v/>
      </c>
      <c r="O350" s="19">
        <f>O349 / (1 + N350)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3.982</v>
      </c>
      <c r="J351" s="21">
        <f>(1 + I351 / 100 / 2)^2 - 1</f>
        <v/>
      </c>
      <c r="K351" s="21">
        <f>(1 + J351)^(1/12) - 1</f>
        <v/>
      </c>
      <c r="L351" s="21">
        <f>L350 / (1 + K351)</f>
        <v/>
      </c>
      <c r="M351" s="21">
        <f>J351 + 0.01</f>
        <v/>
      </c>
      <c r="N351" s="21">
        <f>(1 + M351)^(1/12) - 1</f>
        <v/>
      </c>
      <c r="O351" s="21">
        <f>O350 / (1 + N351)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3.982</v>
      </c>
      <c r="J352" s="19">
        <f>(1 + I352 / 100 / 2)^2 - 1</f>
        <v/>
      </c>
      <c r="K352" s="19">
        <f>(1 + J352)^(1/12) - 1</f>
        <v/>
      </c>
      <c r="L352" s="19">
        <f>L351 / (1 + K352)</f>
        <v/>
      </c>
      <c r="M352" s="19">
        <f>J352 + 0.01</f>
        <v/>
      </c>
      <c r="N352" s="19">
        <f>(1 + M352)^(1/12) - 1</f>
        <v/>
      </c>
      <c r="O352" s="19">
        <f>O351 / (1 + N352)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3.982</v>
      </c>
      <c r="J353" s="21">
        <f>(1 + I353 / 100 / 2)^2 - 1</f>
        <v/>
      </c>
      <c r="K353" s="21">
        <f>(1 + J353)^(1/12) - 1</f>
        <v/>
      </c>
      <c r="L353" s="21">
        <f>L352 / (1 + K353)</f>
        <v/>
      </c>
      <c r="M353" s="21">
        <f>J353 + 0.01</f>
        <v/>
      </c>
      <c r="N353" s="21">
        <f>(1 + M353)^(1/12) - 1</f>
        <v/>
      </c>
      <c r="O353" s="21">
        <f>O352 / (1 + N353)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3.982</v>
      </c>
      <c r="J354" s="19">
        <f>(1 + I354 / 100 / 2)^2 - 1</f>
        <v/>
      </c>
      <c r="K354" s="19">
        <f>(1 + J354)^(1/12) - 1</f>
        <v/>
      </c>
      <c r="L354" s="19">
        <f>L353 / (1 + K354)</f>
        <v/>
      </c>
      <c r="M354" s="19">
        <f>J354 + 0.01</f>
        <v/>
      </c>
      <c r="N354" s="19">
        <f>(1 + M354)^(1/12) - 1</f>
        <v/>
      </c>
      <c r="O354" s="19">
        <f>O353 / (1 + N354)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3.982</v>
      </c>
      <c r="J355" s="21">
        <f>(1 + I355 / 100 / 2)^2 - 1</f>
        <v/>
      </c>
      <c r="K355" s="21">
        <f>(1 + J355)^(1/12) - 1</f>
        <v/>
      </c>
      <c r="L355" s="21">
        <f>L354 / (1 + K355)</f>
        <v/>
      </c>
      <c r="M355" s="21">
        <f>J355 + 0.01</f>
        <v/>
      </c>
      <c r="N355" s="21">
        <f>(1 + M355)^(1/12) - 1</f>
        <v/>
      </c>
      <c r="O355" s="21">
        <f>O354 / (1 + N355)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3.982</v>
      </c>
      <c r="J356" s="19">
        <f>(1 + I356 / 100 / 2)^2 - 1</f>
        <v/>
      </c>
      <c r="K356" s="19">
        <f>(1 + J356)^(1/12) - 1</f>
        <v/>
      </c>
      <c r="L356" s="19">
        <f>L355 / (1 + K356)</f>
        <v/>
      </c>
      <c r="M356" s="19">
        <f>J356 + 0.01</f>
        <v/>
      </c>
      <c r="N356" s="19">
        <f>(1 + M356)^(1/12) - 1</f>
        <v/>
      </c>
      <c r="O356" s="19">
        <f>O355 / (1 + N356)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3.982</v>
      </c>
      <c r="J357" s="21">
        <f>(1 + I357 / 100 / 2)^2 - 1</f>
        <v/>
      </c>
      <c r="K357" s="21">
        <f>(1 + J357)^(1/12) - 1</f>
        <v/>
      </c>
      <c r="L357" s="21">
        <f>L356 / (1 + K357)</f>
        <v/>
      </c>
      <c r="M357" s="21">
        <f>J357 + 0.01</f>
        <v/>
      </c>
      <c r="N357" s="21">
        <f>(1 + M357)^(1/12) - 1</f>
        <v/>
      </c>
      <c r="O357" s="21">
        <f>O356 / (1 + N357)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3.982</v>
      </c>
      <c r="J358" s="19">
        <f>(1 + I358 / 100 / 2)^2 - 1</f>
        <v/>
      </c>
      <c r="K358" s="19">
        <f>(1 + J358)^(1/12) - 1</f>
        <v/>
      </c>
      <c r="L358" s="19">
        <f>L357 / (1 + K358)</f>
        <v/>
      </c>
      <c r="M358" s="19">
        <f>J358 + 0.01</f>
        <v/>
      </c>
      <c r="N358" s="19">
        <f>(1 + M358)^(1/12) - 1</f>
        <v/>
      </c>
      <c r="O358" s="19">
        <f>O357 / (1 + N358)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3.982</v>
      </c>
      <c r="J359" s="21">
        <f>(1 + I359 / 100 / 2)^2 - 1</f>
        <v/>
      </c>
      <c r="K359" s="21">
        <f>(1 + J359)^(1/12) - 1</f>
        <v/>
      </c>
      <c r="L359" s="21">
        <f>L358 / (1 + K359)</f>
        <v/>
      </c>
      <c r="M359" s="21">
        <f>J359 + 0.01</f>
        <v/>
      </c>
      <c r="N359" s="21">
        <f>(1 + M359)^(1/12) - 1</f>
        <v/>
      </c>
      <c r="O359" s="21">
        <f>O358 / (1 + N359)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3.982</v>
      </c>
      <c r="J360" s="19">
        <f>(1 + I360 / 100 / 2)^2 - 1</f>
        <v/>
      </c>
      <c r="K360" s="19">
        <f>(1 + J360)^(1/12) - 1</f>
        <v/>
      </c>
      <c r="L360" s="19">
        <f>L359 / (1 + K360)</f>
        <v/>
      </c>
      <c r="M360" s="19">
        <f>J360 + 0.01</f>
        <v/>
      </c>
      <c r="N360" s="19">
        <f>(1 + M360)^(1/12) - 1</f>
        <v/>
      </c>
      <c r="O360" s="19">
        <f>O359 / (1 + N360)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3.982</v>
      </c>
      <c r="J361" s="21">
        <f>(1 + I361 / 100 / 2)^2 - 1</f>
        <v/>
      </c>
      <c r="K361" s="21">
        <f>(1 + J361)^(1/12) - 1</f>
        <v/>
      </c>
      <c r="L361" s="21">
        <f>L360 / (1 + K361)</f>
        <v/>
      </c>
      <c r="M361" s="21">
        <f>J361 + 0.01</f>
        <v/>
      </c>
      <c r="N361" s="21">
        <f>(1 + M361)^(1/12) - 1</f>
        <v/>
      </c>
      <c r="O361" s="21">
        <f>O360 / (1 + N361)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3.982</v>
      </c>
      <c r="J362" s="19">
        <f>(1 + I362 / 100 / 2)^2 - 1</f>
        <v/>
      </c>
      <c r="K362" s="19">
        <f>(1 + J362)^(1/12) - 1</f>
        <v/>
      </c>
      <c r="L362" s="19">
        <f>L361 / (1 + K362)</f>
        <v/>
      </c>
      <c r="M362" s="19">
        <f>J362 + 0.01</f>
        <v/>
      </c>
      <c r="N362" s="19">
        <f>(1 + M362)^(1/12) - 1</f>
        <v/>
      </c>
      <c r="O362" s="19">
        <f>O361 / (1 + N362)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3.982</v>
      </c>
      <c r="J363" s="21">
        <f>(1 + I363 / 100 / 2)^2 - 1</f>
        <v/>
      </c>
      <c r="K363" s="21">
        <f>(1 + J363)^(1/12) - 1</f>
        <v/>
      </c>
      <c r="L363" s="21">
        <f>L362 / (1 + K363)</f>
        <v/>
      </c>
      <c r="M363" s="21">
        <f>J363 + 0.01</f>
        <v/>
      </c>
      <c r="N363" s="21">
        <f>(1 + M363)^(1/12) - 1</f>
        <v/>
      </c>
      <c r="O363" s="21">
        <f>O362 / (1 + N363)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3.982</v>
      </c>
      <c r="J364" s="19">
        <f>(1 + I364 / 100 / 2)^2 - 1</f>
        <v/>
      </c>
      <c r="K364" s="19">
        <f>(1 + J364)^(1/12) - 1</f>
        <v/>
      </c>
      <c r="L364" s="19">
        <f>L363 / (1 + K364)</f>
        <v/>
      </c>
      <c r="M364" s="19">
        <f>J364 + 0.01</f>
        <v/>
      </c>
      <c r="N364" s="19">
        <f>(1 + M364)^(1/12) - 1</f>
        <v/>
      </c>
      <c r="O364" s="19">
        <f>O363 / (1 + N364)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3.982</v>
      </c>
      <c r="J365" s="21">
        <f>(1 + I365 / 100 / 2)^2 - 1</f>
        <v/>
      </c>
      <c r="K365" s="21">
        <f>(1 + J365)^(1/12) - 1</f>
        <v/>
      </c>
      <c r="L365" s="21">
        <f>L364 / (1 + K365)</f>
        <v/>
      </c>
      <c r="M365" s="21">
        <f>J365 + 0.01</f>
        <v/>
      </c>
      <c r="N365" s="21">
        <f>(1 + M365)^(1/12) - 1</f>
        <v/>
      </c>
      <c r="O365" s="21">
        <f>O364 / (1 + N365)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3.982</v>
      </c>
      <c r="J366" s="19">
        <f>(1 + I366 / 100 / 2)^2 - 1</f>
        <v/>
      </c>
      <c r="K366" s="19">
        <f>(1 + J366)^(1/12) - 1</f>
        <v/>
      </c>
      <c r="L366" s="19">
        <f>L365 / (1 + K366)</f>
        <v/>
      </c>
      <c r="M366" s="19">
        <f>J366 + 0.01</f>
        <v/>
      </c>
      <c r="N366" s="19">
        <f>(1 + M366)^(1/12) - 1</f>
        <v/>
      </c>
      <c r="O366" s="19">
        <f>O365 / (1 + N366)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3.982</v>
      </c>
      <c r="J367" s="21">
        <f>(1 + I367 / 100 / 2)^2 - 1</f>
        <v/>
      </c>
      <c r="K367" s="21">
        <f>(1 + J367)^(1/12) - 1</f>
        <v/>
      </c>
      <c r="L367" s="21">
        <f>L366 / (1 + K367)</f>
        <v/>
      </c>
      <c r="M367" s="21">
        <f>J367 + 0.01</f>
        <v/>
      </c>
      <c r="N367" s="21">
        <f>(1 + M367)^(1/12) - 1</f>
        <v/>
      </c>
      <c r="O367" s="21">
        <f>O366 / (1 + N367)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3.982</v>
      </c>
      <c r="J368" s="19">
        <f>(1 + I368 / 100 / 2)^2 - 1</f>
        <v/>
      </c>
      <c r="K368" s="19">
        <f>(1 + J368)^(1/12) - 1</f>
        <v/>
      </c>
      <c r="L368" s="19">
        <f>L367 / (1 + K368)</f>
        <v/>
      </c>
      <c r="M368" s="19">
        <f>J368 + 0.01</f>
        <v/>
      </c>
      <c r="N368" s="19">
        <f>(1 + M368)^(1/12) - 1</f>
        <v/>
      </c>
      <c r="O368" s="19">
        <f>O367 / (1 + N368)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3.982</v>
      </c>
      <c r="J369" s="21">
        <f>(1 + I369 / 100 / 2)^2 - 1</f>
        <v/>
      </c>
      <c r="K369" s="21">
        <f>(1 + J369)^(1/12) - 1</f>
        <v/>
      </c>
      <c r="L369" s="21">
        <f>L368 / (1 + K369)</f>
        <v/>
      </c>
      <c r="M369" s="21">
        <f>J369 + 0.01</f>
        <v/>
      </c>
      <c r="N369" s="21">
        <f>(1 + M369)^(1/12) - 1</f>
        <v/>
      </c>
      <c r="O369" s="21">
        <f>O368 / (1 + N369)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3.982</v>
      </c>
      <c r="J370" s="19">
        <f>(1 + I370 / 100 / 2)^2 - 1</f>
        <v/>
      </c>
      <c r="K370" s="19">
        <f>(1 + J370)^(1/12) - 1</f>
        <v/>
      </c>
      <c r="L370" s="19">
        <f>L369 / (1 + K370)</f>
        <v/>
      </c>
      <c r="M370" s="19">
        <f>J370 + 0.01</f>
        <v/>
      </c>
      <c r="N370" s="19">
        <f>(1 + M370)^(1/12) - 1</f>
        <v/>
      </c>
      <c r="O370" s="19">
        <f>O369 / (1 + N370)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3.982</v>
      </c>
      <c r="J371" s="21">
        <f>(1 + I371 / 100 / 2)^2 - 1</f>
        <v/>
      </c>
      <c r="K371" s="21">
        <f>(1 + J371)^(1/12) - 1</f>
        <v/>
      </c>
      <c r="L371" s="21">
        <f>L370 / (1 + K371)</f>
        <v/>
      </c>
      <c r="M371" s="21">
        <f>J371 + 0.01</f>
        <v/>
      </c>
      <c r="N371" s="21">
        <f>(1 + M371)^(1/12) - 1</f>
        <v/>
      </c>
      <c r="O371" s="21">
        <f>O370 / (1 + N371)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3.982</v>
      </c>
      <c r="J372" s="19">
        <f>(1 + I372 / 100 / 2)^2 - 1</f>
        <v/>
      </c>
      <c r="K372" s="19">
        <f>(1 + J372)^(1/12) - 1</f>
        <v/>
      </c>
      <c r="L372" s="19">
        <f>L371 / (1 + K372)</f>
        <v/>
      </c>
      <c r="M372" s="19">
        <f>J372 + 0.01</f>
        <v/>
      </c>
      <c r="N372" s="19">
        <f>(1 + M372)^(1/12) - 1</f>
        <v/>
      </c>
      <c r="O372" s="19">
        <f>O371 / (1 + N372)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3.982</v>
      </c>
      <c r="J373" s="21">
        <f>(1 + I373 / 100 / 2)^2 - 1</f>
        <v/>
      </c>
      <c r="K373" s="21">
        <f>(1 + J373)^(1/12) - 1</f>
        <v/>
      </c>
      <c r="L373" s="21">
        <f>L372 / (1 + K373)</f>
        <v/>
      </c>
      <c r="M373" s="21">
        <f>J373 + 0.01</f>
        <v/>
      </c>
      <c r="N373" s="21">
        <f>(1 + M373)^(1/12) - 1</f>
        <v/>
      </c>
      <c r="O373" s="21">
        <f>O372 / (1 + N373)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3.982</v>
      </c>
      <c r="J374" s="19">
        <f>(1 + I374 / 100 / 2)^2 - 1</f>
        <v/>
      </c>
      <c r="K374" s="19">
        <f>(1 + J374)^(1/12) - 1</f>
        <v/>
      </c>
      <c r="L374" s="19">
        <f>L373 / (1 + K374)</f>
        <v/>
      </c>
      <c r="M374" s="19">
        <f>J374 + 0.01</f>
        <v/>
      </c>
      <c r="N374" s="19">
        <f>(1 + M374)^(1/12) - 1</f>
        <v/>
      </c>
      <c r="O374" s="19">
        <f>O373 / (1 + N374)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3.982</v>
      </c>
      <c r="J375" s="21">
        <f>(1 + I375 / 100 / 2)^2 - 1</f>
        <v/>
      </c>
      <c r="K375" s="21">
        <f>(1 + J375)^(1/12) - 1</f>
        <v/>
      </c>
      <c r="L375" s="21">
        <f>L374 / (1 + K375)</f>
        <v/>
      </c>
      <c r="M375" s="21">
        <f>J375 + 0.01</f>
        <v/>
      </c>
      <c r="N375" s="21">
        <f>(1 + M375)^(1/12) - 1</f>
        <v/>
      </c>
      <c r="O375" s="21">
        <f>O374 / (1 + N375)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3.982</v>
      </c>
      <c r="J376" s="19">
        <f>(1 + I376 / 100 / 2)^2 - 1</f>
        <v/>
      </c>
      <c r="K376" s="19">
        <f>(1 + J376)^(1/12) - 1</f>
        <v/>
      </c>
      <c r="L376" s="19">
        <f>L375 / (1 + K376)</f>
        <v/>
      </c>
      <c r="M376" s="19">
        <f>J376 + 0.01</f>
        <v/>
      </c>
      <c r="N376" s="19">
        <f>(1 + M376)^(1/12) - 1</f>
        <v/>
      </c>
      <c r="O376" s="19">
        <f>O375 / (1 + N376)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3.982</v>
      </c>
      <c r="J377" s="21">
        <f>(1 + I377 / 100 / 2)^2 - 1</f>
        <v/>
      </c>
      <c r="K377" s="21">
        <f>(1 + J377)^(1/12) - 1</f>
        <v/>
      </c>
      <c r="L377" s="21">
        <f>L376 / (1 + K377)</f>
        <v/>
      </c>
      <c r="M377" s="21">
        <f>J377 + 0.01</f>
        <v/>
      </c>
      <c r="N377" s="21">
        <f>(1 + M377)^(1/12) - 1</f>
        <v/>
      </c>
      <c r="O377" s="21">
        <f>O376 / (1 + N377)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3.982</v>
      </c>
      <c r="J378" s="19">
        <f>(1 + I378 / 100 / 2)^2 - 1</f>
        <v/>
      </c>
      <c r="K378" s="19">
        <f>(1 + J378)^(1/12) - 1</f>
        <v/>
      </c>
      <c r="L378" s="19">
        <f>L377 / (1 + K378)</f>
        <v/>
      </c>
      <c r="M378" s="19">
        <f>J378 + 0.01</f>
        <v/>
      </c>
      <c r="N378" s="19">
        <f>(1 + M378)^(1/12) - 1</f>
        <v/>
      </c>
      <c r="O378" s="19">
        <f>O377 / (1 + N378)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3.982</v>
      </c>
      <c r="J379" s="21">
        <f>(1 + I379 / 100 / 2)^2 - 1</f>
        <v/>
      </c>
      <c r="K379" s="21">
        <f>(1 + J379)^(1/12) - 1</f>
        <v/>
      </c>
      <c r="L379" s="21">
        <f>L378 / (1 + K379)</f>
        <v/>
      </c>
      <c r="M379" s="21">
        <f>J379 + 0.01</f>
        <v/>
      </c>
      <c r="N379" s="21">
        <f>(1 + M379)^(1/12) - 1</f>
        <v/>
      </c>
      <c r="O379" s="21">
        <f>O378 / (1 + N379)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3.982</v>
      </c>
      <c r="J380" s="19">
        <f>(1 + I380 / 100 / 2)^2 - 1</f>
        <v/>
      </c>
      <c r="K380" s="19">
        <f>(1 + J380)^(1/12) - 1</f>
        <v/>
      </c>
      <c r="L380" s="19">
        <f>L379 / (1 + K380)</f>
        <v/>
      </c>
      <c r="M380" s="19">
        <f>J380 + 0.01</f>
        <v/>
      </c>
      <c r="N380" s="19">
        <f>(1 + M380)^(1/12) - 1</f>
        <v/>
      </c>
      <c r="O380" s="19">
        <f>O379 / (1 + N380)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3.982</v>
      </c>
      <c r="J381" s="21">
        <f>(1 + I381 / 100 / 2)^2 - 1</f>
        <v/>
      </c>
      <c r="K381" s="21">
        <f>(1 + J381)^(1/12) - 1</f>
        <v/>
      </c>
      <c r="L381" s="21">
        <f>L380 / (1 + K381)</f>
        <v/>
      </c>
      <c r="M381" s="21">
        <f>J381 + 0.01</f>
        <v/>
      </c>
      <c r="N381" s="21">
        <f>(1 + M381)^(1/12) - 1</f>
        <v/>
      </c>
      <c r="O381" s="21">
        <f>O380 / (1 + N381)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3.982</v>
      </c>
      <c r="J382" s="19">
        <f>(1 + I382 / 100 / 2)^2 - 1</f>
        <v/>
      </c>
      <c r="K382" s="19">
        <f>(1 + J382)^(1/12) - 1</f>
        <v/>
      </c>
      <c r="L382" s="19">
        <f>L381 / (1 + K382)</f>
        <v/>
      </c>
      <c r="M382" s="19">
        <f>J382 + 0.01</f>
        <v/>
      </c>
      <c r="N382" s="19">
        <f>(1 + M382)^(1/12) - 1</f>
        <v/>
      </c>
      <c r="O382" s="19">
        <f>O381 / (1 + N382)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3.982</v>
      </c>
      <c r="J383" s="21">
        <f>(1 + I383 / 100 / 2)^2 - 1</f>
        <v/>
      </c>
      <c r="K383" s="21">
        <f>(1 + J383)^(1/12) - 1</f>
        <v/>
      </c>
      <c r="L383" s="21">
        <f>L382 / (1 + K383)</f>
        <v/>
      </c>
      <c r="M383" s="21">
        <f>J383 + 0.01</f>
        <v/>
      </c>
      <c r="N383" s="21">
        <f>(1 + M383)^(1/12) - 1</f>
        <v/>
      </c>
      <c r="O383" s="21">
        <f>O382 / (1 + N383)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3.982</v>
      </c>
      <c r="J384" s="19">
        <f>(1 + I384 / 100 / 2)^2 - 1</f>
        <v/>
      </c>
      <c r="K384" s="19">
        <f>(1 + J384)^(1/12) - 1</f>
        <v/>
      </c>
      <c r="L384" s="19">
        <f>L383 / (1 + K384)</f>
        <v/>
      </c>
      <c r="M384" s="19">
        <f>J384 + 0.01</f>
        <v/>
      </c>
      <c r="N384" s="19">
        <f>(1 + M384)^(1/12) - 1</f>
        <v/>
      </c>
      <c r="O384" s="19">
        <f>O383 / (1 + N384)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3.982</v>
      </c>
      <c r="J385" s="21">
        <f>(1 + I385 / 100 / 2)^2 - 1</f>
        <v/>
      </c>
      <c r="K385" s="21">
        <f>(1 + J385)^(1/12) - 1</f>
        <v/>
      </c>
      <c r="L385" s="21">
        <f>L384 / (1 + K385)</f>
        <v/>
      </c>
      <c r="M385" s="21">
        <f>J385 + 0.01</f>
        <v/>
      </c>
      <c r="N385" s="21">
        <f>(1 + M385)^(1/12) - 1</f>
        <v/>
      </c>
      <c r="O385" s="21">
        <f>O384 / (1 + N385)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3.982</v>
      </c>
      <c r="J386" s="19">
        <f>(1 + I386 / 100 / 2)^2 - 1</f>
        <v/>
      </c>
      <c r="K386" s="19">
        <f>(1 + J386)^(1/12) - 1</f>
        <v/>
      </c>
      <c r="L386" s="19">
        <f>L385 / (1 + K386)</f>
        <v/>
      </c>
      <c r="M386" s="19">
        <f>J386 + 0.01</f>
        <v/>
      </c>
      <c r="N386" s="19">
        <f>(1 + M386)^(1/12) - 1</f>
        <v/>
      </c>
      <c r="O386" s="19">
        <f>O385 / (1 + N386)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3.982</v>
      </c>
      <c r="J387" s="21">
        <f>(1 + I387 / 100 / 2)^2 - 1</f>
        <v/>
      </c>
      <c r="K387" s="21">
        <f>(1 + J387)^(1/12) - 1</f>
        <v/>
      </c>
      <c r="L387" s="21">
        <f>L386 / (1 + K387)</f>
        <v/>
      </c>
      <c r="M387" s="21">
        <f>J387 + 0.01</f>
        <v/>
      </c>
      <c r="N387" s="21">
        <f>(1 + M387)^(1/12) - 1</f>
        <v/>
      </c>
      <c r="O387" s="21">
        <f>O386 / (1 + N387)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3.982</v>
      </c>
      <c r="J388" s="19">
        <f>(1 + I388 / 100 / 2)^2 - 1</f>
        <v/>
      </c>
      <c r="K388" s="19">
        <f>(1 + J388)^(1/12) - 1</f>
        <v/>
      </c>
      <c r="L388" s="19">
        <f>L387 / (1 + K388)</f>
        <v/>
      </c>
      <c r="M388" s="19">
        <f>J388 + 0.01</f>
        <v/>
      </c>
      <c r="N388" s="19">
        <f>(1 + M388)^(1/12) - 1</f>
        <v/>
      </c>
      <c r="O388" s="19">
        <f>O387 / (1 + N388)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3.982</v>
      </c>
      <c r="J389" s="21">
        <f>(1 + I389 / 100 / 2)^2 - 1</f>
        <v/>
      </c>
      <c r="K389" s="21">
        <f>(1 + J389)^(1/12) - 1</f>
        <v/>
      </c>
      <c r="L389" s="21">
        <f>L388 / (1 + K389)</f>
        <v/>
      </c>
      <c r="M389" s="21">
        <f>J389 + 0.01</f>
        <v/>
      </c>
      <c r="N389" s="21">
        <f>(1 + M389)^(1/12) - 1</f>
        <v/>
      </c>
      <c r="O389" s="21">
        <f>O388 / (1 + N389)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3.982</v>
      </c>
      <c r="J390" s="19">
        <f>(1 + I390 / 100 / 2)^2 - 1</f>
        <v/>
      </c>
      <c r="K390" s="19">
        <f>(1 + J390)^(1/12) - 1</f>
        <v/>
      </c>
      <c r="L390" s="19">
        <f>L389 / (1 + K390)</f>
        <v/>
      </c>
      <c r="M390" s="19">
        <f>J390 + 0.01</f>
        <v/>
      </c>
      <c r="N390" s="19">
        <f>(1 + M390)^(1/12) - 1</f>
        <v/>
      </c>
      <c r="O390" s="19">
        <f>O389 / (1 + N390)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3.982</v>
      </c>
      <c r="J391" s="21">
        <f>(1 + I391 / 100 / 2)^2 - 1</f>
        <v/>
      </c>
      <c r="K391" s="21">
        <f>(1 + J391)^(1/12) - 1</f>
        <v/>
      </c>
      <c r="L391" s="21">
        <f>L390 / (1 + K391)</f>
        <v/>
      </c>
      <c r="M391" s="21">
        <f>J391 + 0.01</f>
        <v/>
      </c>
      <c r="N391" s="21">
        <f>(1 + M391)^(1/12) - 1</f>
        <v/>
      </c>
      <c r="O391" s="21">
        <f>O390 / (1 + N391)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3.982</v>
      </c>
      <c r="J392" s="19">
        <f>(1 + I392 / 100 / 2)^2 - 1</f>
        <v/>
      </c>
      <c r="K392" s="19">
        <f>(1 + J392)^(1/12) - 1</f>
        <v/>
      </c>
      <c r="L392" s="19">
        <f>L391 / (1 + K392)</f>
        <v/>
      </c>
      <c r="M392" s="19">
        <f>J392 + 0.01</f>
        <v/>
      </c>
      <c r="N392" s="19">
        <f>(1 + M392)^(1/12) - 1</f>
        <v/>
      </c>
      <c r="O392" s="19">
        <f>O391 / (1 + N392)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3.982</v>
      </c>
      <c r="J393" s="21">
        <f>(1 + I393 / 100 / 2)^2 - 1</f>
        <v/>
      </c>
      <c r="K393" s="21">
        <f>(1 + J393)^(1/12) - 1</f>
        <v/>
      </c>
      <c r="L393" s="21">
        <f>L392 / (1 + K393)</f>
        <v/>
      </c>
      <c r="M393" s="21">
        <f>J393 + 0.01</f>
        <v/>
      </c>
      <c r="N393" s="21">
        <f>(1 + M393)^(1/12) - 1</f>
        <v/>
      </c>
      <c r="O393" s="21">
        <f>O392 / (1 + N393)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3.982</v>
      </c>
      <c r="J394" s="19">
        <f>(1 + I394 / 100 / 2)^2 - 1</f>
        <v/>
      </c>
      <c r="K394" s="19">
        <f>(1 + J394)^(1/12) - 1</f>
        <v/>
      </c>
      <c r="L394" s="19">
        <f>L393 / (1 + K394)</f>
        <v/>
      </c>
      <c r="M394" s="19">
        <f>J394 + 0.01</f>
        <v/>
      </c>
      <c r="N394" s="19">
        <f>(1 + M394)^(1/12) - 1</f>
        <v/>
      </c>
      <c r="O394" s="19">
        <f>O393 / (1 + N394)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3.982</v>
      </c>
      <c r="J395" s="21">
        <f>(1 + I395 / 100 / 2)^2 - 1</f>
        <v/>
      </c>
      <c r="K395" s="21">
        <f>(1 + J395)^(1/12) - 1</f>
        <v/>
      </c>
      <c r="L395" s="21">
        <f>L394 / (1 + K395)</f>
        <v/>
      </c>
      <c r="M395" s="21">
        <f>J395 + 0.01</f>
        <v/>
      </c>
      <c r="N395" s="21">
        <f>(1 + M395)^(1/12) - 1</f>
        <v/>
      </c>
      <c r="O395" s="21">
        <f>O394 / (1 + N395)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3.982</v>
      </c>
      <c r="J396" s="19">
        <f>(1 + I396 / 100 / 2)^2 - 1</f>
        <v/>
      </c>
      <c r="K396" s="19">
        <f>(1 + J396)^(1/12) - 1</f>
        <v/>
      </c>
      <c r="L396" s="19">
        <f>L395 / (1 + K396)</f>
        <v/>
      </c>
      <c r="M396" s="19">
        <f>J396 + 0.01</f>
        <v/>
      </c>
      <c r="N396" s="19">
        <f>(1 + M396)^(1/12) - 1</f>
        <v/>
      </c>
      <c r="O396" s="19">
        <f>O395 / (1 + N396)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3.982</v>
      </c>
      <c r="J397" s="21">
        <f>(1 + I397 / 100 / 2)^2 - 1</f>
        <v/>
      </c>
      <c r="K397" s="21">
        <f>(1 + J397)^(1/12) - 1</f>
        <v/>
      </c>
      <c r="L397" s="21">
        <f>L396 / (1 + K397)</f>
        <v/>
      </c>
      <c r="M397" s="21">
        <f>J397 + 0.01</f>
        <v/>
      </c>
      <c r="N397" s="21">
        <f>(1 + M397)^(1/12) - 1</f>
        <v/>
      </c>
      <c r="O397" s="21">
        <f>O396 / (1 + N397)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3.982</v>
      </c>
      <c r="J398" s="19">
        <f>(1 + I398 / 100 / 2)^2 - 1</f>
        <v/>
      </c>
      <c r="K398" s="19">
        <f>(1 + J398)^(1/12) - 1</f>
        <v/>
      </c>
      <c r="L398" s="19">
        <f>L397 / (1 + K398)</f>
        <v/>
      </c>
      <c r="M398" s="19">
        <f>J398 + 0.01</f>
        <v/>
      </c>
      <c r="N398" s="19">
        <f>(1 + M398)^(1/12) - 1</f>
        <v/>
      </c>
      <c r="O398" s="19">
        <f>O397 / (1 + N398)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3.982</v>
      </c>
      <c r="J399" s="21">
        <f>(1 + I399 / 100 / 2)^2 - 1</f>
        <v/>
      </c>
      <c r="K399" s="21">
        <f>(1 + J399)^(1/12) - 1</f>
        <v/>
      </c>
      <c r="L399" s="21">
        <f>L398 / (1 + K399)</f>
        <v/>
      </c>
      <c r="M399" s="21">
        <f>J399 + 0.01</f>
        <v/>
      </c>
      <c r="N399" s="21">
        <f>(1 + M399)^(1/12) - 1</f>
        <v/>
      </c>
      <c r="O399" s="21">
        <f>O398 / (1 + N399)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3.982</v>
      </c>
      <c r="J400" s="19">
        <f>(1 + I400 / 100 / 2)^2 - 1</f>
        <v/>
      </c>
      <c r="K400" s="19">
        <f>(1 + J400)^(1/12) - 1</f>
        <v/>
      </c>
      <c r="L400" s="19">
        <f>L399 / (1 + K400)</f>
        <v/>
      </c>
      <c r="M400" s="19">
        <f>J400 + 0.01</f>
        <v/>
      </c>
      <c r="N400" s="19">
        <f>(1 + M400)^(1/12) - 1</f>
        <v/>
      </c>
      <c r="O400" s="19">
        <f>O399 / (1 + N400)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3.982</v>
      </c>
      <c r="J401" s="21">
        <f>(1 + I401 / 100 / 2)^2 - 1</f>
        <v/>
      </c>
      <c r="K401" s="21">
        <f>(1 + J401)^(1/12) - 1</f>
        <v/>
      </c>
      <c r="L401" s="21">
        <f>L400 / (1 + K401)</f>
        <v/>
      </c>
      <c r="M401" s="21">
        <f>J401 + 0.01</f>
        <v/>
      </c>
      <c r="N401" s="21">
        <f>(1 + M401)^(1/12) - 1</f>
        <v/>
      </c>
      <c r="O401" s="21">
        <f>O400 / (1 + N401)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3.982</v>
      </c>
      <c r="J402" s="19">
        <f>(1 + I402 / 100 / 2)^2 - 1</f>
        <v/>
      </c>
      <c r="K402" s="19">
        <f>(1 + J402)^(1/12) - 1</f>
        <v/>
      </c>
      <c r="L402" s="19">
        <f>L401 / (1 + K402)</f>
        <v/>
      </c>
      <c r="M402" s="19">
        <f>J402 + 0.01</f>
        <v/>
      </c>
      <c r="N402" s="19">
        <f>(1 + M402)^(1/12) - 1</f>
        <v/>
      </c>
      <c r="O402" s="19">
        <f>O401 / (1 + N402)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3.982</v>
      </c>
      <c r="J403" s="21">
        <f>(1 + I403 / 100 / 2)^2 - 1</f>
        <v/>
      </c>
      <c r="K403" s="21">
        <f>(1 + J403)^(1/12) - 1</f>
        <v/>
      </c>
      <c r="L403" s="21">
        <f>L402 / (1 + K403)</f>
        <v/>
      </c>
      <c r="M403" s="21">
        <f>J403 + 0.01</f>
        <v/>
      </c>
      <c r="N403" s="21">
        <f>(1 + M403)^(1/12) - 1</f>
        <v/>
      </c>
      <c r="O403" s="21">
        <f>O402 / (1 + N403)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3.982</v>
      </c>
      <c r="J404" s="19">
        <f>(1 + I404 / 100 / 2)^2 - 1</f>
        <v/>
      </c>
      <c r="K404" s="19">
        <f>(1 + J404)^(1/12) - 1</f>
        <v/>
      </c>
      <c r="L404" s="19">
        <f>L403 / (1 + K404)</f>
        <v/>
      </c>
      <c r="M404" s="19">
        <f>J404 + 0.01</f>
        <v/>
      </c>
      <c r="N404" s="19">
        <f>(1 + M404)^(1/12) - 1</f>
        <v/>
      </c>
      <c r="O404" s="19">
        <f>O403 / (1 + N404)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3.982</v>
      </c>
      <c r="J405" s="21">
        <f>(1 + I405 / 100 / 2)^2 - 1</f>
        <v/>
      </c>
      <c r="K405" s="21">
        <f>(1 + J405)^(1/12) - 1</f>
        <v/>
      </c>
      <c r="L405" s="21">
        <f>L404 / (1 + K405)</f>
        <v/>
      </c>
      <c r="M405" s="21">
        <f>J405 + 0.01</f>
        <v/>
      </c>
      <c r="N405" s="21">
        <f>(1 + M405)^(1/12) - 1</f>
        <v/>
      </c>
      <c r="O405" s="21">
        <f>O404 / (1 + N405)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3.982</v>
      </c>
      <c r="J406" s="19">
        <f>(1 + I406 / 100 / 2)^2 - 1</f>
        <v/>
      </c>
      <c r="K406" s="19">
        <f>(1 + J406)^(1/12) - 1</f>
        <v/>
      </c>
      <c r="L406" s="19">
        <f>L405 / (1 + K406)</f>
        <v/>
      </c>
      <c r="M406" s="19">
        <f>J406 + 0.01</f>
        <v/>
      </c>
      <c r="N406" s="19">
        <f>(1 + M406)^(1/12) - 1</f>
        <v/>
      </c>
      <c r="O406" s="19">
        <f>O405 / (1 + N406)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3.982</v>
      </c>
      <c r="J407" s="21">
        <f>(1 + I407 / 100 / 2)^2 - 1</f>
        <v/>
      </c>
      <c r="K407" s="21">
        <f>(1 + J407)^(1/12) - 1</f>
        <v/>
      </c>
      <c r="L407" s="21">
        <f>L406 / (1 + K407)</f>
        <v/>
      </c>
      <c r="M407" s="21">
        <f>J407 + 0.01</f>
        <v/>
      </c>
      <c r="N407" s="21">
        <f>(1 + M407)^(1/12) - 1</f>
        <v/>
      </c>
      <c r="O407" s="21">
        <f>O406 / (1 + N407)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3.982</v>
      </c>
      <c r="J408" s="19">
        <f>(1 + I408 / 100 / 2)^2 - 1</f>
        <v/>
      </c>
      <c r="K408" s="19">
        <f>(1 + J408)^(1/12) - 1</f>
        <v/>
      </c>
      <c r="L408" s="19">
        <f>L407 / (1 + K408)</f>
        <v/>
      </c>
      <c r="M408" s="19">
        <f>J408 + 0.01</f>
        <v/>
      </c>
      <c r="N408" s="19">
        <f>(1 + M408)^(1/12) - 1</f>
        <v/>
      </c>
      <c r="O408" s="19">
        <f>O407 / (1 + N408)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3.982</v>
      </c>
      <c r="J409" s="21">
        <f>(1 + I409 / 100 / 2)^2 - 1</f>
        <v/>
      </c>
      <c r="K409" s="21">
        <f>(1 + J409)^(1/12) - 1</f>
        <v/>
      </c>
      <c r="L409" s="21">
        <f>L408 / (1 + K409)</f>
        <v/>
      </c>
      <c r="M409" s="21">
        <f>J409 + 0.01</f>
        <v/>
      </c>
      <c r="N409" s="21">
        <f>(1 + M409)^(1/12) - 1</f>
        <v/>
      </c>
      <c r="O409" s="21">
        <f>O408 / (1 + N409)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3.982</v>
      </c>
      <c r="J410" s="19">
        <f>(1 + I410 / 100 / 2)^2 - 1</f>
        <v/>
      </c>
      <c r="K410" s="19">
        <f>(1 + J410)^(1/12) - 1</f>
        <v/>
      </c>
      <c r="L410" s="19">
        <f>L409 / (1 + K410)</f>
        <v/>
      </c>
      <c r="M410" s="19">
        <f>J410 + 0.01</f>
        <v/>
      </c>
      <c r="N410" s="19">
        <f>(1 + M410)^(1/12) - 1</f>
        <v/>
      </c>
      <c r="O410" s="19">
        <f>O409 / (1 + N410)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3.982</v>
      </c>
      <c r="J411" s="21">
        <f>(1 + I411 / 100 / 2)^2 - 1</f>
        <v/>
      </c>
      <c r="K411" s="21">
        <f>(1 + J411)^(1/12) - 1</f>
        <v/>
      </c>
      <c r="L411" s="21">
        <f>L410 / (1 + K411)</f>
        <v/>
      </c>
      <c r="M411" s="21">
        <f>J411 + 0.01</f>
        <v/>
      </c>
      <c r="N411" s="21">
        <f>(1 + M411)^(1/12) - 1</f>
        <v/>
      </c>
      <c r="O411" s="21">
        <f>O410 / (1 + N411)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3.982</v>
      </c>
      <c r="J412" s="19">
        <f>(1 + I412 / 100 / 2)^2 - 1</f>
        <v/>
      </c>
      <c r="K412" s="19">
        <f>(1 + J412)^(1/12) - 1</f>
        <v/>
      </c>
      <c r="L412" s="19">
        <f>L411 / (1 + K412)</f>
        <v/>
      </c>
      <c r="M412" s="19">
        <f>J412 + 0.01</f>
        <v/>
      </c>
      <c r="N412" s="19">
        <f>(1 + M412)^(1/12) - 1</f>
        <v/>
      </c>
      <c r="O412" s="19">
        <f>O411 / (1 + N412)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3.982</v>
      </c>
      <c r="J413" s="21">
        <f>(1 + I413 / 100 / 2)^2 - 1</f>
        <v/>
      </c>
      <c r="K413" s="21">
        <f>(1 + J413)^(1/12) - 1</f>
        <v/>
      </c>
      <c r="L413" s="21">
        <f>L412 / (1 + K413)</f>
        <v/>
      </c>
      <c r="M413" s="21">
        <f>J413 + 0.01</f>
        <v/>
      </c>
      <c r="N413" s="21">
        <f>(1 + M413)^(1/12) - 1</f>
        <v/>
      </c>
      <c r="O413" s="21">
        <f>O412 / (1 + N413)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3.982</v>
      </c>
      <c r="J414" s="19">
        <f>(1 + I414 / 100 / 2)^2 - 1</f>
        <v/>
      </c>
      <c r="K414" s="19">
        <f>(1 + J414)^(1/12) - 1</f>
        <v/>
      </c>
      <c r="L414" s="19">
        <f>L413 / (1 + K414)</f>
        <v/>
      </c>
      <c r="M414" s="19">
        <f>J414 + 0.01</f>
        <v/>
      </c>
      <c r="N414" s="19">
        <f>(1 + M414)^(1/12) - 1</f>
        <v/>
      </c>
      <c r="O414" s="19">
        <f>O413 / (1 + N414)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3.982</v>
      </c>
      <c r="J415" s="21">
        <f>(1 + I415 / 100 / 2)^2 - 1</f>
        <v/>
      </c>
      <c r="K415" s="21">
        <f>(1 + J415)^(1/12) - 1</f>
        <v/>
      </c>
      <c r="L415" s="21">
        <f>L414 / (1 + K415)</f>
        <v/>
      </c>
      <c r="M415" s="21">
        <f>J415 + 0.01</f>
        <v/>
      </c>
      <c r="N415" s="21">
        <f>(1 + M415)^(1/12) - 1</f>
        <v/>
      </c>
      <c r="O415" s="21">
        <f>O414 / (1 + N415)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3.982</v>
      </c>
      <c r="J416" s="19">
        <f>(1 + I416 / 100 / 2)^2 - 1</f>
        <v/>
      </c>
      <c r="K416" s="19">
        <f>(1 + J416)^(1/12) - 1</f>
        <v/>
      </c>
      <c r="L416" s="19">
        <f>L415 / (1 + K416)</f>
        <v/>
      </c>
      <c r="M416" s="19">
        <f>J416 + 0.01</f>
        <v/>
      </c>
      <c r="N416" s="19">
        <f>(1 + M416)^(1/12) - 1</f>
        <v/>
      </c>
      <c r="O416" s="19">
        <f>O415 / (1 + N416)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3.982</v>
      </c>
      <c r="J417" s="21">
        <f>(1 + I417 / 100 / 2)^2 - 1</f>
        <v/>
      </c>
      <c r="K417" s="21">
        <f>(1 + J417)^(1/12) - 1</f>
        <v/>
      </c>
      <c r="L417" s="21">
        <f>L416 / (1 + K417)</f>
        <v/>
      </c>
      <c r="M417" s="21">
        <f>J417 + 0.01</f>
        <v/>
      </c>
      <c r="N417" s="21">
        <f>(1 + M417)^(1/12) - 1</f>
        <v/>
      </c>
      <c r="O417" s="21">
        <f>O416 / (1 + N417)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3.982</v>
      </c>
      <c r="J418" s="19">
        <f>(1 + I418 / 100 / 2)^2 - 1</f>
        <v/>
      </c>
      <c r="K418" s="19">
        <f>(1 + J418)^(1/12) - 1</f>
        <v/>
      </c>
      <c r="L418" s="19">
        <f>L417 / (1 + K418)</f>
        <v/>
      </c>
      <c r="M418" s="19">
        <f>J418 + 0.01</f>
        <v/>
      </c>
      <c r="N418" s="19">
        <f>(1 + M418)^(1/12) - 1</f>
        <v/>
      </c>
      <c r="O418" s="19">
        <f>O417 / (1 + N418)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3.982</v>
      </c>
      <c r="J419" s="21">
        <f>(1 + I419 / 100 / 2)^2 - 1</f>
        <v/>
      </c>
      <c r="K419" s="21">
        <f>(1 + J419)^(1/12) - 1</f>
        <v/>
      </c>
      <c r="L419" s="21">
        <f>L418 / (1 + K419)</f>
        <v/>
      </c>
      <c r="M419" s="21">
        <f>J419 + 0.01</f>
        <v/>
      </c>
      <c r="N419" s="21">
        <f>(1 + M419)^(1/12) - 1</f>
        <v/>
      </c>
      <c r="O419" s="21">
        <f>O418 / (1 + N419)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3.982</v>
      </c>
      <c r="J420" s="19">
        <f>(1 + I420 / 100 / 2)^2 - 1</f>
        <v/>
      </c>
      <c r="K420" s="19">
        <f>(1 + J420)^(1/12) - 1</f>
        <v/>
      </c>
      <c r="L420" s="19">
        <f>L419 / (1 + K420)</f>
        <v/>
      </c>
      <c r="M420" s="19">
        <f>J420 + 0.01</f>
        <v/>
      </c>
      <c r="N420" s="19">
        <f>(1 + M420)^(1/12) - 1</f>
        <v/>
      </c>
      <c r="O420" s="19">
        <f>O419 / (1 + N420)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3.982</v>
      </c>
      <c r="J421" s="21">
        <f>(1 + I421 / 100 / 2)^2 - 1</f>
        <v/>
      </c>
      <c r="K421" s="21">
        <f>(1 + J421)^(1/12) - 1</f>
        <v/>
      </c>
      <c r="L421" s="21">
        <f>L420 / (1 + K421)</f>
        <v/>
      </c>
      <c r="M421" s="21">
        <f>J421 + 0.01</f>
        <v/>
      </c>
      <c r="N421" s="21">
        <f>(1 + M421)^(1/12) - 1</f>
        <v/>
      </c>
      <c r="O421" s="21">
        <f>O420 / (1 + N421)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3.982</v>
      </c>
      <c r="J422" s="19">
        <f>(1 + I422 / 100 / 2)^2 - 1</f>
        <v/>
      </c>
      <c r="K422" s="19">
        <f>(1 + J422)^(1/12) - 1</f>
        <v/>
      </c>
      <c r="L422" s="19">
        <f>L421 / (1 + K422)</f>
        <v/>
      </c>
      <c r="M422" s="19">
        <f>J422 + 0.01</f>
        <v/>
      </c>
      <c r="N422" s="19">
        <f>(1 + M422)^(1/12) - 1</f>
        <v/>
      </c>
      <c r="O422" s="19">
        <f>O421 / (1 + N422)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3.982</v>
      </c>
      <c r="J423" s="21">
        <f>(1 + I423 / 100 / 2)^2 - 1</f>
        <v/>
      </c>
      <c r="K423" s="21">
        <f>(1 + J423)^(1/12) - 1</f>
        <v/>
      </c>
      <c r="L423" s="21">
        <f>L422 / (1 + K423)</f>
        <v/>
      </c>
      <c r="M423" s="21">
        <f>J423 + 0.01</f>
        <v/>
      </c>
      <c r="N423" s="21">
        <f>(1 + M423)^(1/12) - 1</f>
        <v/>
      </c>
      <c r="O423" s="21">
        <f>O422 / (1 + N423)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3.982</v>
      </c>
      <c r="J424" s="19">
        <f>(1 + I424 / 100 / 2)^2 - 1</f>
        <v/>
      </c>
      <c r="K424" s="19">
        <f>(1 + J424)^(1/12) - 1</f>
        <v/>
      </c>
      <c r="L424" s="19">
        <f>L423 / (1 + K424)</f>
        <v/>
      </c>
      <c r="M424" s="19">
        <f>J424 + 0.01</f>
        <v/>
      </c>
      <c r="N424" s="19">
        <f>(1 + M424)^(1/12) - 1</f>
        <v/>
      </c>
      <c r="O424" s="19">
        <f>O423 / (1 + N424)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3.982</v>
      </c>
      <c r="J425" s="21">
        <f>(1 + I425 / 100 / 2)^2 - 1</f>
        <v/>
      </c>
      <c r="K425" s="21">
        <f>(1 + J425)^(1/12) - 1</f>
        <v/>
      </c>
      <c r="L425" s="21">
        <f>L424 / (1 + K425)</f>
        <v/>
      </c>
      <c r="M425" s="21">
        <f>J425 + 0.01</f>
        <v/>
      </c>
      <c r="N425" s="21">
        <f>(1 + M425)^(1/12) - 1</f>
        <v/>
      </c>
      <c r="O425" s="21">
        <f>O424 / (1 + N425)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3.982</v>
      </c>
      <c r="J426" s="19">
        <f>(1 + I426 / 100 / 2)^2 - 1</f>
        <v/>
      </c>
      <c r="K426" s="19">
        <f>(1 + J426)^(1/12) - 1</f>
        <v/>
      </c>
      <c r="L426" s="19">
        <f>L425 / (1 + K426)</f>
        <v/>
      </c>
      <c r="M426" s="19">
        <f>J426 + 0.01</f>
        <v/>
      </c>
      <c r="N426" s="19">
        <f>(1 + M426)^(1/12) - 1</f>
        <v/>
      </c>
      <c r="O426" s="19">
        <f>O425 / (1 + N426)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3.982</v>
      </c>
      <c r="J427" s="21">
        <f>(1 + I427 / 100 / 2)^2 - 1</f>
        <v/>
      </c>
      <c r="K427" s="21">
        <f>(1 + J427)^(1/12) - 1</f>
        <v/>
      </c>
      <c r="L427" s="21">
        <f>L426 / (1 + K427)</f>
        <v/>
      </c>
      <c r="M427" s="21">
        <f>J427 + 0.01</f>
        <v/>
      </c>
      <c r="N427" s="21">
        <f>(1 + M427)^(1/12) - 1</f>
        <v/>
      </c>
      <c r="O427" s="21">
        <f>O426 / (1 + N427)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3.982</v>
      </c>
      <c r="J428" s="19">
        <f>(1 + I428 / 100 / 2)^2 - 1</f>
        <v/>
      </c>
      <c r="K428" s="19">
        <f>(1 + J428)^(1/12) - 1</f>
        <v/>
      </c>
      <c r="L428" s="19">
        <f>L427 / (1 + K428)</f>
        <v/>
      </c>
      <c r="M428" s="19">
        <f>J428 + 0.01</f>
        <v/>
      </c>
      <c r="N428" s="19">
        <f>(1 + M428)^(1/12) - 1</f>
        <v/>
      </c>
      <c r="O428" s="19">
        <f>O427 / (1 + N428)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3.982</v>
      </c>
      <c r="J429" s="21">
        <f>(1 + I429 / 100 / 2)^2 - 1</f>
        <v/>
      </c>
      <c r="K429" s="21">
        <f>(1 + J429)^(1/12) - 1</f>
        <v/>
      </c>
      <c r="L429" s="21">
        <f>L428 / (1 + K429)</f>
        <v/>
      </c>
      <c r="M429" s="21">
        <f>J429 + 0.01</f>
        <v/>
      </c>
      <c r="N429" s="21">
        <f>(1 + M429)^(1/12) - 1</f>
        <v/>
      </c>
      <c r="O429" s="21">
        <f>O428 / (1 + N429)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3.982</v>
      </c>
      <c r="J430" s="19">
        <f>(1 + I430 / 100 / 2)^2 - 1</f>
        <v/>
      </c>
      <c r="K430" s="19">
        <f>(1 + J430)^(1/12) - 1</f>
        <v/>
      </c>
      <c r="L430" s="19">
        <f>L429 / (1 + K430)</f>
        <v/>
      </c>
      <c r="M430" s="19">
        <f>J430 + 0.01</f>
        <v/>
      </c>
      <c r="N430" s="19">
        <f>(1 + M430)^(1/12) - 1</f>
        <v/>
      </c>
      <c r="O430" s="19">
        <f>O429 / (1 + N430)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3.982</v>
      </c>
      <c r="J431" s="21">
        <f>(1 + I431 / 100 / 2)^2 - 1</f>
        <v/>
      </c>
      <c r="K431" s="21">
        <f>(1 + J431)^(1/12) - 1</f>
        <v/>
      </c>
      <c r="L431" s="21">
        <f>L430 / (1 + K431)</f>
        <v/>
      </c>
      <c r="M431" s="21">
        <f>J431 + 0.01</f>
        <v/>
      </c>
      <c r="N431" s="21">
        <f>(1 + M431)^(1/12) - 1</f>
        <v/>
      </c>
      <c r="O431" s="21">
        <f>O430 / (1 + N431)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3.982</v>
      </c>
      <c r="J432" s="19">
        <f>(1 + I432 / 100 / 2)^2 - 1</f>
        <v/>
      </c>
      <c r="K432" s="19">
        <f>(1 + J432)^(1/12) - 1</f>
        <v/>
      </c>
      <c r="L432" s="19">
        <f>L431 / (1 + K432)</f>
        <v/>
      </c>
      <c r="M432" s="19">
        <f>J432 + 0.01</f>
        <v/>
      </c>
      <c r="N432" s="19">
        <f>(1 + M432)^(1/12) - 1</f>
        <v/>
      </c>
      <c r="O432" s="19">
        <f>O431 / (1 + N432)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3.982</v>
      </c>
      <c r="J433" s="21">
        <f>(1 + I433 / 100 / 2)^2 - 1</f>
        <v/>
      </c>
      <c r="K433" s="21">
        <f>(1 + J433)^(1/12) - 1</f>
        <v/>
      </c>
      <c r="L433" s="21">
        <f>L432 / (1 + K433)</f>
        <v/>
      </c>
      <c r="M433" s="21">
        <f>J433 + 0.01</f>
        <v/>
      </c>
      <c r="N433" s="21">
        <f>(1 + M433)^(1/12) - 1</f>
        <v/>
      </c>
      <c r="O433" s="21">
        <f>O432 / (1 + N433)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3.982</v>
      </c>
      <c r="J434" s="19">
        <f>(1 + I434 / 100 / 2)^2 - 1</f>
        <v/>
      </c>
      <c r="K434" s="19">
        <f>(1 + J434)^(1/12) - 1</f>
        <v/>
      </c>
      <c r="L434" s="19">
        <f>L433 / (1 + K434)</f>
        <v/>
      </c>
      <c r="M434" s="19">
        <f>J434 + 0.01</f>
        <v/>
      </c>
      <c r="N434" s="19">
        <f>(1 + M434)^(1/12) - 1</f>
        <v/>
      </c>
      <c r="O434" s="19">
        <f>O433 / (1 + N434)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3.982</v>
      </c>
      <c r="J435" s="21">
        <f>(1 + I435 / 100 / 2)^2 - 1</f>
        <v/>
      </c>
      <c r="K435" s="21">
        <f>(1 + J435)^(1/12) - 1</f>
        <v/>
      </c>
      <c r="L435" s="21">
        <f>L434 / (1 + K435)</f>
        <v/>
      </c>
      <c r="M435" s="21">
        <f>J435 + 0.01</f>
        <v/>
      </c>
      <c r="N435" s="21">
        <f>(1 + M435)^(1/12) - 1</f>
        <v/>
      </c>
      <c r="O435" s="21">
        <f>O434 / (1 + N435)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3.982</v>
      </c>
      <c r="J436" s="19">
        <f>(1 + I436 / 100 / 2)^2 - 1</f>
        <v/>
      </c>
      <c r="K436" s="19">
        <f>(1 + J436)^(1/12) - 1</f>
        <v/>
      </c>
      <c r="L436" s="19">
        <f>L435 / (1 + K436)</f>
        <v/>
      </c>
      <c r="M436" s="19">
        <f>J436 + 0.01</f>
        <v/>
      </c>
      <c r="N436" s="19">
        <f>(1 + M436)^(1/12) - 1</f>
        <v/>
      </c>
      <c r="O436" s="19">
        <f>O435 / (1 + N436)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3.982</v>
      </c>
      <c r="J437" s="21">
        <f>(1 + I437 / 100 / 2)^2 - 1</f>
        <v/>
      </c>
      <c r="K437" s="21">
        <f>(1 + J437)^(1/12) - 1</f>
        <v/>
      </c>
      <c r="L437" s="21">
        <f>L436 / (1 + K437)</f>
        <v/>
      </c>
      <c r="M437" s="21">
        <f>J437 + 0.01</f>
        <v/>
      </c>
      <c r="N437" s="21">
        <f>(1 + M437)^(1/12) - 1</f>
        <v/>
      </c>
      <c r="O437" s="21">
        <f>O436 / (1 + N437)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3.982</v>
      </c>
      <c r="J438" s="19">
        <f>(1 + I438 / 100 / 2)^2 - 1</f>
        <v/>
      </c>
      <c r="K438" s="19">
        <f>(1 + J438)^(1/12) - 1</f>
        <v/>
      </c>
      <c r="L438" s="19">
        <f>L437 / (1 + K438)</f>
        <v/>
      </c>
      <c r="M438" s="19">
        <f>J438 + 0.01</f>
        <v/>
      </c>
      <c r="N438" s="19">
        <f>(1 + M438)^(1/12) - 1</f>
        <v/>
      </c>
      <c r="O438" s="19">
        <f>O437 / (1 + N438)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3.982</v>
      </c>
      <c r="J439" s="21">
        <f>(1 + I439 / 100 / 2)^2 - 1</f>
        <v/>
      </c>
      <c r="K439" s="21">
        <f>(1 + J439)^(1/12) - 1</f>
        <v/>
      </c>
      <c r="L439" s="21">
        <f>L438 / (1 + K439)</f>
        <v/>
      </c>
      <c r="M439" s="21">
        <f>J439 + 0.01</f>
        <v/>
      </c>
      <c r="N439" s="21">
        <f>(1 + M439)^(1/12) - 1</f>
        <v/>
      </c>
      <c r="O439" s="21">
        <f>O438 / (1 + N439)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3.982</v>
      </c>
      <c r="J440" s="19">
        <f>(1 + I440 / 100 / 2)^2 - 1</f>
        <v/>
      </c>
      <c r="K440" s="19">
        <f>(1 + J440)^(1/12) - 1</f>
        <v/>
      </c>
      <c r="L440" s="19">
        <f>L439 / (1 + K440)</f>
        <v/>
      </c>
      <c r="M440" s="19">
        <f>J440 + 0.01</f>
        <v/>
      </c>
      <c r="N440" s="19">
        <f>(1 + M440)^(1/12) - 1</f>
        <v/>
      </c>
      <c r="O440" s="19">
        <f>O439 / (1 + N440)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3.982</v>
      </c>
      <c r="J441" s="21">
        <f>(1 + I441 / 100 / 2)^2 - 1</f>
        <v/>
      </c>
      <c r="K441" s="21">
        <f>(1 + J441)^(1/12) - 1</f>
        <v/>
      </c>
      <c r="L441" s="21">
        <f>L440 / (1 + K441)</f>
        <v/>
      </c>
      <c r="M441" s="21">
        <f>J441 + 0.01</f>
        <v/>
      </c>
      <c r="N441" s="21">
        <f>(1 + M441)^(1/12) - 1</f>
        <v/>
      </c>
      <c r="O441" s="21">
        <f>O440 / (1 + N441)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3.982</v>
      </c>
      <c r="J442" s="19">
        <f>(1 + I442 / 100 / 2)^2 - 1</f>
        <v/>
      </c>
      <c r="K442" s="19">
        <f>(1 + J442)^(1/12) - 1</f>
        <v/>
      </c>
      <c r="L442" s="19">
        <f>L441 / (1 + K442)</f>
        <v/>
      </c>
      <c r="M442" s="19">
        <f>J442 + 0.01</f>
        <v/>
      </c>
      <c r="N442" s="19">
        <f>(1 + M442)^(1/12) - 1</f>
        <v/>
      </c>
      <c r="O442" s="19">
        <f>O441 / (1 + N442)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3.982</v>
      </c>
      <c r="J443" s="21">
        <f>(1 + I443 / 100 / 2)^2 - 1</f>
        <v/>
      </c>
      <c r="K443" s="21">
        <f>(1 + J443)^(1/12) - 1</f>
        <v/>
      </c>
      <c r="L443" s="21">
        <f>L442 / (1 + K443)</f>
        <v/>
      </c>
      <c r="M443" s="21">
        <f>J443 + 0.01</f>
        <v/>
      </c>
      <c r="N443" s="21">
        <f>(1 + M443)^(1/12) - 1</f>
        <v/>
      </c>
      <c r="O443" s="21">
        <f>O442 / (1 + N443)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3.982</v>
      </c>
      <c r="J444" s="19">
        <f>(1 + I444 / 100 / 2)^2 - 1</f>
        <v/>
      </c>
      <c r="K444" s="19">
        <f>(1 + J444)^(1/12) - 1</f>
        <v/>
      </c>
      <c r="L444" s="19">
        <f>L443 / (1 + K444)</f>
        <v/>
      </c>
      <c r="M444" s="19">
        <f>J444 + 0.01</f>
        <v/>
      </c>
      <c r="N444" s="19">
        <f>(1 + M444)^(1/12) - 1</f>
        <v/>
      </c>
      <c r="O444" s="19">
        <f>O443 / (1 + N444)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3.982</v>
      </c>
      <c r="J445" s="21">
        <f>(1 + I445 / 100 / 2)^2 - 1</f>
        <v/>
      </c>
      <c r="K445" s="21">
        <f>(1 + J445)^(1/12) - 1</f>
        <v/>
      </c>
      <c r="L445" s="21">
        <f>L444 / (1 + K445)</f>
        <v/>
      </c>
      <c r="M445" s="21">
        <f>J445 + 0.01</f>
        <v/>
      </c>
      <c r="N445" s="21">
        <f>(1 + M445)^(1/12) - 1</f>
        <v/>
      </c>
      <c r="O445" s="21">
        <f>O444 / (1 + N445)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3.982</v>
      </c>
      <c r="J446" s="19">
        <f>(1 + I446 / 100 / 2)^2 - 1</f>
        <v/>
      </c>
      <c r="K446" s="19">
        <f>(1 + J446)^(1/12) - 1</f>
        <v/>
      </c>
      <c r="L446" s="19">
        <f>L445 / (1 + K446)</f>
        <v/>
      </c>
      <c r="M446" s="19">
        <f>J446 + 0.01</f>
        <v/>
      </c>
      <c r="N446" s="19">
        <f>(1 + M446)^(1/12) - 1</f>
        <v/>
      </c>
      <c r="O446" s="19">
        <f>O445 / (1 + N446)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3.982</v>
      </c>
      <c r="J447" s="21">
        <f>(1 + I447 / 100 / 2)^2 - 1</f>
        <v/>
      </c>
      <c r="K447" s="21">
        <f>(1 + J447)^(1/12) - 1</f>
        <v/>
      </c>
      <c r="L447" s="21">
        <f>L446 / (1 + K447)</f>
        <v/>
      </c>
      <c r="M447" s="21">
        <f>J447 + 0.01</f>
        <v/>
      </c>
      <c r="N447" s="21">
        <f>(1 + M447)^(1/12) - 1</f>
        <v/>
      </c>
      <c r="O447" s="21">
        <f>O446 / (1 + N447)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3.982</v>
      </c>
      <c r="J448" s="19">
        <f>(1 + I448 / 100 / 2)^2 - 1</f>
        <v/>
      </c>
      <c r="K448" s="19">
        <f>(1 + J448)^(1/12) - 1</f>
        <v/>
      </c>
      <c r="L448" s="19">
        <f>L447 / (1 + K448)</f>
        <v/>
      </c>
      <c r="M448" s="19">
        <f>J448 + 0.01</f>
        <v/>
      </c>
      <c r="N448" s="19">
        <f>(1 + M448)^(1/12) - 1</f>
        <v/>
      </c>
      <c r="O448" s="19">
        <f>O447 / (1 + N448)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3.982</v>
      </c>
      <c r="J449" s="21">
        <f>(1 + I449 / 100 / 2)^2 - 1</f>
        <v/>
      </c>
      <c r="K449" s="21">
        <f>(1 + J449)^(1/12) - 1</f>
        <v/>
      </c>
      <c r="L449" s="21">
        <f>L448 / (1 + K449)</f>
        <v/>
      </c>
      <c r="M449" s="21">
        <f>J449 + 0.01</f>
        <v/>
      </c>
      <c r="N449" s="21">
        <f>(1 + M449)^(1/12) - 1</f>
        <v/>
      </c>
      <c r="O449" s="21">
        <f>O448 / (1 + N449)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3.982</v>
      </c>
      <c r="J450" s="19">
        <f>(1 + I450 / 100 / 2)^2 - 1</f>
        <v/>
      </c>
      <c r="K450" s="19">
        <f>(1 + J450)^(1/12) - 1</f>
        <v/>
      </c>
      <c r="L450" s="19">
        <f>L449 / (1 + K450)</f>
        <v/>
      </c>
      <c r="M450" s="19">
        <f>J450 + 0.01</f>
        <v/>
      </c>
      <c r="N450" s="19">
        <f>(1 + M450)^(1/12) - 1</f>
        <v/>
      </c>
      <c r="O450" s="19">
        <f>O449 / (1 + N450)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3.982</v>
      </c>
      <c r="J451" s="21">
        <f>(1 + I451 / 100 / 2)^2 - 1</f>
        <v/>
      </c>
      <c r="K451" s="21">
        <f>(1 + J451)^(1/12) - 1</f>
        <v/>
      </c>
      <c r="L451" s="21">
        <f>L450 / (1 + K451)</f>
        <v/>
      </c>
      <c r="M451" s="21">
        <f>J451 + 0.01</f>
        <v/>
      </c>
      <c r="N451" s="21">
        <f>(1 + M451)^(1/12) - 1</f>
        <v/>
      </c>
      <c r="O451" s="21">
        <f>O450 / (1 + N451)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3.982</v>
      </c>
      <c r="J452" s="19">
        <f>(1 + I452 / 100 / 2)^2 - 1</f>
        <v/>
      </c>
      <c r="K452" s="19">
        <f>(1 + J452)^(1/12) - 1</f>
        <v/>
      </c>
      <c r="L452" s="19">
        <f>L451 / (1 + K452)</f>
        <v/>
      </c>
      <c r="M452" s="19">
        <f>J452 + 0.01</f>
        <v/>
      </c>
      <c r="N452" s="19">
        <f>(1 + M452)^(1/12) - 1</f>
        <v/>
      </c>
      <c r="O452" s="19">
        <f>O451 / (1 + N452)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3.982</v>
      </c>
      <c r="J453" s="21">
        <f>(1 + I453 / 100 / 2)^2 - 1</f>
        <v/>
      </c>
      <c r="K453" s="21">
        <f>(1 + J453)^(1/12) - 1</f>
        <v/>
      </c>
      <c r="L453" s="21">
        <f>L452 / (1 + K453)</f>
        <v/>
      </c>
      <c r="M453" s="21">
        <f>J453 + 0.01</f>
        <v/>
      </c>
      <c r="N453" s="21">
        <f>(1 + M453)^(1/12) - 1</f>
        <v/>
      </c>
      <c r="O453" s="21">
        <f>O452 / (1 + N453)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3.982</v>
      </c>
      <c r="J454" s="19">
        <f>(1 + I454 / 100 / 2)^2 - 1</f>
        <v/>
      </c>
      <c r="K454" s="19">
        <f>(1 + J454)^(1/12) - 1</f>
        <v/>
      </c>
      <c r="L454" s="19">
        <f>L453 / (1 + K454)</f>
        <v/>
      </c>
      <c r="M454" s="19">
        <f>J454 + 0.01</f>
        <v/>
      </c>
      <c r="N454" s="19">
        <f>(1 + M454)^(1/12) - 1</f>
        <v/>
      </c>
      <c r="O454" s="19">
        <f>O453 / (1 + N454)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3.982</v>
      </c>
      <c r="J455" s="21">
        <f>(1 + I455 / 100 / 2)^2 - 1</f>
        <v/>
      </c>
      <c r="K455" s="21">
        <f>(1 + J455)^(1/12) - 1</f>
        <v/>
      </c>
      <c r="L455" s="21">
        <f>L454 / (1 + K455)</f>
        <v/>
      </c>
      <c r="M455" s="21">
        <f>J455 + 0.01</f>
        <v/>
      </c>
      <c r="N455" s="21">
        <f>(1 + M455)^(1/12) - 1</f>
        <v/>
      </c>
      <c r="O455" s="21">
        <f>O454 / (1 + N455)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3.982</v>
      </c>
      <c r="J456" s="19">
        <f>(1 + I456 / 100 / 2)^2 - 1</f>
        <v/>
      </c>
      <c r="K456" s="19">
        <f>(1 + J456)^(1/12) - 1</f>
        <v/>
      </c>
      <c r="L456" s="19">
        <f>L455 / (1 + K456)</f>
        <v/>
      </c>
      <c r="M456" s="19">
        <f>J456 + 0.01</f>
        <v/>
      </c>
      <c r="N456" s="19">
        <f>(1 + M456)^(1/12) - 1</f>
        <v/>
      </c>
      <c r="O456" s="19">
        <f>O455 / (1 + N456)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3.982</v>
      </c>
      <c r="J457" s="21">
        <f>(1 + I457 / 100 / 2)^2 - 1</f>
        <v/>
      </c>
      <c r="K457" s="21">
        <f>(1 + J457)^(1/12) - 1</f>
        <v/>
      </c>
      <c r="L457" s="21">
        <f>L456 / (1 + K457)</f>
        <v/>
      </c>
      <c r="M457" s="21">
        <f>J457 + 0.01</f>
        <v/>
      </c>
      <c r="N457" s="21">
        <f>(1 + M457)^(1/12) - 1</f>
        <v/>
      </c>
      <c r="O457" s="21">
        <f>O456 / (1 + N457)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3.982</v>
      </c>
      <c r="J458" s="19">
        <f>(1 + I458 / 100 / 2)^2 - 1</f>
        <v/>
      </c>
      <c r="K458" s="19">
        <f>(1 + J458)^(1/12) - 1</f>
        <v/>
      </c>
      <c r="L458" s="19">
        <f>L457 / (1 + K458)</f>
        <v/>
      </c>
      <c r="M458" s="19">
        <f>J458 + 0.01</f>
        <v/>
      </c>
      <c r="N458" s="19">
        <f>(1 + M458)^(1/12) - 1</f>
        <v/>
      </c>
      <c r="O458" s="19">
        <f>O457 / (1 + N458)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3.982</v>
      </c>
      <c r="J459" s="21">
        <f>(1 + I459 / 100 / 2)^2 - 1</f>
        <v/>
      </c>
      <c r="K459" s="21">
        <f>(1 + J459)^(1/12) - 1</f>
        <v/>
      </c>
      <c r="L459" s="21">
        <f>L458 / (1 + K459)</f>
        <v/>
      </c>
      <c r="M459" s="21">
        <f>J459 + 0.01</f>
        <v/>
      </c>
      <c r="N459" s="21">
        <f>(1 + M459)^(1/12) - 1</f>
        <v/>
      </c>
      <c r="O459" s="21">
        <f>O458 / (1 + N459)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3.982</v>
      </c>
      <c r="J460" s="19">
        <f>(1 + I460 / 100 / 2)^2 - 1</f>
        <v/>
      </c>
      <c r="K460" s="19">
        <f>(1 + J460)^(1/12) - 1</f>
        <v/>
      </c>
      <c r="L460" s="19">
        <f>L459 / (1 + K460)</f>
        <v/>
      </c>
      <c r="M460" s="19">
        <f>J460 + 0.01</f>
        <v/>
      </c>
      <c r="N460" s="19">
        <f>(1 + M460)^(1/12) - 1</f>
        <v/>
      </c>
      <c r="O460" s="19">
        <f>O459 / (1 + N460)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3.982</v>
      </c>
      <c r="J461" s="21">
        <f>(1 + I461 / 100 / 2)^2 - 1</f>
        <v/>
      </c>
      <c r="K461" s="21">
        <f>(1 + J461)^(1/12) - 1</f>
        <v/>
      </c>
      <c r="L461" s="21">
        <f>L460 / (1 + K461)</f>
        <v/>
      </c>
      <c r="M461" s="21">
        <f>J461 + 0.01</f>
        <v/>
      </c>
      <c r="N461" s="21">
        <f>(1 + M461)^(1/12) - 1</f>
        <v/>
      </c>
      <c r="O461" s="21">
        <f>O460 / (1 + N461)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3.982</v>
      </c>
      <c r="J462" s="19">
        <f>(1 + I462 / 100 / 2)^2 - 1</f>
        <v/>
      </c>
      <c r="K462" s="19">
        <f>(1 + J462)^(1/12) - 1</f>
        <v/>
      </c>
      <c r="L462" s="19">
        <f>L461 / (1 + K462)</f>
        <v/>
      </c>
      <c r="M462" s="19">
        <f>J462 + 0.01</f>
        <v/>
      </c>
      <c r="N462" s="19">
        <f>(1 + M462)^(1/12) - 1</f>
        <v/>
      </c>
      <c r="O462" s="19">
        <f>O461 / (1 + N462)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3.982</v>
      </c>
      <c r="J463" s="21">
        <f>(1 + I463 / 100 / 2)^2 - 1</f>
        <v/>
      </c>
      <c r="K463" s="21">
        <f>(1 + J463)^(1/12) - 1</f>
        <v/>
      </c>
      <c r="L463" s="21">
        <f>L462 / (1 + K463)</f>
        <v/>
      </c>
      <c r="M463" s="21">
        <f>J463 + 0.01</f>
        <v/>
      </c>
      <c r="N463" s="21">
        <f>(1 + M463)^(1/12) - 1</f>
        <v/>
      </c>
      <c r="O463" s="21">
        <f>O462 / (1 + N463)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3.982</v>
      </c>
      <c r="J464" s="19">
        <f>(1 + I464 / 100 / 2)^2 - 1</f>
        <v/>
      </c>
      <c r="K464" s="19">
        <f>(1 + J464)^(1/12) - 1</f>
        <v/>
      </c>
      <c r="L464" s="19">
        <f>L463 / (1 + K464)</f>
        <v/>
      </c>
      <c r="M464" s="19">
        <f>J464 + 0.01</f>
        <v/>
      </c>
      <c r="N464" s="19">
        <f>(1 + M464)^(1/12) - 1</f>
        <v/>
      </c>
      <c r="O464" s="19">
        <f>O463 / (1 + N464)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3.982</v>
      </c>
      <c r="J465" s="21">
        <f>(1 + I465 / 100 / 2)^2 - 1</f>
        <v/>
      </c>
      <c r="K465" s="21">
        <f>(1 + J465)^(1/12) - 1</f>
        <v/>
      </c>
      <c r="L465" s="21">
        <f>L464 / (1 + K465)</f>
        <v/>
      </c>
      <c r="M465" s="21">
        <f>J465 + 0.01</f>
        <v/>
      </c>
      <c r="N465" s="21">
        <f>(1 + M465)^(1/12) - 1</f>
        <v/>
      </c>
      <c r="O465" s="21">
        <f>O464 / (1 + N465)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3.982</v>
      </c>
      <c r="J466" s="19">
        <f>(1 + I466 / 100 / 2)^2 - 1</f>
        <v/>
      </c>
      <c r="K466" s="19">
        <f>(1 + J466)^(1/12) - 1</f>
        <v/>
      </c>
      <c r="L466" s="19">
        <f>L465 / (1 + K466)</f>
        <v/>
      </c>
      <c r="M466" s="19">
        <f>J466 + 0.01</f>
        <v/>
      </c>
      <c r="N466" s="19">
        <f>(1 + M466)^(1/12) - 1</f>
        <v/>
      </c>
      <c r="O466" s="19">
        <f>O465 / (1 + N466)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3.982</v>
      </c>
      <c r="J467" s="21">
        <f>(1 + I467 / 100 / 2)^2 - 1</f>
        <v/>
      </c>
      <c r="K467" s="21">
        <f>(1 + J467)^(1/12) - 1</f>
        <v/>
      </c>
      <c r="L467" s="21">
        <f>L466 / (1 + K467)</f>
        <v/>
      </c>
      <c r="M467" s="21">
        <f>J467 + 0.01</f>
        <v/>
      </c>
      <c r="N467" s="21">
        <f>(1 + M467)^(1/12) - 1</f>
        <v/>
      </c>
      <c r="O467" s="21">
        <f>O466 / (1 + N467)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3.982</v>
      </c>
      <c r="J468" s="19">
        <f>(1 + I468 / 100 / 2)^2 - 1</f>
        <v/>
      </c>
      <c r="K468" s="19">
        <f>(1 + J468)^(1/12) - 1</f>
        <v/>
      </c>
      <c r="L468" s="19">
        <f>L467 / (1 + K468)</f>
        <v/>
      </c>
      <c r="M468" s="19">
        <f>J468 + 0.01</f>
        <v/>
      </c>
      <c r="N468" s="19">
        <f>(1 + M468)^(1/12) - 1</f>
        <v/>
      </c>
      <c r="O468" s="19">
        <f>O467 / (1 + N468)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3.982</v>
      </c>
      <c r="J469" s="21">
        <f>(1 + I469 / 100 / 2)^2 - 1</f>
        <v/>
      </c>
      <c r="K469" s="21">
        <f>(1 + J469)^(1/12) - 1</f>
        <v/>
      </c>
      <c r="L469" s="21">
        <f>L468 / (1 + K469)</f>
        <v/>
      </c>
      <c r="M469" s="21">
        <f>J469 + 0.01</f>
        <v/>
      </c>
      <c r="N469" s="21">
        <f>(1 + M469)^(1/12) - 1</f>
        <v/>
      </c>
      <c r="O469" s="21">
        <f>O468 / (1 + N469)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3.982</v>
      </c>
      <c r="J470" s="19">
        <f>(1 + I470 / 100 / 2)^2 - 1</f>
        <v/>
      </c>
      <c r="K470" s="19">
        <f>(1 + J470)^(1/12) - 1</f>
        <v/>
      </c>
      <c r="L470" s="19">
        <f>L469 / (1 + K470)</f>
        <v/>
      </c>
      <c r="M470" s="19">
        <f>J470 + 0.01</f>
        <v/>
      </c>
      <c r="N470" s="19">
        <f>(1 + M470)^(1/12) - 1</f>
        <v/>
      </c>
      <c r="O470" s="19">
        <f>O469 / (1 + N470)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3.982</v>
      </c>
      <c r="J471" s="21">
        <f>(1 + I471 / 100 / 2)^2 - 1</f>
        <v/>
      </c>
      <c r="K471" s="21">
        <f>(1 + J471)^(1/12) - 1</f>
        <v/>
      </c>
      <c r="L471" s="21">
        <f>L470 / (1 + K471)</f>
        <v/>
      </c>
      <c r="M471" s="21">
        <f>J471 + 0.01</f>
        <v/>
      </c>
      <c r="N471" s="21">
        <f>(1 + M471)^(1/12) - 1</f>
        <v/>
      </c>
      <c r="O471" s="21">
        <f>O470 / (1 + N471)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3.982</v>
      </c>
      <c r="J472" s="19">
        <f>(1 + I472 / 100 / 2)^2 - 1</f>
        <v/>
      </c>
      <c r="K472" s="19">
        <f>(1 + J472)^(1/12) - 1</f>
        <v/>
      </c>
      <c r="L472" s="19">
        <f>L471 / (1 + K472)</f>
        <v/>
      </c>
      <c r="M472" s="19">
        <f>J472 + 0.01</f>
        <v/>
      </c>
      <c r="N472" s="19">
        <f>(1 + M472)^(1/12) - 1</f>
        <v/>
      </c>
      <c r="O472" s="19">
        <f>O471 / (1 + N472)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3.982</v>
      </c>
      <c r="J473" s="21">
        <f>(1 + I473 / 100 / 2)^2 - 1</f>
        <v/>
      </c>
      <c r="K473" s="21">
        <f>(1 + J473)^(1/12) - 1</f>
        <v/>
      </c>
      <c r="L473" s="21">
        <f>L472 / (1 + K473)</f>
        <v/>
      </c>
      <c r="M473" s="21">
        <f>J473 + 0.01</f>
        <v/>
      </c>
      <c r="N473" s="21">
        <f>(1 + M473)^(1/12) - 1</f>
        <v/>
      </c>
      <c r="O473" s="21">
        <f>O472 / (1 + N473)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3.982</v>
      </c>
      <c r="J474" s="19">
        <f>(1 + I474 / 100 / 2)^2 - 1</f>
        <v/>
      </c>
      <c r="K474" s="19">
        <f>(1 + J474)^(1/12) - 1</f>
        <v/>
      </c>
      <c r="L474" s="19">
        <f>L473 / (1 + K474)</f>
        <v/>
      </c>
      <c r="M474" s="19">
        <f>J474 + 0.01</f>
        <v/>
      </c>
      <c r="N474" s="19">
        <f>(1 + M474)^(1/12) - 1</f>
        <v/>
      </c>
      <c r="O474" s="19">
        <f>O473 / (1 + N474)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3.982</v>
      </c>
      <c r="J475" s="21">
        <f>(1 + I475 / 100 / 2)^2 - 1</f>
        <v/>
      </c>
      <c r="K475" s="21">
        <f>(1 + J475)^(1/12) - 1</f>
        <v/>
      </c>
      <c r="L475" s="21">
        <f>L474 / (1 + K475)</f>
        <v/>
      </c>
      <c r="M475" s="21">
        <f>J475 + 0.01</f>
        <v/>
      </c>
      <c r="N475" s="21">
        <f>(1 + M475)^(1/12) - 1</f>
        <v/>
      </c>
      <c r="O475" s="21">
        <f>O474 / (1 + N475)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3.982</v>
      </c>
      <c r="J476" s="19">
        <f>(1 + I476 / 100 / 2)^2 - 1</f>
        <v/>
      </c>
      <c r="K476" s="19">
        <f>(1 + J476)^(1/12) - 1</f>
        <v/>
      </c>
      <c r="L476" s="19">
        <f>L475 / (1 + K476)</f>
        <v/>
      </c>
      <c r="M476" s="19">
        <f>J476 + 0.01</f>
        <v/>
      </c>
      <c r="N476" s="19">
        <f>(1 + M476)^(1/12) - 1</f>
        <v/>
      </c>
      <c r="O476" s="19">
        <f>O475 / (1 + N476)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3.982</v>
      </c>
      <c r="J477" s="21">
        <f>(1 + I477 / 100 / 2)^2 - 1</f>
        <v/>
      </c>
      <c r="K477" s="21">
        <f>(1 + J477)^(1/12) - 1</f>
        <v/>
      </c>
      <c r="L477" s="21">
        <f>L476 / (1 + K477)</f>
        <v/>
      </c>
      <c r="M477" s="21">
        <f>J477 + 0.01</f>
        <v/>
      </c>
      <c r="N477" s="21">
        <f>(1 + M477)^(1/12) - 1</f>
        <v/>
      </c>
      <c r="O477" s="21">
        <f>O476 / (1 + N477)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3.982</v>
      </c>
      <c r="J478" s="19">
        <f>(1 + I478 / 100 / 2)^2 - 1</f>
        <v/>
      </c>
      <c r="K478" s="19">
        <f>(1 + J478)^(1/12) - 1</f>
        <v/>
      </c>
      <c r="L478" s="19">
        <f>L477 / (1 + K478)</f>
        <v/>
      </c>
      <c r="M478" s="19">
        <f>J478 + 0.01</f>
        <v/>
      </c>
      <c r="N478" s="19">
        <f>(1 + M478)^(1/12) - 1</f>
        <v/>
      </c>
      <c r="O478" s="19">
        <f>O477 / (1 + N478)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3.982</v>
      </c>
      <c r="J479" s="21">
        <f>(1 + I479 / 100 / 2)^2 - 1</f>
        <v/>
      </c>
      <c r="K479" s="21">
        <f>(1 + J479)^(1/12) - 1</f>
        <v/>
      </c>
      <c r="L479" s="21">
        <f>L478 / (1 + K479)</f>
        <v/>
      </c>
      <c r="M479" s="21">
        <f>J479 + 0.01</f>
        <v/>
      </c>
      <c r="N479" s="21">
        <f>(1 + M479)^(1/12) - 1</f>
        <v/>
      </c>
      <c r="O479" s="21">
        <f>O478 / (1 + N479)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3.982</v>
      </c>
      <c r="J480" s="19">
        <f>(1 + I480 / 100 / 2)^2 - 1</f>
        <v/>
      </c>
      <c r="K480" s="19">
        <f>(1 + J480)^(1/12) - 1</f>
        <v/>
      </c>
      <c r="L480" s="19">
        <f>L479 / (1 + K480)</f>
        <v/>
      </c>
      <c r="M480" s="19">
        <f>J480 + 0.01</f>
        <v/>
      </c>
      <c r="N480" s="19">
        <f>(1 + M480)^(1/12) - 1</f>
        <v/>
      </c>
      <c r="O480" s="19">
        <f>O479 / (1 + N480)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3.982</v>
      </c>
      <c r="J481" s="21">
        <f>(1 + I481 / 100 / 2)^2 - 1</f>
        <v/>
      </c>
      <c r="K481" s="21">
        <f>(1 + J481)^(1/12) - 1</f>
        <v/>
      </c>
      <c r="L481" s="21">
        <f>L480 / (1 + K481)</f>
        <v/>
      </c>
      <c r="M481" s="21">
        <f>J481 + 0.01</f>
        <v/>
      </c>
      <c r="N481" s="21">
        <f>(1 + M481)^(1/12) - 1</f>
        <v/>
      </c>
      <c r="O481" s="21">
        <f>O480 / (1 + N481)</f>
        <v/>
      </c>
    </row>
  </sheetData>
  <autoFilter ref="A1:O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833C00"/>
    <outlinePr summaryBelow="1" summaryRight="1"/>
    <pageSetUpPr/>
  </sheetPr>
  <dimension ref="A1:N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growth_f1</t>
        </is>
      </c>
      <c r="J1" s="23" t="inlineStr">
        <is>
          <t>growth_f2</t>
        </is>
      </c>
      <c r="K1" s="23" t="inlineStr">
        <is>
          <t>growth_f3</t>
        </is>
      </c>
      <c r="L1" s="23" t="inlineStr">
        <is>
          <t>growth_f4</t>
        </is>
      </c>
      <c r="M1" s="23" t="inlineStr">
        <is>
          <t>growth_f5</t>
        </is>
      </c>
      <c r="N1" s="23" t="inlineStr">
        <is>
          <t>growth_f6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>
        <f>(1 + ([eq_growth_f1] + [eq_income_f1]) / 100)^(1/12) - 1</f>
        <v/>
      </c>
      <c r="J2" s="19">
        <f>(1 + ([eq_growth_f2] + [eq_income_f2]) / 100)^(1/12) - 1</f>
        <v/>
      </c>
      <c r="K2" s="19">
        <f>(1 + ([eq_growth_f3] + [eq_income_f3]) / 100)^(1/12) - 1</f>
        <v/>
      </c>
      <c r="L2" s="19">
        <f>(1 + ([eq_growth_f4] + [eq_income_f4]) / 100)^(1/12) - 1</f>
        <v/>
      </c>
      <c r="M2" s="19">
        <f>(1 + ([eq_growth_f5] + [eq_income_f5]) / 100)^(1/12) - 1</f>
        <v/>
      </c>
      <c r="N2" s="19">
        <f>(1 + ([eq_growth_f6] + [eq_income_f6]) / 100)^(1/12) - 1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>
        <f>(1 + ([eq_growth_f1] + [eq_income_f1]) / 100)^(1/12) - 1</f>
        <v/>
      </c>
      <c r="J3" s="21">
        <f>(1 + ([eq_growth_f2] + [eq_income_f2]) / 100)^(1/12) - 1</f>
        <v/>
      </c>
      <c r="K3" s="21">
        <f>(1 + ([eq_growth_f3] + [eq_income_f3]) / 100)^(1/12) - 1</f>
        <v/>
      </c>
      <c r="L3" s="21">
        <f>(1 + ([eq_growth_f4] + [eq_income_f4]) / 100)^(1/12) - 1</f>
        <v/>
      </c>
      <c r="M3" s="21">
        <f>(1 + ([eq_growth_f5] + [eq_income_f5]) / 100)^(1/12) - 1</f>
        <v/>
      </c>
      <c r="N3" s="21">
        <f>(1 + ([eq_growth_f6] + [eq_income_f6]) / 100)^(1/12) - 1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>
        <f>(1 + ([eq_growth_f1] + [eq_income_f1]) / 100)^(1/12) - 1</f>
        <v/>
      </c>
      <c r="J4" s="19">
        <f>(1 + ([eq_growth_f2] + [eq_income_f2]) / 100)^(1/12) - 1</f>
        <v/>
      </c>
      <c r="K4" s="19">
        <f>(1 + ([eq_growth_f3] + [eq_income_f3]) / 100)^(1/12) - 1</f>
        <v/>
      </c>
      <c r="L4" s="19">
        <f>(1 + ([eq_growth_f4] + [eq_income_f4]) / 100)^(1/12) - 1</f>
        <v/>
      </c>
      <c r="M4" s="19">
        <f>(1 + ([eq_growth_f5] + [eq_income_f5]) / 100)^(1/12) - 1</f>
        <v/>
      </c>
      <c r="N4" s="19">
        <f>(1 + ([eq_growth_f6] + [eq_income_f6]) / 100)^(1/12) - 1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>
        <f>(1 + ([eq_growth_f1] + [eq_income_f1]) / 100)^(1/12) - 1</f>
        <v/>
      </c>
      <c r="J5" s="21">
        <f>(1 + ([eq_growth_f2] + [eq_income_f2]) / 100)^(1/12) - 1</f>
        <v/>
      </c>
      <c r="K5" s="21">
        <f>(1 + ([eq_growth_f3] + [eq_income_f3]) / 100)^(1/12) - 1</f>
        <v/>
      </c>
      <c r="L5" s="21">
        <f>(1 + ([eq_growth_f4] + [eq_income_f4]) / 100)^(1/12) - 1</f>
        <v/>
      </c>
      <c r="M5" s="21">
        <f>(1 + ([eq_growth_f5] + [eq_income_f5]) / 100)^(1/12) - 1</f>
        <v/>
      </c>
      <c r="N5" s="21">
        <f>(1 + ([eq_growth_f6] + [eq_income_f6]) / 100)^(1/12) - 1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>
        <f>(1 + ([eq_growth_f1] + [eq_income_f1]) / 100)^(1/12) - 1</f>
        <v/>
      </c>
      <c r="J6" s="19">
        <f>(1 + ([eq_growth_f2] + [eq_income_f2]) / 100)^(1/12) - 1</f>
        <v/>
      </c>
      <c r="K6" s="19">
        <f>(1 + ([eq_growth_f3] + [eq_income_f3]) / 100)^(1/12) - 1</f>
        <v/>
      </c>
      <c r="L6" s="19">
        <f>(1 + ([eq_growth_f4] + [eq_income_f4]) / 100)^(1/12) - 1</f>
        <v/>
      </c>
      <c r="M6" s="19">
        <f>(1 + ([eq_growth_f5] + [eq_income_f5]) / 100)^(1/12) - 1</f>
        <v/>
      </c>
      <c r="N6" s="19">
        <f>(1 + ([eq_growth_f6] + [eq_income_f6]) / 100)^(1/12) - 1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>
        <f>(1 + ([eq_growth_f1] + [eq_income_f1]) / 100)^(1/12) - 1</f>
        <v/>
      </c>
      <c r="J7" s="21">
        <f>(1 + ([eq_growth_f2] + [eq_income_f2]) / 100)^(1/12) - 1</f>
        <v/>
      </c>
      <c r="K7" s="21">
        <f>(1 + ([eq_growth_f3] + [eq_income_f3]) / 100)^(1/12) - 1</f>
        <v/>
      </c>
      <c r="L7" s="21">
        <f>(1 + ([eq_growth_f4] + [eq_income_f4]) / 100)^(1/12) - 1</f>
        <v/>
      </c>
      <c r="M7" s="21">
        <f>(1 + ([eq_growth_f5] + [eq_income_f5]) / 100)^(1/12) - 1</f>
        <v/>
      </c>
      <c r="N7" s="21">
        <f>(1 + ([eq_growth_f6] + [eq_income_f6]) / 100)^(1/12) - 1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>
        <f>(1 + ([eq_growth_f1] + [eq_income_f1]) / 100)^(1/12) - 1</f>
        <v/>
      </c>
      <c r="J8" s="19">
        <f>(1 + ([eq_growth_f2] + [eq_income_f2]) / 100)^(1/12) - 1</f>
        <v/>
      </c>
      <c r="K8" s="19">
        <f>(1 + ([eq_growth_f3] + [eq_income_f3]) / 100)^(1/12) - 1</f>
        <v/>
      </c>
      <c r="L8" s="19">
        <f>(1 + ([eq_growth_f4] + [eq_income_f4]) / 100)^(1/12) - 1</f>
        <v/>
      </c>
      <c r="M8" s="19">
        <f>(1 + ([eq_growth_f5] + [eq_income_f5]) / 100)^(1/12) - 1</f>
        <v/>
      </c>
      <c r="N8" s="19">
        <f>(1 + ([eq_growth_f6] + [eq_income_f6]) / 100)^(1/12) - 1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>
        <f>(1 + ([eq_growth_f1] + [eq_income_f1]) / 100)^(1/12) - 1</f>
        <v/>
      </c>
      <c r="J9" s="21">
        <f>(1 + ([eq_growth_f2] + [eq_income_f2]) / 100)^(1/12) - 1</f>
        <v/>
      </c>
      <c r="K9" s="21">
        <f>(1 + ([eq_growth_f3] + [eq_income_f3]) / 100)^(1/12) - 1</f>
        <v/>
      </c>
      <c r="L9" s="21">
        <f>(1 + ([eq_growth_f4] + [eq_income_f4]) / 100)^(1/12) - 1</f>
        <v/>
      </c>
      <c r="M9" s="21">
        <f>(1 + ([eq_growth_f5] + [eq_income_f5]) / 100)^(1/12) - 1</f>
        <v/>
      </c>
      <c r="N9" s="21">
        <f>(1 + ([eq_growth_f6] + [eq_income_f6]) / 100)^(1/12) - 1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>
        <f>(1 + ([eq_growth_f1] + [eq_income_f1]) / 100)^(1/12) - 1</f>
        <v/>
      </c>
      <c r="J10" s="19">
        <f>(1 + ([eq_growth_f2] + [eq_income_f2]) / 100)^(1/12) - 1</f>
        <v/>
      </c>
      <c r="K10" s="19">
        <f>(1 + ([eq_growth_f3] + [eq_income_f3]) / 100)^(1/12) - 1</f>
        <v/>
      </c>
      <c r="L10" s="19">
        <f>(1 + ([eq_growth_f4] + [eq_income_f4]) / 100)^(1/12) - 1</f>
        <v/>
      </c>
      <c r="M10" s="19">
        <f>(1 + ([eq_growth_f5] + [eq_income_f5]) / 100)^(1/12) - 1</f>
        <v/>
      </c>
      <c r="N10" s="19">
        <f>(1 + ([eq_growth_f6] + [eq_income_f6]) / 100)^(1/12) - 1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>
        <f>(1 + ([eq_growth_f1] + [eq_income_f1]) / 100)^(1/12) - 1</f>
        <v/>
      </c>
      <c r="J11" s="21">
        <f>(1 + ([eq_growth_f2] + [eq_income_f2]) / 100)^(1/12) - 1</f>
        <v/>
      </c>
      <c r="K11" s="21">
        <f>(1 + ([eq_growth_f3] + [eq_income_f3]) / 100)^(1/12) - 1</f>
        <v/>
      </c>
      <c r="L11" s="21">
        <f>(1 + ([eq_growth_f4] + [eq_income_f4]) / 100)^(1/12) - 1</f>
        <v/>
      </c>
      <c r="M11" s="21">
        <f>(1 + ([eq_growth_f5] + [eq_income_f5]) / 100)^(1/12) - 1</f>
        <v/>
      </c>
      <c r="N11" s="21">
        <f>(1 + ([eq_growth_f6] + [eq_income_f6]) / 100)^(1/12) - 1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>
        <f>(1 + ([eq_growth_f1] + [eq_income_f1]) / 100)^(1/12) - 1</f>
        <v/>
      </c>
      <c r="J12" s="19">
        <f>(1 + ([eq_growth_f2] + [eq_income_f2]) / 100)^(1/12) - 1</f>
        <v/>
      </c>
      <c r="K12" s="19">
        <f>(1 + ([eq_growth_f3] + [eq_income_f3]) / 100)^(1/12) - 1</f>
        <v/>
      </c>
      <c r="L12" s="19">
        <f>(1 + ([eq_growth_f4] + [eq_income_f4]) / 100)^(1/12) - 1</f>
        <v/>
      </c>
      <c r="M12" s="19">
        <f>(1 + ([eq_growth_f5] + [eq_income_f5]) / 100)^(1/12) - 1</f>
        <v/>
      </c>
      <c r="N12" s="19">
        <f>(1 + ([eq_growth_f6] + [eq_income_f6]) / 100)^(1/12) - 1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>
        <f>(1 + ([eq_growth_f1] + [eq_income_f1]) / 100)^(1/12) - 1</f>
        <v/>
      </c>
      <c r="J13" s="21">
        <f>(1 + ([eq_growth_f2] + [eq_income_f2]) / 100)^(1/12) - 1</f>
        <v/>
      </c>
      <c r="K13" s="21">
        <f>(1 + ([eq_growth_f3] + [eq_income_f3]) / 100)^(1/12) - 1</f>
        <v/>
      </c>
      <c r="L13" s="21">
        <f>(1 + ([eq_growth_f4] + [eq_income_f4]) / 100)^(1/12) - 1</f>
        <v/>
      </c>
      <c r="M13" s="21">
        <f>(1 + ([eq_growth_f5] + [eq_income_f5]) / 100)^(1/12) - 1</f>
        <v/>
      </c>
      <c r="N13" s="21">
        <f>(1 + ([eq_growth_f6] + [eq_income_f6]) / 100)^(1/12) - 1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>
        <f>(1 + ([eq_growth_f1] + [eq_income_f1]) / 100)^(1/12) - 1</f>
        <v/>
      </c>
      <c r="J14" s="19">
        <f>(1 + ([eq_growth_f2] + [eq_income_f2]) / 100)^(1/12) - 1</f>
        <v/>
      </c>
      <c r="K14" s="19">
        <f>(1 + ([eq_growth_f3] + [eq_income_f3]) / 100)^(1/12) - 1</f>
        <v/>
      </c>
      <c r="L14" s="19">
        <f>(1 + ([eq_growth_f4] + [eq_income_f4]) / 100)^(1/12) - 1</f>
        <v/>
      </c>
      <c r="M14" s="19">
        <f>(1 + ([eq_growth_f5] + [eq_income_f5]) / 100)^(1/12) - 1</f>
        <v/>
      </c>
      <c r="N14" s="19">
        <f>(1 + ([eq_growth_f6] + [eq_income_f6]) / 100)^(1/12) - 1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>
        <f>(1 + ([eq_growth_f1] + [eq_income_f1]) / 100)^(1/12) - 1</f>
        <v/>
      </c>
      <c r="J15" s="21">
        <f>(1 + ([eq_growth_f2] + [eq_income_f2]) / 100)^(1/12) - 1</f>
        <v/>
      </c>
      <c r="K15" s="21">
        <f>(1 + ([eq_growth_f3] + [eq_income_f3]) / 100)^(1/12) - 1</f>
        <v/>
      </c>
      <c r="L15" s="21">
        <f>(1 + ([eq_growth_f4] + [eq_income_f4]) / 100)^(1/12) - 1</f>
        <v/>
      </c>
      <c r="M15" s="21">
        <f>(1 + ([eq_growth_f5] + [eq_income_f5]) / 100)^(1/12) - 1</f>
        <v/>
      </c>
      <c r="N15" s="21">
        <f>(1 + ([eq_growth_f6] + [eq_income_f6]) / 100)^(1/12) - 1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>
        <f>(1 + ([eq_growth_f1] + [eq_income_f1]) / 100)^(1/12) - 1</f>
        <v/>
      </c>
      <c r="J16" s="19">
        <f>(1 + ([eq_growth_f2] + [eq_income_f2]) / 100)^(1/12) - 1</f>
        <v/>
      </c>
      <c r="K16" s="19">
        <f>(1 + ([eq_growth_f3] + [eq_income_f3]) / 100)^(1/12) - 1</f>
        <v/>
      </c>
      <c r="L16" s="19">
        <f>(1 + ([eq_growth_f4] + [eq_income_f4]) / 100)^(1/12) - 1</f>
        <v/>
      </c>
      <c r="M16" s="19">
        <f>(1 + ([eq_growth_f5] + [eq_income_f5]) / 100)^(1/12) - 1</f>
        <v/>
      </c>
      <c r="N16" s="19">
        <f>(1 + ([eq_growth_f6] + [eq_income_f6]) / 100)^(1/12) - 1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>
        <f>(1 + ([eq_growth_f1] + [eq_income_f1]) / 100)^(1/12) - 1</f>
        <v/>
      </c>
      <c r="J17" s="21">
        <f>(1 + ([eq_growth_f2] + [eq_income_f2]) / 100)^(1/12) - 1</f>
        <v/>
      </c>
      <c r="K17" s="21">
        <f>(1 + ([eq_growth_f3] + [eq_income_f3]) / 100)^(1/12) - 1</f>
        <v/>
      </c>
      <c r="L17" s="21">
        <f>(1 + ([eq_growth_f4] + [eq_income_f4]) / 100)^(1/12) - 1</f>
        <v/>
      </c>
      <c r="M17" s="21">
        <f>(1 + ([eq_growth_f5] + [eq_income_f5]) / 100)^(1/12) - 1</f>
        <v/>
      </c>
      <c r="N17" s="21">
        <f>(1 + ([eq_growth_f6] + [eq_income_f6]) / 100)^(1/12) - 1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>
        <f>(1 + ([eq_growth_f1] + [eq_income_f1]) / 100)^(1/12) - 1</f>
        <v/>
      </c>
      <c r="J18" s="19">
        <f>(1 + ([eq_growth_f2] + [eq_income_f2]) / 100)^(1/12) - 1</f>
        <v/>
      </c>
      <c r="K18" s="19">
        <f>(1 + ([eq_growth_f3] + [eq_income_f3]) / 100)^(1/12) - 1</f>
        <v/>
      </c>
      <c r="L18" s="19">
        <f>(1 + ([eq_growth_f4] + [eq_income_f4]) / 100)^(1/12) - 1</f>
        <v/>
      </c>
      <c r="M18" s="19">
        <f>(1 + ([eq_growth_f5] + [eq_income_f5]) / 100)^(1/12) - 1</f>
        <v/>
      </c>
      <c r="N18" s="19">
        <f>(1 + ([eq_growth_f6] + [eq_income_f6]) / 100)^(1/12) - 1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>
        <f>(1 + ([eq_growth_f1] + [eq_income_f1]) / 100)^(1/12) - 1</f>
        <v/>
      </c>
      <c r="J19" s="21">
        <f>(1 + ([eq_growth_f2] + [eq_income_f2]) / 100)^(1/12) - 1</f>
        <v/>
      </c>
      <c r="K19" s="21">
        <f>(1 + ([eq_growth_f3] + [eq_income_f3]) / 100)^(1/12) - 1</f>
        <v/>
      </c>
      <c r="L19" s="21">
        <f>(1 + ([eq_growth_f4] + [eq_income_f4]) / 100)^(1/12) - 1</f>
        <v/>
      </c>
      <c r="M19" s="21">
        <f>(1 + ([eq_growth_f5] + [eq_income_f5]) / 100)^(1/12) - 1</f>
        <v/>
      </c>
      <c r="N19" s="21">
        <f>(1 + ([eq_growth_f6] + [eq_income_f6]) / 100)^(1/12) - 1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>
        <f>(1 + ([eq_growth_f1] + [eq_income_f1]) / 100)^(1/12) - 1</f>
        <v/>
      </c>
      <c r="J20" s="19">
        <f>(1 + ([eq_growth_f2] + [eq_income_f2]) / 100)^(1/12) - 1</f>
        <v/>
      </c>
      <c r="K20" s="19">
        <f>(1 + ([eq_growth_f3] + [eq_income_f3]) / 100)^(1/12) - 1</f>
        <v/>
      </c>
      <c r="L20" s="19">
        <f>(1 + ([eq_growth_f4] + [eq_income_f4]) / 100)^(1/12) - 1</f>
        <v/>
      </c>
      <c r="M20" s="19">
        <f>(1 + ([eq_growth_f5] + [eq_income_f5]) / 100)^(1/12) - 1</f>
        <v/>
      </c>
      <c r="N20" s="19">
        <f>(1 + ([eq_growth_f6] + [eq_income_f6]) / 100)^(1/12) - 1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>
        <f>(1 + ([eq_growth_f1] + [eq_income_f1]) / 100)^(1/12) - 1</f>
        <v/>
      </c>
      <c r="J21" s="21">
        <f>(1 + ([eq_growth_f2] + [eq_income_f2]) / 100)^(1/12) - 1</f>
        <v/>
      </c>
      <c r="K21" s="21">
        <f>(1 + ([eq_growth_f3] + [eq_income_f3]) / 100)^(1/12) - 1</f>
        <v/>
      </c>
      <c r="L21" s="21">
        <f>(1 + ([eq_growth_f4] + [eq_income_f4]) / 100)^(1/12) - 1</f>
        <v/>
      </c>
      <c r="M21" s="21">
        <f>(1 + ([eq_growth_f5] + [eq_income_f5]) / 100)^(1/12) - 1</f>
        <v/>
      </c>
      <c r="N21" s="21">
        <f>(1 + ([eq_growth_f6] + [eq_income_f6]) / 100)^(1/12) - 1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>
        <f>(1 + ([eq_growth_f1] + [eq_income_f1]) / 100)^(1/12) - 1</f>
        <v/>
      </c>
      <c r="J22" s="19">
        <f>(1 + ([eq_growth_f2] + [eq_income_f2]) / 100)^(1/12) - 1</f>
        <v/>
      </c>
      <c r="K22" s="19">
        <f>(1 + ([eq_growth_f3] + [eq_income_f3]) / 100)^(1/12) - 1</f>
        <v/>
      </c>
      <c r="L22" s="19">
        <f>(1 + ([eq_growth_f4] + [eq_income_f4]) / 100)^(1/12) - 1</f>
        <v/>
      </c>
      <c r="M22" s="19">
        <f>(1 + ([eq_growth_f5] + [eq_income_f5]) / 100)^(1/12) - 1</f>
        <v/>
      </c>
      <c r="N22" s="19">
        <f>(1 + ([eq_growth_f6] + [eq_income_f6]) / 100)^(1/12) - 1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>
        <f>(1 + ([eq_growth_f1] + [eq_income_f1]) / 100)^(1/12) - 1</f>
        <v/>
      </c>
      <c r="J23" s="21">
        <f>(1 + ([eq_growth_f2] + [eq_income_f2]) / 100)^(1/12) - 1</f>
        <v/>
      </c>
      <c r="K23" s="21">
        <f>(1 + ([eq_growth_f3] + [eq_income_f3]) / 100)^(1/12) - 1</f>
        <v/>
      </c>
      <c r="L23" s="21">
        <f>(1 + ([eq_growth_f4] + [eq_income_f4]) / 100)^(1/12) - 1</f>
        <v/>
      </c>
      <c r="M23" s="21">
        <f>(1 + ([eq_growth_f5] + [eq_income_f5]) / 100)^(1/12) - 1</f>
        <v/>
      </c>
      <c r="N23" s="21">
        <f>(1 + ([eq_growth_f6] + [eq_income_f6]) / 100)^(1/12) - 1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>
        <f>(1 + ([eq_growth_f1] + [eq_income_f1]) / 100)^(1/12) - 1</f>
        <v/>
      </c>
      <c r="J24" s="19">
        <f>(1 + ([eq_growth_f2] + [eq_income_f2]) / 100)^(1/12) - 1</f>
        <v/>
      </c>
      <c r="K24" s="19">
        <f>(1 + ([eq_growth_f3] + [eq_income_f3]) / 100)^(1/12) - 1</f>
        <v/>
      </c>
      <c r="L24" s="19">
        <f>(1 + ([eq_growth_f4] + [eq_income_f4]) / 100)^(1/12) - 1</f>
        <v/>
      </c>
      <c r="M24" s="19">
        <f>(1 + ([eq_growth_f5] + [eq_income_f5]) / 100)^(1/12) - 1</f>
        <v/>
      </c>
      <c r="N24" s="19">
        <f>(1 + ([eq_growth_f6] + [eq_income_f6]) / 100)^(1/12) - 1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>
        <f>(1 + ([eq_growth_f1] + [eq_income_f1]) / 100)^(1/12) - 1</f>
        <v/>
      </c>
      <c r="J25" s="21">
        <f>(1 + ([eq_growth_f2] + [eq_income_f2]) / 100)^(1/12) - 1</f>
        <v/>
      </c>
      <c r="K25" s="21">
        <f>(1 + ([eq_growth_f3] + [eq_income_f3]) / 100)^(1/12) - 1</f>
        <v/>
      </c>
      <c r="L25" s="21">
        <f>(1 + ([eq_growth_f4] + [eq_income_f4]) / 100)^(1/12) - 1</f>
        <v/>
      </c>
      <c r="M25" s="21">
        <f>(1 + ([eq_growth_f5] + [eq_income_f5]) / 100)^(1/12) - 1</f>
        <v/>
      </c>
      <c r="N25" s="21">
        <f>(1 + ([eq_growth_f6] + [eq_income_f6]) / 100)^(1/12) - 1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>
        <f>(1 + ([eq_growth_f1] + [eq_income_f1]) / 100)^(1/12) - 1</f>
        <v/>
      </c>
      <c r="J26" s="19">
        <f>(1 + ([eq_growth_f2] + [eq_income_f2]) / 100)^(1/12) - 1</f>
        <v/>
      </c>
      <c r="K26" s="19">
        <f>(1 + ([eq_growth_f3] + [eq_income_f3]) / 100)^(1/12) - 1</f>
        <v/>
      </c>
      <c r="L26" s="19">
        <f>(1 + ([eq_growth_f4] + [eq_income_f4]) / 100)^(1/12) - 1</f>
        <v/>
      </c>
      <c r="M26" s="19">
        <f>(1 + ([eq_growth_f5] + [eq_income_f5]) / 100)^(1/12) - 1</f>
        <v/>
      </c>
      <c r="N26" s="19">
        <f>(1 + ([eq_growth_f6] + [eq_income_f6]) / 100)^(1/12) - 1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>
        <f>(1 + ([eq_growth_f1] + [eq_income_f1]) / 100)^(1/12) - 1</f>
        <v/>
      </c>
      <c r="J27" s="21">
        <f>(1 + ([eq_growth_f2] + [eq_income_f2]) / 100)^(1/12) - 1</f>
        <v/>
      </c>
      <c r="K27" s="21">
        <f>(1 + ([eq_growth_f3] + [eq_income_f3]) / 100)^(1/12) - 1</f>
        <v/>
      </c>
      <c r="L27" s="21">
        <f>(1 + ([eq_growth_f4] + [eq_income_f4]) / 100)^(1/12) - 1</f>
        <v/>
      </c>
      <c r="M27" s="21">
        <f>(1 + ([eq_growth_f5] + [eq_income_f5]) / 100)^(1/12) - 1</f>
        <v/>
      </c>
      <c r="N27" s="21">
        <f>(1 + ([eq_growth_f6] + [eq_income_f6]) / 100)^(1/12) - 1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>
        <f>(1 + ([eq_growth_f1] + [eq_income_f1]) / 100)^(1/12) - 1</f>
        <v/>
      </c>
      <c r="J28" s="19">
        <f>(1 + ([eq_growth_f2] + [eq_income_f2]) / 100)^(1/12) - 1</f>
        <v/>
      </c>
      <c r="K28" s="19">
        <f>(1 + ([eq_growth_f3] + [eq_income_f3]) / 100)^(1/12) - 1</f>
        <v/>
      </c>
      <c r="L28" s="19">
        <f>(1 + ([eq_growth_f4] + [eq_income_f4]) / 100)^(1/12) - 1</f>
        <v/>
      </c>
      <c r="M28" s="19">
        <f>(1 + ([eq_growth_f5] + [eq_income_f5]) / 100)^(1/12) - 1</f>
        <v/>
      </c>
      <c r="N28" s="19">
        <f>(1 + ([eq_growth_f6] + [eq_income_f6]) / 100)^(1/12) - 1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>
        <f>(1 + ([eq_growth_f1] + [eq_income_f1]) / 100)^(1/12) - 1</f>
        <v/>
      </c>
      <c r="J29" s="21">
        <f>(1 + ([eq_growth_f2] + [eq_income_f2]) / 100)^(1/12) - 1</f>
        <v/>
      </c>
      <c r="K29" s="21">
        <f>(1 + ([eq_growth_f3] + [eq_income_f3]) / 100)^(1/12) - 1</f>
        <v/>
      </c>
      <c r="L29" s="21">
        <f>(1 + ([eq_growth_f4] + [eq_income_f4]) / 100)^(1/12) - 1</f>
        <v/>
      </c>
      <c r="M29" s="21">
        <f>(1 + ([eq_growth_f5] + [eq_income_f5]) / 100)^(1/12) - 1</f>
        <v/>
      </c>
      <c r="N29" s="21">
        <f>(1 + ([eq_growth_f6] + [eq_income_f6]) / 100)^(1/12) - 1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>
        <f>(1 + ([eq_growth_f1] + [eq_income_f1]) / 100)^(1/12) - 1</f>
        <v/>
      </c>
      <c r="J30" s="19">
        <f>(1 + ([eq_growth_f2] + [eq_income_f2]) / 100)^(1/12) - 1</f>
        <v/>
      </c>
      <c r="K30" s="19">
        <f>(1 + ([eq_growth_f3] + [eq_income_f3]) / 100)^(1/12) - 1</f>
        <v/>
      </c>
      <c r="L30" s="19">
        <f>(1 + ([eq_growth_f4] + [eq_income_f4]) / 100)^(1/12) - 1</f>
        <v/>
      </c>
      <c r="M30" s="19">
        <f>(1 + ([eq_growth_f5] + [eq_income_f5]) / 100)^(1/12) - 1</f>
        <v/>
      </c>
      <c r="N30" s="19">
        <f>(1 + ([eq_growth_f6] + [eq_income_f6]) / 100)^(1/12) - 1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>
        <f>(1 + ([eq_growth_f1] + [eq_income_f1]) / 100)^(1/12) - 1</f>
        <v/>
      </c>
      <c r="J31" s="21">
        <f>(1 + ([eq_growth_f2] + [eq_income_f2]) / 100)^(1/12) - 1</f>
        <v/>
      </c>
      <c r="K31" s="21">
        <f>(1 + ([eq_growth_f3] + [eq_income_f3]) / 100)^(1/12) - 1</f>
        <v/>
      </c>
      <c r="L31" s="21">
        <f>(1 + ([eq_growth_f4] + [eq_income_f4]) / 100)^(1/12) - 1</f>
        <v/>
      </c>
      <c r="M31" s="21">
        <f>(1 + ([eq_growth_f5] + [eq_income_f5]) / 100)^(1/12) - 1</f>
        <v/>
      </c>
      <c r="N31" s="21">
        <f>(1 + ([eq_growth_f6] + [eq_income_f6]) / 100)^(1/12) - 1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>
        <f>(1 + ([eq_growth_f1] + [eq_income_f1]) / 100)^(1/12) - 1</f>
        <v/>
      </c>
      <c r="J32" s="19">
        <f>(1 + ([eq_growth_f2] + [eq_income_f2]) / 100)^(1/12) - 1</f>
        <v/>
      </c>
      <c r="K32" s="19">
        <f>(1 + ([eq_growth_f3] + [eq_income_f3]) / 100)^(1/12) - 1</f>
        <v/>
      </c>
      <c r="L32" s="19">
        <f>(1 + ([eq_growth_f4] + [eq_income_f4]) / 100)^(1/12) - 1</f>
        <v/>
      </c>
      <c r="M32" s="19">
        <f>(1 + ([eq_growth_f5] + [eq_income_f5]) / 100)^(1/12) - 1</f>
        <v/>
      </c>
      <c r="N32" s="19">
        <f>(1 + ([eq_growth_f6] + [eq_income_f6]) / 100)^(1/12) - 1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>
        <f>(1 + ([eq_growth_f1] + [eq_income_f1]) / 100)^(1/12) - 1</f>
        <v/>
      </c>
      <c r="J33" s="21">
        <f>(1 + ([eq_growth_f2] + [eq_income_f2]) / 100)^(1/12) - 1</f>
        <v/>
      </c>
      <c r="K33" s="21">
        <f>(1 + ([eq_growth_f3] + [eq_income_f3]) / 100)^(1/12) - 1</f>
        <v/>
      </c>
      <c r="L33" s="21">
        <f>(1 + ([eq_growth_f4] + [eq_income_f4]) / 100)^(1/12) - 1</f>
        <v/>
      </c>
      <c r="M33" s="21">
        <f>(1 + ([eq_growth_f5] + [eq_income_f5]) / 100)^(1/12) - 1</f>
        <v/>
      </c>
      <c r="N33" s="21">
        <f>(1 + ([eq_growth_f6] + [eq_income_f6]) / 100)^(1/12) - 1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>
        <f>(1 + ([eq_growth_f1] + [eq_income_f1]) / 100)^(1/12) - 1</f>
        <v/>
      </c>
      <c r="J34" s="19">
        <f>(1 + ([eq_growth_f2] + [eq_income_f2]) / 100)^(1/12) - 1</f>
        <v/>
      </c>
      <c r="K34" s="19">
        <f>(1 + ([eq_growth_f3] + [eq_income_f3]) / 100)^(1/12) - 1</f>
        <v/>
      </c>
      <c r="L34" s="19">
        <f>(1 + ([eq_growth_f4] + [eq_income_f4]) / 100)^(1/12) - 1</f>
        <v/>
      </c>
      <c r="M34" s="19">
        <f>(1 + ([eq_growth_f5] + [eq_income_f5]) / 100)^(1/12) - 1</f>
        <v/>
      </c>
      <c r="N34" s="19">
        <f>(1 + ([eq_growth_f6] + [eq_income_f6]) / 100)^(1/12) - 1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>
        <f>(1 + ([eq_growth_f1] + [eq_income_f1]) / 100)^(1/12) - 1</f>
        <v/>
      </c>
      <c r="J35" s="21">
        <f>(1 + ([eq_growth_f2] + [eq_income_f2]) / 100)^(1/12) - 1</f>
        <v/>
      </c>
      <c r="K35" s="21">
        <f>(1 + ([eq_growth_f3] + [eq_income_f3]) / 100)^(1/12) - 1</f>
        <v/>
      </c>
      <c r="L35" s="21">
        <f>(1 + ([eq_growth_f4] + [eq_income_f4]) / 100)^(1/12) - 1</f>
        <v/>
      </c>
      <c r="M35" s="21">
        <f>(1 + ([eq_growth_f5] + [eq_income_f5]) / 100)^(1/12) - 1</f>
        <v/>
      </c>
      <c r="N35" s="21">
        <f>(1 + ([eq_growth_f6] + [eq_income_f6]) / 100)^(1/12) - 1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>
        <f>(1 + ([eq_growth_f1] + [eq_income_f1]) / 100)^(1/12) - 1</f>
        <v/>
      </c>
      <c r="J36" s="19">
        <f>(1 + ([eq_growth_f2] + [eq_income_f2]) / 100)^(1/12) - 1</f>
        <v/>
      </c>
      <c r="K36" s="19">
        <f>(1 + ([eq_growth_f3] + [eq_income_f3]) / 100)^(1/12) - 1</f>
        <v/>
      </c>
      <c r="L36" s="19">
        <f>(1 + ([eq_growth_f4] + [eq_income_f4]) / 100)^(1/12) - 1</f>
        <v/>
      </c>
      <c r="M36" s="19">
        <f>(1 + ([eq_growth_f5] + [eq_income_f5]) / 100)^(1/12) - 1</f>
        <v/>
      </c>
      <c r="N36" s="19">
        <f>(1 + ([eq_growth_f6] + [eq_income_f6]) / 100)^(1/12) - 1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>
        <f>(1 + ([eq_growth_f1] + [eq_income_f1]) / 100)^(1/12) - 1</f>
        <v/>
      </c>
      <c r="J37" s="21">
        <f>(1 + ([eq_growth_f2] + [eq_income_f2]) / 100)^(1/12) - 1</f>
        <v/>
      </c>
      <c r="K37" s="21">
        <f>(1 + ([eq_growth_f3] + [eq_income_f3]) / 100)^(1/12) - 1</f>
        <v/>
      </c>
      <c r="L37" s="21">
        <f>(1 + ([eq_growth_f4] + [eq_income_f4]) / 100)^(1/12) - 1</f>
        <v/>
      </c>
      <c r="M37" s="21">
        <f>(1 + ([eq_growth_f5] + [eq_income_f5]) / 100)^(1/12) - 1</f>
        <v/>
      </c>
      <c r="N37" s="21">
        <f>(1 + ([eq_growth_f6] + [eq_income_f6]) / 100)^(1/12) - 1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>
        <f>(1 + ([eq_growth_f1] + [eq_income_f1]) / 100)^(1/12) - 1</f>
        <v/>
      </c>
      <c r="J38" s="19">
        <f>(1 + ([eq_growth_f2] + [eq_income_f2]) / 100)^(1/12) - 1</f>
        <v/>
      </c>
      <c r="K38" s="19">
        <f>(1 + ([eq_growth_f3] + [eq_income_f3]) / 100)^(1/12) - 1</f>
        <v/>
      </c>
      <c r="L38" s="19">
        <f>(1 + ([eq_growth_f4] + [eq_income_f4]) / 100)^(1/12) - 1</f>
        <v/>
      </c>
      <c r="M38" s="19">
        <f>(1 + ([eq_growth_f5] + [eq_income_f5]) / 100)^(1/12) - 1</f>
        <v/>
      </c>
      <c r="N38" s="19">
        <f>(1 + ([eq_growth_f6] + [eq_income_f6]) / 100)^(1/12) - 1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>
        <f>(1 + ([eq_growth_f1] + [eq_income_f1]) / 100)^(1/12) - 1</f>
        <v/>
      </c>
      <c r="J39" s="21">
        <f>(1 + ([eq_growth_f2] + [eq_income_f2]) / 100)^(1/12) - 1</f>
        <v/>
      </c>
      <c r="K39" s="21">
        <f>(1 + ([eq_growth_f3] + [eq_income_f3]) / 100)^(1/12) - 1</f>
        <v/>
      </c>
      <c r="L39" s="21">
        <f>(1 + ([eq_growth_f4] + [eq_income_f4]) / 100)^(1/12) - 1</f>
        <v/>
      </c>
      <c r="M39" s="21">
        <f>(1 + ([eq_growth_f5] + [eq_income_f5]) / 100)^(1/12) - 1</f>
        <v/>
      </c>
      <c r="N39" s="21">
        <f>(1 + ([eq_growth_f6] + [eq_income_f6]) / 100)^(1/12) - 1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>
        <f>(1 + ([eq_growth_f1] + [eq_income_f1]) / 100)^(1/12) - 1</f>
        <v/>
      </c>
      <c r="J40" s="19">
        <f>(1 + ([eq_growth_f2] + [eq_income_f2]) / 100)^(1/12) - 1</f>
        <v/>
      </c>
      <c r="K40" s="19">
        <f>(1 + ([eq_growth_f3] + [eq_income_f3]) / 100)^(1/12) - 1</f>
        <v/>
      </c>
      <c r="L40" s="19">
        <f>(1 + ([eq_growth_f4] + [eq_income_f4]) / 100)^(1/12) - 1</f>
        <v/>
      </c>
      <c r="M40" s="19">
        <f>(1 + ([eq_growth_f5] + [eq_income_f5]) / 100)^(1/12) - 1</f>
        <v/>
      </c>
      <c r="N40" s="19">
        <f>(1 + ([eq_growth_f6] + [eq_income_f6]) / 100)^(1/12) - 1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>
        <f>(1 + ([eq_growth_f1] + [eq_income_f1]) / 100)^(1/12) - 1</f>
        <v/>
      </c>
      <c r="J41" s="21">
        <f>(1 + ([eq_growth_f2] + [eq_income_f2]) / 100)^(1/12) - 1</f>
        <v/>
      </c>
      <c r="K41" s="21">
        <f>(1 + ([eq_growth_f3] + [eq_income_f3]) / 100)^(1/12) - 1</f>
        <v/>
      </c>
      <c r="L41" s="21">
        <f>(1 + ([eq_growth_f4] + [eq_income_f4]) / 100)^(1/12) - 1</f>
        <v/>
      </c>
      <c r="M41" s="21">
        <f>(1 + ([eq_growth_f5] + [eq_income_f5]) / 100)^(1/12) - 1</f>
        <v/>
      </c>
      <c r="N41" s="21">
        <f>(1 + ([eq_growth_f6] + [eq_income_f6]) / 100)^(1/12) - 1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>
        <f>(1 + ([eq_growth_f1] + [eq_income_f1]) / 100)^(1/12) - 1</f>
        <v/>
      </c>
      <c r="J42" s="19">
        <f>(1 + ([eq_growth_f2] + [eq_income_f2]) / 100)^(1/12) - 1</f>
        <v/>
      </c>
      <c r="K42" s="19">
        <f>(1 + ([eq_growth_f3] + [eq_income_f3]) / 100)^(1/12) - 1</f>
        <v/>
      </c>
      <c r="L42" s="19">
        <f>(1 + ([eq_growth_f4] + [eq_income_f4]) / 100)^(1/12) - 1</f>
        <v/>
      </c>
      <c r="M42" s="19">
        <f>(1 + ([eq_growth_f5] + [eq_income_f5]) / 100)^(1/12) - 1</f>
        <v/>
      </c>
      <c r="N42" s="19">
        <f>(1 + ([eq_growth_f6] + [eq_income_f6]) / 100)^(1/12) - 1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>
        <f>(1 + ([eq_growth_f1] + [eq_income_f1]) / 100)^(1/12) - 1</f>
        <v/>
      </c>
      <c r="J43" s="21">
        <f>(1 + ([eq_growth_f2] + [eq_income_f2]) / 100)^(1/12) - 1</f>
        <v/>
      </c>
      <c r="K43" s="21">
        <f>(1 + ([eq_growth_f3] + [eq_income_f3]) / 100)^(1/12) - 1</f>
        <v/>
      </c>
      <c r="L43" s="21">
        <f>(1 + ([eq_growth_f4] + [eq_income_f4]) / 100)^(1/12) - 1</f>
        <v/>
      </c>
      <c r="M43" s="21">
        <f>(1 + ([eq_growth_f5] + [eq_income_f5]) / 100)^(1/12) - 1</f>
        <v/>
      </c>
      <c r="N43" s="21">
        <f>(1 + ([eq_growth_f6] + [eq_income_f6]) / 100)^(1/12) - 1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>
        <f>(1 + ([eq_growth_f1] + [eq_income_f1]) / 100)^(1/12) - 1</f>
        <v/>
      </c>
      <c r="J44" s="19">
        <f>(1 + ([eq_growth_f2] + [eq_income_f2]) / 100)^(1/12) - 1</f>
        <v/>
      </c>
      <c r="K44" s="19">
        <f>(1 + ([eq_growth_f3] + [eq_income_f3]) / 100)^(1/12) - 1</f>
        <v/>
      </c>
      <c r="L44" s="19">
        <f>(1 + ([eq_growth_f4] + [eq_income_f4]) / 100)^(1/12) - 1</f>
        <v/>
      </c>
      <c r="M44" s="19">
        <f>(1 + ([eq_growth_f5] + [eq_income_f5]) / 100)^(1/12) - 1</f>
        <v/>
      </c>
      <c r="N44" s="19">
        <f>(1 + ([eq_growth_f6] + [eq_income_f6]) / 100)^(1/12) - 1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>
        <f>(1 + ([eq_growth_f1] + [eq_income_f1]) / 100)^(1/12) - 1</f>
        <v/>
      </c>
      <c r="J45" s="21">
        <f>(1 + ([eq_growth_f2] + [eq_income_f2]) / 100)^(1/12) - 1</f>
        <v/>
      </c>
      <c r="K45" s="21">
        <f>(1 + ([eq_growth_f3] + [eq_income_f3]) / 100)^(1/12) - 1</f>
        <v/>
      </c>
      <c r="L45" s="21">
        <f>(1 + ([eq_growth_f4] + [eq_income_f4]) / 100)^(1/12) - 1</f>
        <v/>
      </c>
      <c r="M45" s="21">
        <f>(1 + ([eq_growth_f5] + [eq_income_f5]) / 100)^(1/12) - 1</f>
        <v/>
      </c>
      <c r="N45" s="21">
        <f>(1 + ([eq_growth_f6] + [eq_income_f6]) / 100)^(1/12) - 1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>
        <f>(1 + ([eq_growth_f1] + [eq_income_f1]) / 100)^(1/12) - 1</f>
        <v/>
      </c>
      <c r="J46" s="19">
        <f>(1 + ([eq_growth_f2] + [eq_income_f2]) / 100)^(1/12) - 1</f>
        <v/>
      </c>
      <c r="K46" s="19">
        <f>(1 + ([eq_growth_f3] + [eq_income_f3]) / 100)^(1/12) - 1</f>
        <v/>
      </c>
      <c r="L46" s="19">
        <f>(1 + ([eq_growth_f4] + [eq_income_f4]) / 100)^(1/12) - 1</f>
        <v/>
      </c>
      <c r="M46" s="19">
        <f>(1 + ([eq_growth_f5] + [eq_income_f5]) / 100)^(1/12) - 1</f>
        <v/>
      </c>
      <c r="N46" s="19">
        <f>(1 + ([eq_growth_f6] + [eq_income_f6]) / 100)^(1/12) - 1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>
        <f>(1 + ([eq_growth_f1] + [eq_income_f1]) / 100)^(1/12) - 1</f>
        <v/>
      </c>
      <c r="J47" s="21">
        <f>(1 + ([eq_growth_f2] + [eq_income_f2]) / 100)^(1/12) - 1</f>
        <v/>
      </c>
      <c r="K47" s="21">
        <f>(1 + ([eq_growth_f3] + [eq_income_f3]) / 100)^(1/12) - 1</f>
        <v/>
      </c>
      <c r="L47" s="21">
        <f>(1 + ([eq_growth_f4] + [eq_income_f4]) / 100)^(1/12) - 1</f>
        <v/>
      </c>
      <c r="M47" s="21">
        <f>(1 + ([eq_growth_f5] + [eq_income_f5]) / 100)^(1/12) - 1</f>
        <v/>
      </c>
      <c r="N47" s="21">
        <f>(1 + ([eq_growth_f6] + [eq_income_f6]) / 100)^(1/12) - 1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>
        <f>(1 + ([eq_growth_f1] + [eq_income_f1]) / 100)^(1/12) - 1</f>
        <v/>
      </c>
      <c r="J48" s="19">
        <f>(1 + ([eq_growth_f2] + [eq_income_f2]) / 100)^(1/12) - 1</f>
        <v/>
      </c>
      <c r="K48" s="19">
        <f>(1 + ([eq_growth_f3] + [eq_income_f3]) / 100)^(1/12) - 1</f>
        <v/>
      </c>
      <c r="L48" s="19">
        <f>(1 + ([eq_growth_f4] + [eq_income_f4]) / 100)^(1/12) - 1</f>
        <v/>
      </c>
      <c r="M48" s="19">
        <f>(1 + ([eq_growth_f5] + [eq_income_f5]) / 100)^(1/12) - 1</f>
        <v/>
      </c>
      <c r="N48" s="19">
        <f>(1 + ([eq_growth_f6] + [eq_income_f6]) / 100)^(1/12) - 1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>
        <f>(1 + ([eq_growth_f1] + [eq_income_f1]) / 100)^(1/12) - 1</f>
        <v/>
      </c>
      <c r="J49" s="21">
        <f>(1 + ([eq_growth_f2] + [eq_income_f2]) / 100)^(1/12) - 1</f>
        <v/>
      </c>
      <c r="K49" s="21">
        <f>(1 + ([eq_growth_f3] + [eq_income_f3]) / 100)^(1/12) - 1</f>
        <v/>
      </c>
      <c r="L49" s="21">
        <f>(1 + ([eq_growth_f4] + [eq_income_f4]) / 100)^(1/12) - 1</f>
        <v/>
      </c>
      <c r="M49" s="21">
        <f>(1 + ([eq_growth_f5] + [eq_income_f5]) / 100)^(1/12) - 1</f>
        <v/>
      </c>
      <c r="N49" s="21">
        <f>(1 + ([eq_growth_f6] + [eq_income_f6]) / 100)^(1/12) - 1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>
        <f>(1 + ([eq_growth_f1] + [eq_income_f1]) / 100)^(1/12) - 1</f>
        <v/>
      </c>
      <c r="J50" s="19">
        <f>(1 + ([eq_growth_f2] + [eq_income_f2]) / 100)^(1/12) - 1</f>
        <v/>
      </c>
      <c r="K50" s="19">
        <f>(1 + ([eq_growth_f3] + [eq_income_f3]) / 100)^(1/12) - 1</f>
        <v/>
      </c>
      <c r="L50" s="19">
        <f>(1 + ([eq_growth_f4] + [eq_income_f4]) / 100)^(1/12) - 1</f>
        <v/>
      </c>
      <c r="M50" s="19">
        <f>(1 + ([eq_growth_f5] + [eq_income_f5]) / 100)^(1/12) - 1</f>
        <v/>
      </c>
      <c r="N50" s="19">
        <f>(1 + ([eq_growth_f6] + [eq_income_f6]) / 100)^(1/12) - 1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>
        <f>(1 + ([eq_growth_f1] + [eq_income_f1]) / 100)^(1/12) - 1</f>
        <v/>
      </c>
      <c r="J51" s="21">
        <f>(1 + ([eq_growth_f2] + [eq_income_f2]) / 100)^(1/12) - 1</f>
        <v/>
      </c>
      <c r="K51" s="21">
        <f>(1 + ([eq_growth_f3] + [eq_income_f3]) / 100)^(1/12) - 1</f>
        <v/>
      </c>
      <c r="L51" s="21">
        <f>(1 + ([eq_growth_f4] + [eq_income_f4]) / 100)^(1/12) - 1</f>
        <v/>
      </c>
      <c r="M51" s="21">
        <f>(1 + ([eq_growth_f5] + [eq_income_f5]) / 100)^(1/12) - 1</f>
        <v/>
      </c>
      <c r="N51" s="21">
        <f>(1 + ([eq_growth_f6] + [eq_income_f6]) / 100)^(1/12) - 1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>
        <f>(1 + ([eq_growth_f1] + [eq_income_f1]) / 100)^(1/12) - 1</f>
        <v/>
      </c>
      <c r="J52" s="19">
        <f>(1 + ([eq_growth_f2] + [eq_income_f2]) / 100)^(1/12) - 1</f>
        <v/>
      </c>
      <c r="K52" s="19">
        <f>(1 + ([eq_growth_f3] + [eq_income_f3]) / 100)^(1/12) - 1</f>
        <v/>
      </c>
      <c r="L52" s="19">
        <f>(1 + ([eq_growth_f4] + [eq_income_f4]) / 100)^(1/12) - 1</f>
        <v/>
      </c>
      <c r="M52" s="19">
        <f>(1 + ([eq_growth_f5] + [eq_income_f5]) / 100)^(1/12) - 1</f>
        <v/>
      </c>
      <c r="N52" s="19">
        <f>(1 + ([eq_growth_f6] + [eq_income_f6]) / 100)^(1/12) - 1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>
        <f>(1 + ([eq_growth_f1] + [eq_income_f1]) / 100)^(1/12) - 1</f>
        <v/>
      </c>
      <c r="J53" s="21">
        <f>(1 + ([eq_growth_f2] + [eq_income_f2]) / 100)^(1/12) - 1</f>
        <v/>
      </c>
      <c r="K53" s="21">
        <f>(1 + ([eq_growth_f3] + [eq_income_f3]) / 100)^(1/12) - 1</f>
        <v/>
      </c>
      <c r="L53" s="21">
        <f>(1 + ([eq_growth_f4] + [eq_income_f4]) / 100)^(1/12) - 1</f>
        <v/>
      </c>
      <c r="M53" s="21">
        <f>(1 + ([eq_growth_f5] + [eq_income_f5]) / 100)^(1/12) - 1</f>
        <v/>
      </c>
      <c r="N53" s="21">
        <f>(1 + ([eq_growth_f6] + [eq_income_f6]) / 100)^(1/12) - 1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>
        <f>(1 + ([eq_growth_f1] + [eq_income_f1]) / 100)^(1/12) - 1</f>
        <v/>
      </c>
      <c r="J54" s="19">
        <f>(1 + ([eq_growth_f2] + [eq_income_f2]) / 100)^(1/12) - 1</f>
        <v/>
      </c>
      <c r="K54" s="19">
        <f>(1 + ([eq_growth_f3] + [eq_income_f3]) / 100)^(1/12) - 1</f>
        <v/>
      </c>
      <c r="L54" s="19">
        <f>(1 + ([eq_growth_f4] + [eq_income_f4]) / 100)^(1/12) - 1</f>
        <v/>
      </c>
      <c r="M54" s="19">
        <f>(1 + ([eq_growth_f5] + [eq_income_f5]) / 100)^(1/12) - 1</f>
        <v/>
      </c>
      <c r="N54" s="19">
        <f>(1 + ([eq_growth_f6] + [eq_income_f6]) / 100)^(1/12) - 1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>
        <f>(1 + ([eq_growth_f1] + [eq_income_f1]) / 100)^(1/12) - 1</f>
        <v/>
      </c>
      <c r="J55" s="21">
        <f>(1 + ([eq_growth_f2] + [eq_income_f2]) / 100)^(1/12) - 1</f>
        <v/>
      </c>
      <c r="K55" s="21">
        <f>(1 + ([eq_growth_f3] + [eq_income_f3]) / 100)^(1/12) - 1</f>
        <v/>
      </c>
      <c r="L55" s="21">
        <f>(1 + ([eq_growth_f4] + [eq_income_f4]) / 100)^(1/12) - 1</f>
        <v/>
      </c>
      <c r="M55" s="21">
        <f>(1 + ([eq_growth_f5] + [eq_income_f5]) / 100)^(1/12) - 1</f>
        <v/>
      </c>
      <c r="N55" s="21">
        <f>(1 + ([eq_growth_f6] + [eq_income_f6]) / 100)^(1/12) - 1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>
        <f>(1 + ([eq_growth_f1] + [eq_income_f1]) / 100)^(1/12) - 1</f>
        <v/>
      </c>
      <c r="J56" s="19">
        <f>(1 + ([eq_growth_f2] + [eq_income_f2]) / 100)^(1/12) - 1</f>
        <v/>
      </c>
      <c r="K56" s="19">
        <f>(1 + ([eq_growth_f3] + [eq_income_f3]) / 100)^(1/12) - 1</f>
        <v/>
      </c>
      <c r="L56" s="19">
        <f>(1 + ([eq_growth_f4] + [eq_income_f4]) / 100)^(1/12) - 1</f>
        <v/>
      </c>
      <c r="M56" s="19">
        <f>(1 + ([eq_growth_f5] + [eq_income_f5]) / 100)^(1/12) - 1</f>
        <v/>
      </c>
      <c r="N56" s="19">
        <f>(1 + ([eq_growth_f6] + [eq_income_f6]) / 100)^(1/12) - 1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>
        <f>(1 + ([eq_growth_f1] + [eq_income_f1]) / 100)^(1/12) - 1</f>
        <v/>
      </c>
      <c r="J57" s="21">
        <f>(1 + ([eq_growth_f2] + [eq_income_f2]) / 100)^(1/12) - 1</f>
        <v/>
      </c>
      <c r="K57" s="21">
        <f>(1 + ([eq_growth_f3] + [eq_income_f3]) / 100)^(1/12) - 1</f>
        <v/>
      </c>
      <c r="L57" s="21">
        <f>(1 + ([eq_growth_f4] + [eq_income_f4]) / 100)^(1/12) - 1</f>
        <v/>
      </c>
      <c r="M57" s="21">
        <f>(1 + ([eq_growth_f5] + [eq_income_f5]) / 100)^(1/12) - 1</f>
        <v/>
      </c>
      <c r="N57" s="21">
        <f>(1 + ([eq_growth_f6] + [eq_income_f6]) / 100)^(1/12) - 1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>
        <f>(1 + ([eq_growth_f1] + [eq_income_f1]) / 100)^(1/12) - 1</f>
        <v/>
      </c>
      <c r="J58" s="19">
        <f>(1 + ([eq_growth_f2] + [eq_income_f2]) / 100)^(1/12) - 1</f>
        <v/>
      </c>
      <c r="K58" s="19">
        <f>(1 + ([eq_growth_f3] + [eq_income_f3]) / 100)^(1/12) - 1</f>
        <v/>
      </c>
      <c r="L58" s="19">
        <f>(1 + ([eq_growth_f4] + [eq_income_f4]) / 100)^(1/12) - 1</f>
        <v/>
      </c>
      <c r="M58" s="19">
        <f>(1 + ([eq_growth_f5] + [eq_income_f5]) / 100)^(1/12) - 1</f>
        <v/>
      </c>
      <c r="N58" s="19">
        <f>(1 + ([eq_growth_f6] + [eq_income_f6]) / 100)^(1/12) - 1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>
        <f>(1 + ([eq_growth_f1] + [eq_income_f1]) / 100)^(1/12) - 1</f>
        <v/>
      </c>
      <c r="J59" s="21">
        <f>(1 + ([eq_growth_f2] + [eq_income_f2]) / 100)^(1/12) - 1</f>
        <v/>
      </c>
      <c r="K59" s="21">
        <f>(1 + ([eq_growth_f3] + [eq_income_f3]) / 100)^(1/12) - 1</f>
        <v/>
      </c>
      <c r="L59" s="21">
        <f>(1 + ([eq_growth_f4] + [eq_income_f4]) / 100)^(1/12) - 1</f>
        <v/>
      </c>
      <c r="M59" s="21">
        <f>(1 + ([eq_growth_f5] + [eq_income_f5]) / 100)^(1/12) - 1</f>
        <v/>
      </c>
      <c r="N59" s="21">
        <f>(1 + ([eq_growth_f6] + [eq_income_f6]) / 100)^(1/12) - 1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>
        <f>(1 + ([eq_growth_f1] + [eq_income_f1]) / 100)^(1/12) - 1</f>
        <v/>
      </c>
      <c r="J60" s="19">
        <f>(1 + ([eq_growth_f2] + [eq_income_f2]) / 100)^(1/12) - 1</f>
        <v/>
      </c>
      <c r="K60" s="19">
        <f>(1 + ([eq_growth_f3] + [eq_income_f3]) / 100)^(1/12) - 1</f>
        <v/>
      </c>
      <c r="L60" s="19">
        <f>(1 + ([eq_growth_f4] + [eq_income_f4]) / 100)^(1/12) - 1</f>
        <v/>
      </c>
      <c r="M60" s="19">
        <f>(1 + ([eq_growth_f5] + [eq_income_f5]) / 100)^(1/12) - 1</f>
        <v/>
      </c>
      <c r="N60" s="19">
        <f>(1 + ([eq_growth_f6] + [eq_income_f6]) / 100)^(1/12) - 1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>
        <f>(1 + ([eq_growth_f1] + [eq_income_f1]) / 100)^(1/12) - 1</f>
        <v/>
      </c>
      <c r="J61" s="21">
        <f>(1 + ([eq_growth_f2] + [eq_income_f2]) / 100)^(1/12) - 1</f>
        <v/>
      </c>
      <c r="K61" s="21">
        <f>(1 + ([eq_growth_f3] + [eq_income_f3]) / 100)^(1/12) - 1</f>
        <v/>
      </c>
      <c r="L61" s="21">
        <f>(1 + ([eq_growth_f4] + [eq_income_f4]) / 100)^(1/12) - 1</f>
        <v/>
      </c>
      <c r="M61" s="21">
        <f>(1 + ([eq_growth_f5] + [eq_income_f5]) / 100)^(1/12) - 1</f>
        <v/>
      </c>
      <c r="N61" s="21">
        <f>(1 + ([eq_growth_f6] + [eq_income_f6]) / 100)^(1/12) - 1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>
        <f>(1 + ([eq_growth_f1] + [eq_income_f1]) / 100)^(1/12) - 1</f>
        <v/>
      </c>
      <c r="J62" s="19">
        <f>(1 + ([eq_growth_f2] + [eq_income_f2]) / 100)^(1/12) - 1</f>
        <v/>
      </c>
      <c r="K62" s="19">
        <f>(1 + ([eq_growth_f3] + [eq_income_f3]) / 100)^(1/12) - 1</f>
        <v/>
      </c>
      <c r="L62" s="19">
        <f>(1 + ([eq_growth_f4] + [eq_income_f4]) / 100)^(1/12) - 1</f>
        <v/>
      </c>
      <c r="M62" s="19">
        <f>(1 + ([eq_growth_f5] + [eq_income_f5]) / 100)^(1/12) - 1</f>
        <v/>
      </c>
      <c r="N62" s="19">
        <f>(1 + ([eq_growth_f6] + [eq_income_f6]) / 100)^(1/12) - 1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>
        <f>(1 + ([eq_growth_f1] + [eq_income_f1]) / 100)^(1/12) - 1</f>
        <v/>
      </c>
      <c r="J63" s="21">
        <f>(1 + ([eq_growth_f2] + [eq_income_f2]) / 100)^(1/12) - 1</f>
        <v/>
      </c>
      <c r="K63" s="21">
        <f>(1 + ([eq_growth_f3] + [eq_income_f3]) / 100)^(1/12) - 1</f>
        <v/>
      </c>
      <c r="L63" s="21">
        <f>(1 + ([eq_growth_f4] + [eq_income_f4]) / 100)^(1/12) - 1</f>
        <v/>
      </c>
      <c r="M63" s="21">
        <f>(1 + ([eq_growth_f5] + [eq_income_f5]) / 100)^(1/12) - 1</f>
        <v/>
      </c>
      <c r="N63" s="21">
        <f>(1 + ([eq_growth_f6] + [eq_income_f6]) / 100)^(1/12) - 1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>
        <f>(1 + ([eq_growth_f1] + [eq_income_f1]) / 100)^(1/12) - 1</f>
        <v/>
      </c>
      <c r="J64" s="19">
        <f>(1 + ([eq_growth_f2] + [eq_income_f2]) / 100)^(1/12) - 1</f>
        <v/>
      </c>
      <c r="K64" s="19">
        <f>(1 + ([eq_growth_f3] + [eq_income_f3]) / 100)^(1/12) - 1</f>
        <v/>
      </c>
      <c r="L64" s="19">
        <f>(1 + ([eq_growth_f4] + [eq_income_f4]) / 100)^(1/12) - 1</f>
        <v/>
      </c>
      <c r="M64" s="19">
        <f>(1 + ([eq_growth_f5] + [eq_income_f5]) / 100)^(1/12) - 1</f>
        <v/>
      </c>
      <c r="N64" s="19">
        <f>(1 + ([eq_growth_f6] + [eq_income_f6]) / 100)^(1/12) - 1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>
        <f>(1 + ([eq_growth_f1] + [eq_income_f1]) / 100)^(1/12) - 1</f>
        <v/>
      </c>
      <c r="J65" s="21">
        <f>(1 + ([eq_growth_f2] + [eq_income_f2]) / 100)^(1/12) - 1</f>
        <v/>
      </c>
      <c r="K65" s="21">
        <f>(1 + ([eq_growth_f3] + [eq_income_f3]) / 100)^(1/12) - 1</f>
        <v/>
      </c>
      <c r="L65" s="21">
        <f>(1 + ([eq_growth_f4] + [eq_income_f4]) / 100)^(1/12) - 1</f>
        <v/>
      </c>
      <c r="M65" s="21">
        <f>(1 + ([eq_growth_f5] + [eq_income_f5]) / 100)^(1/12) - 1</f>
        <v/>
      </c>
      <c r="N65" s="21">
        <f>(1 + ([eq_growth_f6] + [eq_income_f6]) / 100)^(1/12) - 1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>
        <f>(1 + ([eq_growth_f1] + [eq_income_f1]) / 100)^(1/12) - 1</f>
        <v/>
      </c>
      <c r="J66" s="19">
        <f>(1 + ([eq_growth_f2] + [eq_income_f2]) / 100)^(1/12) - 1</f>
        <v/>
      </c>
      <c r="K66" s="19">
        <f>(1 + ([eq_growth_f3] + [eq_income_f3]) / 100)^(1/12) - 1</f>
        <v/>
      </c>
      <c r="L66" s="19">
        <f>(1 + ([eq_growth_f4] + [eq_income_f4]) / 100)^(1/12) - 1</f>
        <v/>
      </c>
      <c r="M66" s="19">
        <f>(1 + ([eq_growth_f5] + [eq_income_f5]) / 100)^(1/12) - 1</f>
        <v/>
      </c>
      <c r="N66" s="19">
        <f>(1 + ([eq_growth_f6] + [eq_income_f6]) / 100)^(1/12) - 1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>
        <f>(1 + ([eq_growth_f1] + [eq_income_f1]) / 100)^(1/12) - 1</f>
        <v/>
      </c>
      <c r="J67" s="21">
        <f>(1 + ([eq_growth_f2] + [eq_income_f2]) / 100)^(1/12) - 1</f>
        <v/>
      </c>
      <c r="K67" s="21">
        <f>(1 + ([eq_growth_f3] + [eq_income_f3]) / 100)^(1/12) - 1</f>
        <v/>
      </c>
      <c r="L67" s="21">
        <f>(1 + ([eq_growth_f4] + [eq_income_f4]) / 100)^(1/12) - 1</f>
        <v/>
      </c>
      <c r="M67" s="21">
        <f>(1 + ([eq_growth_f5] + [eq_income_f5]) / 100)^(1/12) - 1</f>
        <v/>
      </c>
      <c r="N67" s="21">
        <f>(1 + ([eq_growth_f6] + [eq_income_f6]) / 100)^(1/12) - 1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>
        <f>(1 + ([eq_growth_f1] + [eq_income_f1]) / 100)^(1/12) - 1</f>
        <v/>
      </c>
      <c r="J68" s="19">
        <f>(1 + ([eq_growth_f2] + [eq_income_f2]) / 100)^(1/12) - 1</f>
        <v/>
      </c>
      <c r="K68" s="19">
        <f>(1 + ([eq_growth_f3] + [eq_income_f3]) / 100)^(1/12) - 1</f>
        <v/>
      </c>
      <c r="L68" s="19">
        <f>(1 + ([eq_growth_f4] + [eq_income_f4]) / 100)^(1/12) - 1</f>
        <v/>
      </c>
      <c r="M68" s="19">
        <f>(1 + ([eq_growth_f5] + [eq_income_f5]) / 100)^(1/12) - 1</f>
        <v/>
      </c>
      <c r="N68" s="19">
        <f>(1 + ([eq_growth_f6] + [eq_income_f6]) / 100)^(1/12) - 1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>
        <f>(1 + ([eq_growth_f1] + [eq_income_f1]) / 100)^(1/12) - 1</f>
        <v/>
      </c>
      <c r="J69" s="21">
        <f>(1 + ([eq_growth_f2] + [eq_income_f2]) / 100)^(1/12) - 1</f>
        <v/>
      </c>
      <c r="K69" s="21">
        <f>(1 + ([eq_growth_f3] + [eq_income_f3]) / 100)^(1/12) - 1</f>
        <v/>
      </c>
      <c r="L69" s="21">
        <f>(1 + ([eq_growth_f4] + [eq_income_f4]) / 100)^(1/12) - 1</f>
        <v/>
      </c>
      <c r="M69" s="21">
        <f>(1 + ([eq_growth_f5] + [eq_income_f5]) / 100)^(1/12) - 1</f>
        <v/>
      </c>
      <c r="N69" s="21">
        <f>(1 + ([eq_growth_f6] + [eq_income_f6]) / 100)^(1/12) - 1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>
        <f>(1 + ([eq_growth_f1] + [eq_income_f1]) / 100)^(1/12) - 1</f>
        <v/>
      </c>
      <c r="J70" s="19">
        <f>(1 + ([eq_growth_f2] + [eq_income_f2]) / 100)^(1/12) - 1</f>
        <v/>
      </c>
      <c r="K70" s="19">
        <f>(1 + ([eq_growth_f3] + [eq_income_f3]) / 100)^(1/12) - 1</f>
        <v/>
      </c>
      <c r="L70" s="19">
        <f>(1 + ([eq_growth_f4] + [eq_income_f4]) / 100)^(1/12) - 1</f>
        <v/>
      </c>
      <c r="M70" s="19">
        <f>(1 + ([eq_growth_f5] + [eq_income_f5]) / 100)^(1/12) - 1</f>
        <v/>
      </c>
      <c r="N70" s="19">
        <f>(1 + ([eq_growth_f6] + [eq_income_f6]) / 100)^(1/12) - 1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>
        <f>(1 + ([eq_growth_f1] + [eq_income_f1]) / 100)^(1/12) - 1</f>
        <v/>
      </c>
      <c r="J71" s="21">
        <f>(1 + ([eq_growth_f2] + [eq_income_f2]) / 100)^(1/12) - 1</f>
        <v/>
      </c>
      <c r="K71" s="21">
        <f>(1 + ([eq_growth_f3] + [eq_income_f3]) / 100)^(1/12) - 1</f>
        <v/>
      </c>
      <c r="L71" s="21">
        <f>(1 + ([eq_growth_f4] + [eq_income_f4]) / 100)^(1/12) - 1</f>
        <v/>
      </c>
      <c r="M71" s="21">
        <f>(1 + ([eq_growth_f5] + [eq_income_f5]) / 100)^(1/12) - 1</f>
        <v/>
      </c>
      <c r="N71" s="21">
        <f>(1 + ([eq_growth_f6] + [eq_income_f6]) / 100)^(1/12) - 1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>
        <f>(1 + ([eq_growth_f1] + [eq_income_f1]) / 100)^(1/12) - 1</f>
        <v/>
      </c>
      <c r="J72" s="19">
        <f>(1 + ([eq_growth_f2] + [eq_income_f2]) / 100)^(1/12) - 1</f>
        <v/>
      </c>
      <c r="K72" s="19">
        <f>(1 + ([eq_growth_f3] + [eq_income_f3]) / 100)^(1/12) - 1</f>
        <v/>
      </c>
      <c r="L72" s="19">
        <f>(1 + ([eq_growth_f4] + [eq_income_f4]) / 100)^(1/12) - 1</f>
        <v/>
      </c>
      <c r="M72" s="19">
        <f>(1 + ([eq_growth_f5] + [eq_income_f5]) / 100)^(1/12) - 1</f>
        <v/>
      </c>
      <c r="N72" s="19">
        <f>(1 + ([eq_growth_f6] + [eq_income_f6]) / 100)^(1/12) - 1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>
        <f>(1 + ([eq_growth_f1] + [eq_income_f1]) / 100)^(1/12) - 1</f>
        <v/>
      </c>
      <c r="J73" s="21">
        <f>(1 + ([eq_growth_f2] + [eq_income_f2]) / 100)^(1/12) - 1</f>
        <v/>
      </c>
      <c r="K73" s="21">
        <f>(1 + ([eq_growth_f3] + [eq_income_f3]) / 100)^(1/12) - 1</f>
        <v/>
      </c>
      <c r="L73" s="21">
        <f>(1 + ([eq_growth_f4] + [eq_income_f4]) / 100)^(1/12) - 1</f>
        <v/>
      </c>
      <c r="M73" s="21">
        <f>(1 + ([eq_growth_f5] + [eq_income_f5]) / 100)^(1/12) - 1</f>
        <v/>
      </c>
      <c r="N73" s="21">
        <f>(1 + ([eq_growth_f6] + [eq_income_f6]) / 100)^(1/12) - 1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>
        <f>(1 + ([eq_growth_f1] + [eq_income_f1]) / 100)^(1/12) - 1</f>
        <v/>
      </c>
      <c r="J74" s="19">
        <f>(1 + ([eq_growth_f2] + [eq_income_f2]) / 100)^(1/12) - 1</f>
        <v/>
      </c>
      <c r="K74" s="19">
        <f>(1 + ([eq_growth_f3] + [eq_income_f3]) / 100)^(1/12) - 1</f>
        <v/>
      </c>
      <c r="L74" s="19">
        <f>(1 + ([eq_growth_f4] + [eq_income_f4]) / 100)^(1/12) - 1</f>
        <v/>
      </c>
      <c r="M74" s="19">
        <f>(1 + ([eq_growth_f5] + [eq_income_f5]) / 100)^(1/12) - 1</f>
        <v/>
      </c>
      <c r="N74" s="19">
        <f>(1 + ([eq_growth_f6] + [eq_income_f6]) / 100)^(1/12) - 1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>
        <f>(1 + ([eq_growth_f1] + [eq_income_f1]) / 100)^(1/12) - 1</f>
        <v/>
      </c>
      <c r="J75" s="21">
        <f>(1 + ([eq_growth_f2] + [eq_income_f2]) / 100)^(1/12) - 1</f>
        <v/>
      </c>
      <c r="K75" s="21">
        <f>(1 + ([eq_growth_f3] + [eq_income_f3]) / 100)^(1/12) - 1</f>
        <v/>
      </c>
      <c r="L75" s="21">
        <f>(1 + ([eq_growth_f4] + [eq_income_f4]) / 100)^(1/12) - 1</f>
        <v/>
      </c>
      <c r="M75" s="21">
        <f>(1 + ([eq_growth_f5] + [eq_income_f5]) / 100)^(1/12) - 1</f>
        <v/>
      </c>
      <c r="N75" s="21">
        <f>(1 + ([eq_growth_f6] + [eq_income_f6]) / 100)^(1/12) - 1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>
        <f>(1 + ([eq_growth_f1] + [eq_income_f1]) / 100)^(1/12) - 1</f>
        <v/>
      </c>
      <c r="J76" s="19">
        <f>(1 + ([eq_growth_f2] + [eq_income_f2]) / 100)^(1/12) - 1</f>
        <v/>
      </c>
      <c r="K76" s="19">
        <f>(1 + ([eq_growth_f3] + [eq_income_f3]) / 100)^(1/12) - 1</f>
        <v/>
      </c>
      <c r="L76" s="19">
        <f>(1 + ([eq_growth_f4] + [eq_income_f4]) / 100)^(1/12) - 1</f>
        <v/>
      </c>
      <c r="M76" s="19">
        <f>(1 + ([eq_growth_f5] + [eq_income_f5]) / 100)^(1/12) - 1</f>
        <v/>
      </c>
      <c r="N76" s="19">
        <f>(1 + ([eq_growth_f6] + [eq_income_f6]) / 100)^(1/12) - 1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>
        <f>(1 + ([eq_growth_f1] + [eq_income_f1]) / 100)^(1/12) - 1</f>
        <v/>
      </c>
      <c r="J77" s="21">
        <f>(1 + ([eq_growth_f2] + [eq_income_f2]) / 100)^(1/12) - 1</f>
        <v/>
      </c>
      <c r="K77" s="21">
        <f>(1 + ([eq_growth_f3] + [eq_income_f3]) / 100)^(1/12) - 1</f>
        <v/>
      </c>
      <c r="L77" s="21">
        <f>(1 + ([eq_growth_f4] + [eq_income_f4]) / 100)^(1/12) - 1</f>
        <v/>
      </c>
      <c r="M77" s="21">
        <f>(1 + ([eq_growth_f5] + [eq_income_f5]) / 100)^(1/12) - 1</f>
        <v/>
      </c>
      <c r="N77" s="21">
        <f>(1 + ([eq_growth_f6] + [eq_income_f6]) / 100)^(1/12) - 1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>
        <f>(1 + ([eq_growth_f1] + [eq_income_f1]) / 100)^(1/12) - 1</f>
        <v/>
      </c>
      <c r="J78" s="19">
        <f>(1 + ([eq_growth_f2] + [eq_income_f2]) / 100)^(1/12) - 1</f>
        <v/>
      </c>
      <c r="K78" s="19">
        <f>(1 + ([eq_growth_f3] + [eq_income_f3]) / 100)^(1/12) - 1</f>
        <v/>
      </c>
      <c r="L78" s="19">
        <f>(1 + ([eq_growth_f4] + [eq_income_f4]) / 100)^(1/12) - 1</f>
        <v/>
      </c>
      <c r="M78" s="19">
        <f>(1 + ([eq_growth_f5] + [eq_income_f5]) / 100)^(1/12) - 1</f>
        <v/>
      </c>
      <c r="N78" s="19">
        <f>(1 + ([eq_growth_f6] + [eq_income_f6]) / 100)^(1/12) - 1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>
        <f>(1 + ([eq_growth_f1] + [eq_income_f1]) / 100)^(1/12) - 1</f>
        <v/>
      </c>
      <c r="J79" s="21">
        <f>(1 + ([eq_growth_f2] + [eq_income_f2]) / 100)^(1/12) - 1</f>
        <v/>
      </c>
      <c r="K79" s="21">
        <f>(1 + ([eq_growth_f3] + [eq_income_f3]) / 100)^(1/12) - 1</f>
        <v/>
      </c>
      <c r="L79" s="21">
        <f>(1 + ([eq_growth_f4] + [eq_income_f4]) / 100)^(1/12) - 1</f>
        <v/>
      </c>
      <c r="M79" s="21">
        <f>(1 + ([eq_growth_f5] + [eq_income_f5]) / 100)^(1/12) - 1</f>
        <v/>
      </c>
      <c r="N79" s="21">
        <f>(1 + ([eq_growth_f6] + [eq_income_f6]) / 100)^(1/12) - 1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>
        <f>(1 + ([eq_growth_f1] + [eq_income_f1]) / 100)^(1/12) - 1</f>
        <v/>
      </c>
      <c r="J80" s="19">
        <f>(1 + ([eq_growth_f2] + [eq_income_f2]) / 100)^(1/12) - 1</f>
        <v/>
      </c>
      <c r="K80" s="19">
        <f>(1 + ([eq_growth_f3] + [eq_income_f3]) / 100)^(1/12) - 1</f>
        <v/>
      </c>
      <c r="L80" s="19">
        <f>(1 + ([eq_growth_f4] + [eq_income_f4]) / 100)^(1/12) - 1</f>
        <v/>
      </c>
      <c r="M80" s="19">
        <f>(1 + ([eq_growth_f5] + [eq_income_f5]) / 100)^(1/12) - 1</f>
        <v/>
      </c>
      <c r="N80" s="19">
        <f>(1 + ([eq_growth_f6] + [eq_income_f6]) / 100)^(1/12) - 1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>
        <f>(1 + ([eq_growth_f1] + [eq_income_f1]) / 100)^(1/12) - 1</f>
        <v/>
      </c>
      <c r="J81" s="21">
        <f>(1 + ([eq_growth_f2] + [eq_income_f2]) / 100)^(1/12) - 1</f>
        <v/>
      </c>
      <c r="K81" s="21">
        <f>(1 + ([eq_growth_f3] + [eq_income_f3]) / 100)^(1/12) - 1</f>
        <v/>
      </c>
      <c r="L81" s="21">
        <f>(1 + ([eq_growth_f4] + [eq_income_f4]) / 100)^(1/12) - 1</f>
        <v/>
      </c>
      <c r="M81" s="21">
        <f>(1 + ([eq_growth_f5] + [eq_income_f5]) / 100)^(1/12) - 1</f>
        <v/>
      </c>
      <c r="N81" s="21">
        <f>(1 + ([eq_growth_f6] + [eq_income_f6]) / 100)^(1/12) - 1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>
        <f>(1 + ([eq_growth_f1] + [eq_income_f1]) / 100)^(1/12) - 1</f>
        <v/>
      </c>
      <c r="J82" s="19">
        <f>(1 + ([eq_growth_f2] + [eq_income_f2]) / 100)^(1/12) - 1</f>
        <v/>
      </c>
      <c r="K82" s="19">
        <f>(1 + ([eq_growth_f3] + [eq_income_f3]) / 100)^(1/12) - 1</f>
        <v/>
      </c>
      <c r="L82" s="19">
        <f>(1 + ([eq_growth_f4] + [eq_income_f4]) / 100)^(1/12) - 1</f>
        <v/>
      </c>
      <c r="M82" s="19">
        <f>(1 + ([eq_growth_f5] + [eq_income_f5]) / 100)^(1/12) - 1</f>
        <v/>
      </c>
      <c r="N82" s="19">
        <f>(1 + ([eq_growth_f6] + [eq_income_f6]) / 100)^(1/12) - 1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>
        <f>(1 + ([eq_growth_f1] + [eq_income_f1]) / 100)^(1/12) - 1</f>
        <v/>
      </c>
      <c r="J83" s="21">
        <f>(1 + ([eq_growth_f2] + [eq_income_f2]) / 100)^(1/12) - 1</f>
        <v/>
      </c>
      <c r="K83" s="21">
        <f>(1 + ([eq_growth_f3] + [eq_income_f3]) / 100)^(1/12) - 1</f>
        <v/>
      </c>
      <c r="L83" s="21">
        <f>(1 + ([eq_growth_f4] + [eq_income_f4]) / 100)^(1/12) - 1</f>
        <v/>
      </c>
      <c r="M83" s="21">
        <f>(1 + ([eq_growth_f5] + [eq_income_f5]) / 100)^(1/12) - 1</f>
        <v/>
      </c>
      <c r="N83" s="21">
        <f>(1 + ([eq_growth_f6] + [eq_income_f6]) / 100)^(1/12) - 1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>
        <f>(1 + ([eq_growth_f1] + [eq_income_f1]) / 100)^(1/12) - 1</f>
        <v/>
      </c>
      <c r="J84" s="19">
        <f>(1 + ([eq_growth_f2] + [eq_income_f2]) / 100)^(1/12) - 1</f>
        <v/>
      </c>
      <c r="K84" s="19">
        <f>(1 + ([eq_growth_f3] + [eq_income_f3]) / 100)^(1/12) - 1</f>
        <v/>
      </c>
      <c r="L84" s="19">
        <f>(1 + ([eq_growth_f4] + [eq_income_f4]) / 100)^(1/12) - 1</f>
        <v/>
      </c>
      <c r="M84" s="19">
        <f>(1 + ([eq_growth_f5] + [eq_income_f5]) / 100)^(1/12) - 1</f>
        <v/>
      </c>
      <c r="N84" s="19">
        <f>(1 + ([eq_growth_f6] + [eq_income_f6]) / 100)^(1/12) - 1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>
        <f>(1 + ([eq_growth_f1] + [eq_income_f1]) / 100)^(1/12) - 1</f>
        <v/>
      </c>
      <c r="J85" s="21">
        <f>(1 + ([eq_growth_f2] + [eq_income_f2]) / 100)^(1/12) - 1</f>
        <v/>
      </c>
      <c r="K85" s="21">
        <f>(1 + ([eq_growth_f3] + [eq_income_f3]) / 100)^(1/12) - 1</f>
        <v/>
      </c>
      <c r="L85" s="21">
        <f>(1 + ([eq_growth_f4] + [eq_income_f4]) / 100)^(1/12) - 1</f>
        <v/>
      </c>
      <c r="M85" s="21">
        <f>(1 + ([eq_growth_f5] + [eq_income_f5]) / 100)^(1/12) - 1</f>
        <v/>
      </c>
      <c r="N85" s="21">
        <f>(1 + ([eq_growth_f6] + [eq_income_f6]) / 100)^(1/12) - 1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>
        <f>(1 + ([eq_growth_f1] + [eq_income_f1]) / 100)^(1/12) - 1</f>
        <v/>
      </c>
      <c r="J86" s="19">
        <f>(1 + ([eq_growth_f2] + [eq_income_f2]) / 100)^(1/12) - 1</f>
        <v/>
      </c>
      <c r="K86" s="19">
        <f>(1 + ([eq_growth_f3] + [eq_income_f3]) / 100)^(1/12) - 1</f>
        <v/>
      </c>
      <c r="L86" s="19">
        <f>(1 + ([eq_growth_f4] + [eq_income_f4]) / 100)^(1/12) - 1</f>
        <v/>
      </c>
      <c r="M86" s="19">
        <f>(1 + ([eq_growth_f5] + [eq_income_f5]) / 100)^(1/12) - 1</f>
        <v/>
      </c>
      <c r="N86" s="19">
        <f>(1 + ([eq_growth_f6] + [eq_income_f6]) / 100)^(1/12) - 1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>
        <f>(1 + ([eq_growth_f1] + [eq_income_f1]) / 100)^(1/12) - 1</f>
        <v/>
      </c>
      <c r="J87" s="21">
        <f>(1 + ([eq_growth_f2] + [eq_income_f2]) / 100)^(1/12) - 1</f>
        <v/>
      </c>
      <c r="K87" s="21">
        <f>(1 + ([eq_growth_f3] + [eq_income_f3]) / 100)^(1/12) - 1</f>
        <v/>
      </c>
      <c r="L87" s="21">
        <f>(1 + ([eq_growth_f4] + [eq_income_f4]) / 100)^(1/12) - 1</f>
        <v/>
      </c>
      <c r="M87" s="21">
        <f>(1 + ([eq_growth_f5] + [eq_income_f5]) / 100)^(1/12) - 1</f>
        <v/>
      </c>
      <c r="N87" s="21">
        <f>(1 + ([eq_growth_f6] + [eq_income_f6]) / 100)^(1/12) - 1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>
        <f>(1 + ([eq_growth_f1] + [eq_income_f1]) / 100)^(1/12) - 1</f>
        <v/>
      </c>
      <c r="J88" s="19">
        <f>(1 + ([eq_growth_f2] + [eq_income_f2]) / 100)^(1/12) - 1</f>
        <v/>
      </c>
      <c r="K88" s="19">
        <f>(1 + ([eq_growth_f3] + [eq_income_f3]) / 100)^(1/12) - 1</f>
        <v/>
      </c>
      <c r="L88" s="19">
        <f>(1 + ([eq_growth_f4] + [eq_income_f4]) / 100)^(1/12) - 1</f>
        <v/>
      </c>
      <c r="M88" s="19">
        <f>(1 + ([eq_growth_f5] + [eq_income_f5]) / 100)^(1/12) - 1</f>
        <v/>
      </c>
      <c r="N88" s="19">
        <f>(1 + ([eq_growth_f6] + [eq_income_f6]) / 100)^(1/12) - 1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>
        <f>(1 + ([eq_growth_f1] + [eq_income_f1]) / 100)^(1/12) - 1</f>
        <v/>
      </c>
      <c r="J89" s="21">
        <f>(1 + ([eq_growth_f2] + [eq_income_f2]) / 100)^(1/12) - 1</f>
        <v/>
      </c>
      <c r="K89" s="21">
        <f>(1 + ([eq_growth_f3] + [eq_income_f3]) / 100)^(1/12) - 1</f>
        <v/>
      </c>
      <c r="L89" s="21">
        <f>(1 + ([eq_growth_f4] + [eq_income_f4]) / 100)^(1/12) - 1</f>
        <v/>
      </c>
      <c r="M89" s="21">
        <f>(1 + ([eq_growth_f5] + [eq_income_f5]) / 100)^(1/12) - 1</f>
        <v/>
      </c>
      <c r="N89" s="21">
        <f>(1 + ([eq_growth_f6] + [eq_income_f6]) / 100)^(1/12) - 1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>
        <f>(1 + ([eq_growth_f1] + [eq_income_f1]) / 100)^(1/12) - 1</f>
        <v/>
      </c>
      <c r="J90" s="19">
        <f>(1 + ([eq_growth_f2] + [eq_income_f2]) / 100)^(1/12) - 1</f>
        <v/>
      </c>
      <c r="K90" s="19">
        <f>(1 + ([eq_growth_f3] + [eq_income_f3]) / 100)^(1/12) - 1</f>
        <v/>
      </c>
      <c r="L90" s="19">
        <f>(1 + ([eq_growth_f4] + [eq_income_f4]) / 100)^(1/12) - 1</f>
        <v/>
      </c>
      <c r="M90" s="19">
        <f>(1 + ([eq_growth_f5] + [eq_income_f5]) / 100)^(1/12) - 1</f>
        <v/>
      </c>
      <c r="N90" s="19">
        <f>(1 + ([eq_growth_f6] + [eq_income_f6]) / 100)^(1/12) - 1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>
        <f>(1 + ([eq_growth_f1] + [eq_income_f1]) / 100)^(1/12) - 1</f>
        <v/>
      </c>
      <c r="J91" s="21">
        <f>(1 + ([eq_growth_f2] + [eq_income_f2]) / 100)^(1/12) - 1</f>
        <v/>
      </c>
      <c r="K91" s="21">
        <f>(1 + ([eq_growth_f3] + [eq_income_f3]) / 100)^(1/12) - 1</f>
        <v/>
      </c>
      <c r="L91" s="21">
        <f>(1 + ([eq_growth_f4] + [eq_income_f4]) / 100)^(1/12) - 1</f>
        <v/>
      </c>
      <c r="M91" s="21">
        <f>(1 + ([eq_growth_f5] + [eq_income_f5]) / 100)^(1/12) - 1</f>
        <v/>
      </c>
      <c r="N91" s="21">
        <f>(1 + ([eq_growth_f6] + [eq_income_f6]) / 100)^(1/12) - 1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>
        <f>(1 + ([eq_growth_f1] + [eq_income_f1]) / 100)^(1/12) - 1</f>
        <v/>
      </c>
      <c r="J92" s="19">
        <f>(1 + ([eq_growth_f2] + [eq_income_f2]) / 100)^(1/12) - 1</f>
        <v/>
      </c>
      <c r="K92" s="19">
        <f>(1 + ([eq_growth_f3] + [eq_income_f3]) / 100)^(1/12) - 1</f>
        <v/>
      </c>
      <c r="L92" s="19">
        <f>(1 + ([eq_growth_f4] + [eq_income_f4]) / 100)^(1/12) - 1</f>
        <v/>
      </c>
      <c r="M92" s="19">
        <f>(1 + ([eq_growth_f5] + [eq_income_f5]) / 100)^(1/12) - 1</f>
        <v/>
      </c>
      <c r="N92" s="19">
        <f>(1 + ([eq_growth_f6] + [eq_income_f6]) / 100)^(1/12) - 1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>
        <f>(1 + ([eq_growth_f1] + [eq_income_f1]) / 100)^(1/12) - 1</f>
        <v/>
      </c>
      <c r="J93" s="21">
        <f>(1 + ([eq_growth_f2] + [eq_income_f2]) / 100)^(1/12) - 1</f>
        <v/>
      </c>
      <c r="K93" s="21">
        <f>(1 + ([eq_growth_f3] + [eq_income_f3]) / 100)^(1/12) - 1</f>
        <v/>
      </c>
      <c r="L93" s="21">
        <f>(1 + ([eq_growth_f4] + [eq_income_f4]) / 100)^(1/12) - 1</f>
        <v/>
      </c>
      <c r="M93" s="21">
        <f>(1 + ([eq_growth_f5] + [eq_income_f5]) / 100)^(1/12) - 1</f>
        <v/>
      </c>
      <c r="N93" s="21">
        <f>(1 + ([eq_growth_f6] + [eq_income_f6]) / 100)^(1/12) - 1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>
        <f>(1 + ([eq_growth_f1] + [eq_income_f1]) / 100)^(1/12) - 1</f>
        <v/>
      </c>
      <c r="J94" s="19">
        <f>(1 + ([eq_growth_f2] + [eq_income_f2]) / 100)^(1/12) - 1</f>
        <v/>
      </c>
      <c r="K94" s="19">
        <f>(1 + ([eq_growth_f3] + [eq_income_f3]) / 100)^(1/12) - 1</f>
        <v/>
      </c>
      <c r="L94" s="19">
        <f>(1 + ([eq_growth_f4] + [eq_income_f4]) / 100)^(1/12) - 1</f>
        <v/>
      </c>
      <c r="M94" s="19">
        <f>(1 + ([eq_growth_f5] + [eq_income_f5]) / 100)^(1/12) - 1</f>
        <v/>
      </c>
      <c r="N94" s="19">
        <f>(1 + ([eq_growth_f6] + [eq_income_f6]) / 100)^(1/12) - 1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>
        <f>(1 + ([eq_growth_f1] + [eq_income_f1]) / 100)^(1/12) - 1</f>
        <v/>
      </c>
      <c r="J95" s="21">
        <f>(1 + ([eq_growth_f2] + [eq_income_f2]) / 100)^(1/12) - 1</f>
        <v/>
      </c>
      <c r="K95" s="21">
        <f>(1 + ([eq_growth_f3] + [eq_income_f3]) / 100)^(1/12) - 1</f>
        <v/>
      </c>
      <c r="L95" s="21">
        <f>(1 + ([eq_growth_f4] + [eq_income_f4]) / 100)^(1/12) - 1</f>
        <v/>
      </c>
      <c r="M95" s="21">
        <f>(1 + ([eq_growth_f5] + [eq_income_f5]) / 100)^(1/12) - 1</f>
        <v/>
      </c>
      <c r="N95" s="21">
        <f>(1 + ([eq_growth_f6] + [eq_income_f6]) / 100)^(1/12) - 1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>
        <f>(1 + ([eq_growth_f1] + [eq_income_f1]) / 100)^(1/12) - 1</f>
        <v/>
      </c>
      <c r="J96" s="19">
        <f>(1 + ([eq_growth_f2] + [eq_income_f2]) / 100)^(1/12) - 1</f>
        <v/>
      </c>
      <c r="K96" s="19">
        <f>(1 + ([eq_growth_f3] + [eq_income_f3]) / 100)^(1/12) - 1</f>
        <v/>
      </c>
      <c r="L96" s="19">
        <f>(1 + ([eq_growth_f4] + [eq_income_f4]) / 100)^(1/12) - 1</f>
        <v/>
      </c>
      <c r="M96" s="19">
        <f>(1 + ([eq_growth_f5] + [eq_income_f5]) / 100)^(1/12) - 1</f>
        <v/>
      </c>
      <c r="N96" s="19">
        <f>(1 + ([eq_growth_f6] + [eq_income_f6]) / 100)^(1/12) - 1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>
        <f>(1 + ([eq_growth_f1] + [eq_income_f1]) / 100)^(1/12) - 1</f>
        <v/>
      </c>
      <c r="J97" s="21">
        <f>(1 + ([eq_growth_f2] + [eq_income_f2]) / 100)^(1/12) - 1</f>
        <v/>
      </c>
      <c r="K97" s="21">
        <f>(1 + ([eq_growth_f3] + [eq_income_f3]) / 100)^(1/12) - 1</f>
        <v/>
      </c>
      <c r="L97" s="21">
        <f>(1 + ([eq_growth_f4] + [eq_income_f4]) / 100)^(1/12) - 1</f>
        <v/>
      </c>
      <c r="M97" s="21">
        <f>(1 + ([eq_growth_f5] + [eq_income_f5]) / 100)^(1/12) - 1</f>
        <v/>
      </c>
      <c r="N97" s="21">
        <f>(1 + ([eq_growth_f6] + [eq_income_f6]) / 100)^(1/12) - 1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>
        <f>(1 + ([eq_growth_f1] + [eq_income_f1]) / 100)^(1/12) - 1</f>
        <v/>
      </c>
      <c r="J98" s="19">
        <f>(1 + ([eq_growth_f2] + [eq_income_f2]) / 100)^(1/12) - 1</f>
        <v/>
      </c>
      <c r="K98" s="19">
        <f>(1 + ([eq_growth_f3] + [eq_income_f3]) / 100)^(1/12) - 1</f>
        <v/>
      </c>
      <c r="L98" s="19">
        <f>(1 + ([eq_growth_f4] + [eq_income_f4]) / 100)^(1/12) - 1</f>
        <v/>
      </c>
      <c r="M98" s="19">
        <f>(1 + ([eq_growth_f5] + [eq_income_f5]) / 100)^(1/12) - 1</f>
        <v/>
      </c>
      <c r="N98" s="19">
        <f>(1 + ([eq_growth_f6] + [eq_income_f6]) / 100)^(1/12) - 1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>
        <f>(1 + ([eq_growth_f1] + [eq_income_f1]) / 100)^(1/12) - 1</f>
        <v/>
      </c>
      <c r="J99" s="21">
        <f>(1 + ([eq_growth_f2] + [eq_income_f2]) / 100)^(1/12) - 1</f>
        <v/>
      </c>
      <c r="K99" s="21">
        <f>(1 + ([eq_growth_f3] + [eq_income_f3]) / 100)^(1/12) - 1</f>
        <v/>
      </c>
      <c r="L99" s="21">
        <f>(1 + ([eq_growth_f4] + [eq_income_f4]) / 100)^(1/12) - 1</f>
        <v/>
      </c>
      <c r="M99" s="21">
        <f>(1 + ([eq_growth_f5] + [eq_income_f5]) / 100)^(1/12) - 1</f>
        <v/>
      </c>
      <c r="N99" s="21">
        <f>(1 + ([eq_growth_f6] + [eq_income_f6]) / 100)^(1/12) - 1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>
        <f>(1 + ([eq_growth_f1] + [eq_income_f1]) / 100)^(1/12) - 1</f>
        <v/>
      </c>
      <c r="J100" s="19">
        <f>(1 + ([eq_growth_f2] + [eq_income_f2]) / 100)^(1/12) - 1</f>
        <v/>
      </c>
      <c r="K100" s="19">
        <f>(1 + ([eq_growth_f3] + [eq_income_f3]) / 100)^(1/12) - 1</f>
        <v/>
      </c>
      <c r="L100" s="19">
        <f>(1 + ([eq_growth_f4] + [eq_income_f4]) / 100)^(1/12) - 1</f>
        <v/>
      </c>
      <c r="M100" s="19">
        <f>(1 + ([eq_growth_f5] + [eq_income_f5]) / 100)^(1/12) - 1</f>
        <v/>
      </c>
      <c r="N100" s="19">
        <f>(1 + ([eq_growth_f6] + [eq_income_f6]) / 100)^(1/12) - 1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>
        <f>(1 + ([eq_growth_f1] + [eq_income_f1]) / 100)^(1/12) - 1</f>
        <v/>
      </c>
      <c r="J101" s="21">
        <f>(1 + ([eq_growth_f2] + [eq_income_f2]) / 100)^(1/12) - 1</f>
        <v/>
      </c>
      <c r="K101" s="21">
        <f>(1 + ([eq_growth_f3] + [eq_income_f3]) / 100)^(1/12) - 1</f>
        <v/>
      </c>
      <c r="L101" s="21">
        <f>(1 + ([eq_growth_f4] + [eq_income_f4]) / 100)^(1/12) - 1</f>
        <v/>
      </c>
      <c r="M101" s="21">
        <f>(1 + ([eq_growth_f5] + [eq_income_f5]) / 100)^(1/12) - 1</f>
        <v/>
      </c>
      <c r="N101" s="21">
        <f>(1 + ([eq_growth_f6] + [eq_income_f6]) / 100)^(1/12) - 1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>
        <f>(1 + ([eq_growth_f1] + [eq_income_f1]) / 100)^(1/12) - 1</f>
        <v/>
      </c>
      <c r="J102" s="19">
        <f>(1 + ([eq_growth_f2] + [eq_income_f2]) / 100)^(1/12) - 1</f>
        <v/>
      </c>
      <c r="K102" s="19">
        <f>(1 + ([eq_growth_f3] + [eq_income_f3]) / 100)^(1/12) - 1</f>
        <v/>
      </c>
      <c r="L102" s="19">
        <f>(1 + ([eq_growth_f4] + [eq_income_f4]) / 100)^(1/12) - 1</f>
        <v/>
      </c>
      <c r="M102" s="19">
        <f>(1 + ([eq_growth_f5] + [eq_income_f5]) / 100)^(1/12) - 1</f>
        <v/>
      </c>
      <c r="N102" s="19">
        <f>(1 + ([eq_growth_f6] + [eq_income_f6]) / 100)^(1/12) - 1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>
        <f>(1 + ([eq_growth_f1] + [eq_income_f1]) / 100)^(1/12) - 1</f>
        <v/>
      </c>
      <c r="J103" s="21">
        <f>(1 + ([eq_growth_f2] + [eq_income_f2]) / 100)^(1/12) - 1</f>
        <v/>
      </c>
      <c r="K103" s="21">
        <f>(1 + ([eq_growth_f3] + [eq_income_f3]) / 100)^(1/12) - 1</f>
        <v/>
      </c>
      <c r="L103" s="21">
        <f>(1 + ([eq_growth_f4] + [eq_income_f4]) / 100)^(1/12) - 1</f>
        <v/>
      </c>
      <c r="M103" s="21">
        <f>(1 + ([eq_growth_f5] + [eq_income_f5]) / 100)^(1/12) - 1</f>
        <v/>
      </c>
      <c r="N103" s="21">
        <f>(1 + ([eq_growth_f6] + [eq_income_f6]) / 100)^(1/12) - 1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>
        <f>(1 + ([eq_growth_f1] + [eq_income_f1]) / 100)^(1/12) - 1</f>
        <v/>
      </c>
      <c r="J104" s="19">
        <f>(1 + ([eq_growth_f2] + [eq_income_f2]) / 100)^(1/12) - 1</f>
        <v/>
      </c>
      <c r="K104" s="19">
        <f>(1 + ([eq_growth_f3] + [eq_income_f3]) / 100)^(1/12) - 1</f>
        <v/>
      </c>
      <c r="L104" s="19">
        <f>(1 + ([eq_growth_f4] + [eq_income_f4]) / 100)^(1/12) - 1</f>
        <v/>
      </c>
      <c r="M104" s="19">
        <f>(1 + ([eq_growth_f5] + [eq_income_f5]) / 100)^(1/12) - 1</f>
        <v/>
      </c>
      <c r="N104" s="19">
        <f>(1 + ([eq_growth_f6] + [eq_income_f6]) / 100)^(1/12) - 1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>
        <f>(1 + ([eq_growth_f1] + [eq_income_f1]) / 100)^(1/12) - 1</f>
        <v/>
      </c>
      <c r="J105" s="21">
        <f>(1 + ([eq_growth_f2] + [eq_income_f2]) / 100)^(1/12) - 1</f>
        <v/>
      </c>
      <c r="K105" s="21">
        <f>(1 + ([eq_growth_f3] + [eq_income_f3]) / 100)^(1/12) - 1</f>
        <v/>
      </c>
      <c r="L105" s="21">
        <f>(1 + ([eq_growth_f4] + [eq_income_f4]) / 100)^(1/12) - 1</f>
        <v/>
      </c>
      <c r="M105" s="21">
        <f>(1 + ([eq_growth_f5] + [eq_income_f5]) / 100)^(1/12) - 1</f>
        <v/>
      </c>
      <c r="N105" s="21">
        <f>(1 + ([eq_growth_f6] + [eq_income_f6]) / 100)^(1/12) - 1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>
        <f>(1 + ([eq_growth_f1] + [eq_income_f1]) / 100)^(1/12) - 1</f>
        <v/>
      </c>
      <c r="J106" s="19">
        <f>(1 + ([eq_growth_f2] + [eq_income_f2]) / 100)^(1/12) - 1</f>
        <v/>
      </c>
      <c r="K106" s="19">
        <f>(1 + ([eq_growth_f3] + [eq_income_f3]) / 100)^(1/12) - 1</f>
        <v/>
      </c>
      <c r="L106" s="19">
        <f>(1 + ([eq_growth_f4] + [eq_income_f4]) / 100)^(1/12) - 1</f>
        <v/>
      </c>
      <c r="M106" s="19">
        <f>(1 + ([eq_growth_f5] + [eq_income_f5]) / 100)^(1/12) - 1</f>
        <v/>
      </c>
      <c r="N106" s="19">
        <f>(1 + ([eq_growth_f6] + [eq_income_f6]) / 100)^(1/12) - 1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>
        <f>(1 + ([eq_growth_f1] + [eq_income_f1]) / 100)^(1/12) - 1</f>
        <v/>
      </c>
      <c r="J107" s="21">
        <f>(1 + ([eq_growth_f2] + [eq_income_f2]) / 100)^(1/12) - 1</f>
        <v/>
      </c>
      <c r="K107" s="21">
        <f>(1 + ([eq_growth_f3] + [eq_income_f3]) / 100)^(1/12) - 1</f>
        <v/>
      </c>
      <c r="L107" s="21">
        <f>(1 + ([eq_growth_f4] + [eq_income_f4]) / 100)^(1/12) - 1</f>
        <v/>
      </c>
      <c r="M107" s="21">
        <f>(1 + ([eq_growth_f5] + [eq_income_f5]) / 100)^(1/12) - 1</f>
        <v/>
      </c>
      <c r="N107" s="21">
        <f>(1 + ([eq_growth_f6] + [eq_income_f6]) / 100)^(1/12) - 1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>
        <f>(1 + ([eq_growth_f1] + [eq_income_f1]) / 100)^(1/12) - 1</f>
        <v/>
      </c>
      <c r="J108" s="19">
        <f>(1 + ([eq_growth_f2] + [eq_income_f2]) / 100)^(1/12) - 1</f>
        <v/>
      </c>
      <c r="K108" s="19">
        <f>(1 + ([eq_growth_f3] + [eq_income_f3]) / 100)^(1/12) - 1</f>
        <v/>
      </c>
      <c r="L108" s="19">
        <f>(1 + ([eq_growth_f4] + [eq_income_f4]) / 100)^(1/12) - 1</f>
        <v/>
      </c>
      <c r="M108" s="19">
        <f>(1 + ([eq_growth_f5] + [eq_income_f5]) / 100)^(1/12) - 1</f>
        <v/>
      </c>
      <c r="N108" s="19">
        <f>(1 + ([eq_growth_f6] + [eq_income_f6]) / 100)^(1/12) - 1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>
        <f>(1 + ([eq_growth_f1] + [eq_income_f1]) / 100)^(1/12) - 1</f>
        <v/>
      </c>
      <c r="J109" s="21">
        <f>(1 + ([eq_growth_f2] + [eq_income_f2]) / 100)^(1/12) - 1</f>
        <v/>
      </c>
      <c r="K109" s="21">
        <f>(1 + ([eq_growth_f3] + [eq_income_f3]) / 100)^(1/12) - 1</f>
        <v/>
      </c>
      <c r="L109" s="21">
        <f>(1 + ([eq_growth_f4] + [eq_income_f4]) / 100)^(1/12) - 1</f>
        <v/>
      </c>
      <c r="M109" s="21">
        <f>(1 + ([eq_growth_f5] + [eq_income_f5]) / 100)^(1/12) - 1</f>
        <v/>
      </c>
      <c r="N109" s="21">
        <f>(1 + ([eq_growth_f6] + [eq_income_f6]) / 100)^(1/12) - 1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>
        <f>(1 + ([eq_growth_f1] + [eq_income_f1]) / 100)^(1/12) - 1</f>
        <v/>
      </c>
      <c r="J110" s="19">
        <f>(1 + ([eq_growth_f2] + [eq_income_f2]) / 100)^(1/12) - 1</f>
        <v/>
      </c>
      <c r="K110" s="19">
        <f>(1 + ([eq_growth_f3] + [eq_income_f3]) / 100)^(1/12) - 1</f>
        <v/>
      </c>
      <c r="L110" s="19">
        <f>(1 + ([eq_growth_f4] + [eq_income_f4]) / 100)^(1/12) - 1</f>
        <v/>
      </c>
      <c r="M110" s="19">
        <f>(1 + ([eq_growth_f5] + [eq_income_f5]) / 100)^(1/12) - 1</f>
        <v/>
      </c>
      <c r="N110" s="19">
        <f>(1 + ([eq_growth_f6] + [eq_income_f6]) / 100)^(1/12) - 1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>
        <f>(1 + ([eq_growth_f1] + [eq_income_f1]) / 100)^(1/12) - 1</f>
        <v/>
      </c>
      <c r="J111" s="21">
        <f>(1 + ([eq_growth_f2] + [eq_income_f2]) / 100)^(1/12) - 1</f>
        <v/>
      </c>
      <c r="K111" s="21">
        <f>(1 + ([eq_growth_f3] + [eq_income_f3]) / 100)^(1/12) - 1</f>
        <v/>
      </c>
      <c r="L111" s="21">
        <f>(1 + ([eq_growth_f4] + [eq_income_f4]) / 100)^(1/12) - 1</f>
        <v/>
      </c>
      <c r="M111" s="21">
        <f>(1 + ([eq_growth_f5] + [eq_income_f5]) / 100)^(1/12) - 1</f>
        <v/>
      </c>
      <c r="N111" s="21">
        <f>(1 + ([eq_growth_f6] + [eq_income_f6]) / 100)^(1/12) - 1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>
        <f>(1 + ([eq_growth_f1] + [eq_income_f1]) / 100)^(1/12) - 1</f>
        <v/>
      </c>
      <c r="J112" s="19">
        <f>(1 + ([eq_growth_f2] + [eq_income_f2]) / 100)^(1/12) - 1</f>
        <v/>
      </c>
      <c r="K112" s="19">
        <f>(1 + ([eq_growth_f3] + [eq_income_f3]) / 100)^(1/12) - 1</f>
        <v/>
      </c>
      <c r="L112" s="19">
        <f>(1 + ([eq_growth_f4] + [eq_income_f4]) / 100)^(1/12) - 1</f>
        <v/>
      </c>
      <c r="M112" s="19">
        <f>(1 + ([eq_growth_f5] + [eq_income_f5]) / 100)^(1/12) - 1</f>
        <v/>
      </c>
      <c r="N112" s="19">
        <f>(1 + ([eq_growth_f6] + [eq_income_f6]) / 100)^(1/12) - 1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>
        <f>(1 + ([eq_growth_f1] + [eq_income_f1]) / 100)^(1/12) - 1</f>
        <v/>
      </c>
      <c r="J113" s="21">
        <f>(1 + ([eq_growth_f2] + [eq_income_f2]) / 100)^(1/12) - 1</f>
        <v/>
      </c>
      <c r="K113" s="21">
        <f>(1 + ([eq_growth_f3] + [eq_income_f3]) / 100)^(1/12) - 1</f>
        <v/>
      </c>
      <c r="L113" s="21">
        <f>(1 + ([eq_growth_f4] + [eq_income_f4]) / 100)^(1/12) - 1</f>
        <v/>
      </c>
      <c r="M113" s="21">
        <f>(1 + ([eq_growth_f5] + [eq_income_f5]) / 100)^(1/12) - 1</f>
        <v/>
      </c>
      <c r="N113" s="21">
        <f>(1 + ([eq_growth_f6] + [eq_income_f6]) / 100)^(1/12) - 1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>
        <f>(1 + ([eq_growth_f1] + [eq_income_f1]) / 100)^(1/12) - 1</f>
        <v/>
      </c>
      <c r="J114" s="19">
        <f>(1 + ([eq_growth_f2] + [eq_income_f2]) / 100)^(1/12) - 1</f>
        <v/>
      </c>
      <c r="K114" s="19">
        <f>(1 + ([eq_growth_f3] + [eq_income_f3]) / 100)^(1/12) - 1</f>
        <v/>
      </c>
      <c r="L114" s="19">
        <f>(1 + ([eq_growth_f4] + [eq_income_f4]) / 100)^(1/12) - 1</f>
        <v/>
      </c>
      <c r="M114" s="19">
        <f>(1 + ([eq_growth_f5] + [eq_income_f5]) / 100)^(1/12) - 1</f>
        <v/>
      </c>
      <c r="N114" s="19">
        <f>(1 + ([eq_growth_f6] + [eq_income_f6]) / 100)^(1/12) - 1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>
        <f>(1 + ([eq_growth_f1] + [eq_income_f1]) / 100)^(1/12) - 1</f>
        <v/>
      </c>
      <c r="J115" s="21">
        <f>(1 + ([eq_growth_f2] + [eq_income_f2]) / 100)^(1/12) - 1</f>
        <v/>
      </c>
      <c r="K115" s="21">
        <f>(1 + ([eq_growth_f3] + [eq_income_f3]) / 100)^(1/12) - 1</f>
        <v/>
      </c>
      <c r="L115" s="21">
        <f>(1 + ([eq_growth_f4] + [eq_income_f4]) / 100)^(1/12) - 1</f>
        <v/>
      </c>
      <c r="M115" s="21">
        <f>(1 + ([eq_growth_f5] + [eq_income_f5]) / 100)^(1/12) - 1</f>
        <v/>
      </c>
      <c r="N115" s="21">
        <f>(1 + ([eq_growth_f6] + [eq_income_f6]) / 100)^(1/12) - 1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>
        <f>(1 + ([eq_growth_f1] + [eq_income_f1]) / 100)^(1/12) - 1</f>
        <v/>
      </c>
      <c r="J116" s="19">
        <f>(1 + ([eq_growth_f2] + [eq_income_f2]) / 100)^(1/12) - 1</f>
        <v/>
      </c>
      <c r="K116" s="19">
        <f>(1 + ([eq_growth_f3] + [eq_income_f3]) / 100)^(1/12) - 1</f>
        <v/>
      </c>
      <c r="L116" s="19">
        <f>(1 + ([eq_growth_f4] + [eq_income_f4]) / 100)^(1/12) - 1</f>
        <v/>
      </c>
      <c r="M116" s="19">
        <f>(1 + ([eq_growth_f5] + [eq_income_f5]) / 100)^(1/12) - 1</f>
        <v/>
      </c>
      <c r="N116" s="19">
        <f>(1 + ([eq_growth_f6] + [eq_income_f6]) / 100)^(1/12) - 1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>
        <f>(1 + ([eq_growth_f1] + [eq_income_f1]) / 100)^(1/12) - 1</f>
        <v/>
      </c>
      <c r="J117" s="21">
        <f>(1 + ([eq_growth_f2] + [eq_income_f2]) / 100)^(1/12) - 1</f>
        <v/>
      </c>
      <c r="K117" s="21">
        <f>(1 + ([eq_growth_f3] + [eq_income_f3]) / 100)^(1/12) - 1</f>
        <v/>
      </c>
      <c r="L117" s="21">
        <f>(1 + ([eq_growth_f4] + [eq_income_f4]) / 100)^(1/12) - 1</f>
        <v/>
      </c>
      <c r="M117" s="21">
        <f>(1 + ([eq_growth_f5] + [eq_income_f5]) / 100)^(1/12) - 1</f>
        <v/>
      </c>
      <c r="N117" s="21">
        <f>(1 + ([eq_growth_f6] + [eq_income_f6]) / 100)^(1/12) - 1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>
        <f>(1 + ([eq_growth_f1] + [eq_income_f1]) / 100)^(1/12) - 1</f>
        <v/>
      </c>
      <c r="J118" s="19">
        <f>(1 + ([eq_growth_f2] + [eq_income_f2]) / 100)^(1/12) - 1</f>
        <v/>
      </c>
      <c r="K118" s="19">
        <f>(1 + ([eq_growth_f3] + [eq_income_f3]) / 100)^(1/12) - 1</f>
        <v/>
      </c>
      <c r="L118" s="19">
        <f>(1 + ([eq_growth_f4] + [eq_income_f4]) / 100)^(1/12) - 1</f>
        <v/>
      </c>
      <c r="M118" s="19">
        <f>(1 + ([eq_growth_f5] + [eq_income_f5]) / 100)^(1/12) - 1</f>
        <v/>
      </c>
      <c r="N118" s="19">
        <f>(1 + ([eq_growth_f6] + [eq_income_f6]) / 100)^(1/12) - 1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>
        <f>(1 + ([eq_growth_f1] + [eq_income_f1]) / 100)^(1/12) - 1</f>
        <v/>
      </c>
      <c r="J119" s="21">
        <f>(1 + ([eq_growth_f2] + [eq_income_f2]) / 100)^(1/12) - 1</f>
        <v/>
      </c>
      <c r="K119" s="21">
        <f>(1 + ([eq_growth_f3] + [eq_income_f3]) / 100)^(1/12) - 1</f>
        <v/>
      </c>
      <c r="L119" s="21">
        <f>(1 + ([eq_growth_f4] + [eq_income_f4]) / 100)^(1/12) - 1</f>
        <v/>
      </c>
      <c r="M119" s="21">
        <f>(1 + ([eq_growth_f5] + [eq_income_f5]) / 100)^(1/12) - 1</f>
        <v/>
      </c>
      <c r="N119" s="21">
        <f>(1 + ([eq_growth_f6] + [eq_income_f6]) / 100)^(1/12) - 1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>
        <f>(1 + ([eq_growth_f1] + [eq_income_f1]) / 100)^(1/12) - 1</f>
        <v/>
      </c>
      <c r="J120" s="19">
        <f>(1 + ([eq_growth_f2] + [eq_income_f2]) / 100)^(1/12) - 1</f>
        <v/>
      </c>
      <c r="K120" s="19">
        <f>(1 + ([eq_growth_f3] + [eq_income_f3]) / 100)^(1/12) - 1</f>
        <v/>
      </c>
      <c r="L120" s="19">
        <f>(1 + ([eq_growth_f4] + [eq_income_f4]) / 100)^(1/12) - 1</f>
        <v/>
      </c>
      <c r="M120" s="19">
        <f>(1 + ([eq_growth_f5] + [eq_income_f5]) / 100)^(1/12) - 1</f>
        <v/>
      </c>
      <c r="N120" s="19">
        <f>(1 + ([eq_growth_f6] + [eq_income_f6]) / 100)^(1/12) - 1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>
        <f>(1 + ([eq_growth_f1] + [eq_income_f1]) / 100)^(1/12) - 1</f>
        <v/>
      </c>
      <c r="J121" s="21">
        <f>(1 + ([eq_growth_f2] + [eq_income_f2]) / 100)^(1/12) - 1</f>
        <v/>
      </c>
      <c r="K121" s="21">
        <f>(1 + ([eq_growth_f3] + [eq_income_f3]) / 100)^(1/12) - 1</f>
        <v/>
      </c>
      <c r="L121" s="21">
        <f>(1 + ([eq_growth_f4] + [eq_income_f4]) / 100)^(1/12) - 1</f>
        <v/>
      </c>
      <c r="M121" s="21">
        <f>(1 + ([eq_growth_f5] + [eq_income_f5]) / 100)^(1/12) - 1</f>
        <v/>
      </c>
      <c r="N121" s="21">
        <f>(1 + ([eq_growth_f6] + [eq_income_f6]) / 100)^(1/12) - 1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>
        <f>(1 + ([eq_growth_f1] + [eq_income_f1]) / 100)^(1/12) - 1</f>
        <v/>
      </c>
      <c r="J122" s="19">
        <f>(1 + ([eq_growth_f2] + [eq_income_f2]) / 100)^(1/12) - 1</f>
        <v/>
      </c>
      <c r="K122" s="19">
        <f>(1 + ([eq_growth_f3] + [eq_income_f3]) / 100)^(1/12) - 1</f>
        <v/>
      </c>
      <c r="L122" s="19">
        <f>(1 + ([eq_growth_f4] + [eq_income_f4]) / 100)^(1/12) - 1</f>
        <v/>
      </c>
      <c r="M122" s="19">
        <f>(1 + ([eq_growth_f5] + [eq_income_f5]) / 100)^(1/12) - 1</f>
        <v/>
      </c>
      <c r="N122" s="19">
        <f>(1 + ([eq_growth_f6] + [eq_income_f6]) / 100)^(1/12) - 1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>
        <f>(1 + ([eq_growth_f1] + [eq_income_f1]) / 100)^(1/12) - 1</f>
        <v/>
      </c>
      <c r="J123" s="21">
        <f>(1 + ([eq_growth_f2] + [eq_income_f2]) / 100)^(1/12) - 1</f>
        <v/>
      </c>
      <c r="K123" s="21">
        <f>(1 + ([eq_growth_f3] + [eq_income_f3]) / 100)^(1/12) - 1</f>
        <v/>
      </c>
      <c r="L123" s="21">
        <f>(1 + ([eq_growth_f4] + [eq_income_f4]) / 100)^(1/12) - 1</f>
        <v/>
      </c>
      <c r="M123" s="21">
        <f>(1 + ([eq_growth_f5] + [eq_income_f5]) / 100)^(1/12) - 1</f>
        <v/>
      </c>
      <c r="N123" s="21">
        <f>(1 + ([eq_growth_f6] + [eq_income_f6]) / 100)^(1/12) - 1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>
        <f>(1 + ([eq_growth_f1] + [eq_income_f1]) / 100)^(1/12) - 1</f>
        <v/>
      </c>
      <c r="J124" s="19">
        <f>(1 + ([eq_growth_f2] + [eq_income_f2]) / 100)^(1/12) - 1</f>
        <v/>
      </c>
      <c r="K124" s="19">
        <f>(1 + ([eq_growth_f3] + [eq_income_f3]) / 100)^(1/12) - 1</f>
        <v/>
      </c>
      <c r="L124" s="19">
        <f>(1 + ([eq_growth_f4] + [eq_income_f4]) / 100)^(1/12) - 1</f>
        <v/>
      </c>
      <c r="M124" s="19">
        <f>(1 + ([eq_growth_f5] + [eq_income_f5]) / 100)^(1/12) - 1</f>
        <v/>
      </c>
      <c r="N124" s="19">
        <f>(1 + ([eq_growth_f6] + [eq_income_f6]) / 100)^(1/12) - 1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>
        <f>(1 + ([eq_growth_f1] + [eq_income_f1]) / 100)^(1/12) - 1</f>
        <v/>
      </c>
      <c r="J125" s="21">
        <f>(1 + ([eq_growth_f2] + [eq_income_f2]) / 100)^(1/12) - 1</f>
        <v/>
      </c>
      <c r="K125" s="21">
        <f>(1 + ([eq_growth_f3] + [eq_income_f3]) / 100)^(1/12) - 1</f>
        <v/>
      </c>
      <c r="L125" s="21">
        <f>(1 + ([eq_growth_f4] + [eq_income_f4]) / 100)^(1/12) - 1</f>
        <v/>
      </c>
      <c r="M125" s="21">
        <f>(1 + ([eq_growth_f5] + [eq_income_f5]) / 100)^(1/12) - 1</f>
        <v/>
      </c>
      <c r="N125" s="21">
        <f>(1 + ([eq_growth_f6] + [eq_income_f6]) / 100)^(1/12) - 1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>
        <f>(1 + ([eq_growth_f1] + [eq_income_f1]) / 100)^(1/12) - 1</f>
        <v/>
      </c>
      <c r="J126" s="19">
        <f>(1 + ([eq_growth_f2] + [eq_income_f2]) / 100)^(1/12) - 1</f>
        <v/>
      </c>
      <c r="K126" s="19">
        <f>(1 + ([eq_growth_f3] + [eq_income_f3]) / 100)^(1/12) - 1</f>
        <v/>
      </c>
      <c r="L126" s="19">
        <f>(1 + ([eq_growth_f4] + [eq_income_f4]) / 100)^(1/12) - 1</f>
        <v/>
      </c>
      <c r="M126" s="19">
        <f>(1 + ([eq_growth_f5] + [eq_income_f5]) / 100)^(1/12) - 1</f>
        <v/>
      </c>
      <c r="N126" s="19">
        <f>(1 + ([eq_growth_f6] + [eq_income_f6]) / 100)^(1/12) - 1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>
        <f>(1 + ([eq_growth_f1] + [eq_income_f1]) / 100)^(1/12) - 1</f>
        <v/>
      </c>
      <c r="J127" s="21">
        <f>(1 + ([eq_growth_f2] + [eq_income_f2]) / 100)^(1/12) - 1</f>
        <v/>
      </c>
      <c r="K127" s="21">
        <f>(1 + ([eq_growth_f3] + [eq_income_f3]) / 100)^(1/12) - 1</f>
        <v/>
      </c>
      <c r="L127" s="21">
        <f>(1 + ([eq_growth_f4] + [eq_income_f4]) / 100)^(1/12) - 1</f>
        <v/>
      </c>
      <c r="M127" s="21">
        <f>(1 + ([eq_growth_f5] + [eq_income_f5]) / 100)^(1/12) - 1</f>
        <v/>
      </c>
      <c r="N127" s="21">
        <f>(1 + ([eq_growth_f6] + [eq_income_f6]) / 100)^(1/12) - 1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>
        <f>(1 + ([eq_growth_f1] + [eq_income_f1]) / 100)^(1/12) - 1</f>
        <v/>
      </c>
      <c r="J128" s="19">
        <f>(1 + ([eq_growth_f2] + [eq_income_f2]) / 100)^(1/12) - 1</f>
        <v/>
      </c>
      <c r="K128" s="19">
        <f>(1 + ([eq_growth_f3] + [eq_income_f3]) / 100)^(1/12) - 1</f>
        <v/>
      </c>
      <c r="L128" s="19">
        <f>(1 + ([eq_growth_f4] + [eq_income_f4]) / 100)^(1/12) - 1</f>
        <v/>
      </c>
      <c r="M128" s="19">
        <f>(1 + ([eq_growth_f5] + [eq_income_f5]) / 100)^(1/12) - 1</f>
        <v/>
      </c>
      <c r="N128" s="19">
        <f>(1 + ([eq_growth_f6] + [eq_income_f6]) / 100)^(1/12) - 1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>
        <f>(1 + ([eq_growth_f1] + [eq_income_f1]) / 100)^(1/12) - 1</f>
        <v/>
      </c>
      <c r="J129" s="21">
        <f>(1 + ([eq_growth_f2] + [eq_income_f2]) / 100)^(1/12) - 1</f>
        <v/>
      </c>
      <c r="K129" s="21">
        <f>(1 + ([eq_growth_f3] + [eq_income_f3]) / 100)^(1/12) - 1</f>
        <v/>
      </c>
      <c r="L129" s="21">
        <f>(1 + ([eq_growth_f4] + [eq_income_f4]) / 100)^(1/12) - 1</f>
        <v/>
      </c>
      <c r="M129" s="21">
        <f>(1 + ([eq_growth_f5] + [eq_income_f5]) / 100)^(1/12) - 1</f>
        <v/>
      </c>
      <c r="N129" s="21">
        <f>(1 + ([eq_growth_f6] + [eq_income_f6]) / 100)^(1/12) - 1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>
        <f>(1 + ([eq_growth_f1] + [eq_income_f1]) / 100)^(1/12) - 1</f>
        <v/>
      </c>
      <c r="J130" s="19">
        <f>(1 + ([eq_growth_f2] + [eq_income_f2]) / 100)^(1/12) - 1</f>
        <v/>
      </c>
      <c r="K130" s="19">
        <f>(1 + ([eq_growth_f3] + [eq_income_f3]) / 100)^(1/12) - 1</f>
        <v/>
      </c>
      <c r="L130" s="19">
        <f>(1 + ([eq_growth_f4] + [eq_income_f4]) / 100)^(1/12) - 1</f>
        <v/>
      </c>
      <c r="M130" s="19">
        <f>(1 + ([eq_growth_f5] + [eq_income_f5]) / 100)^(1/12) - 1</f>
        <v/>
      </c>
      <c r="N130" s="19">
        <f>(1 + ([eq_growth_f6] + [eq_income_f6]) / 100)^(1/12) - 1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>
        <f>(1 + ([eq_growth_f1] + [eq_income_f1]) / 100)^(1/12) - 1</f>
        <v/>
      </c>
      <c r="J131" s="21">
        <f>(1 + ([eq_growth_f2] + [eq_income_f2]) / 100)^(1/12) - 1</f>
        <v/>
      </c>
      <c r="K131" s="21">
        <f>(1 + ([eq_growth_f3] + [eq_income_f3]) / 100)^(1/12) - 1</f>
        <v/>
      </c>
      <c r="L131" s="21">
        <f>(1 + ([eq_growth_f4] + [eq_income_f4]) / 100)^(1/12) - 1</f>
        <v/>
      </c>
      <c r="M131" s="21">
        <f>(1 + ([eq_growth_f5] + [eq_income_f5]) / 100)^(1/12) - 1</f>
        <v/>
      </c>
      <c r="N131" s="21">
        <f>(1 + ([eq_growth_f6] + [eq_income_f6]) / 100)^(1/12) - 1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>
        <f>(1 + ([eq_growth_f1] + [eq_income_f1]) / 100)^(1/12) - 1</f>
        <v/>
      </c>
      <c r="J132" s="19">
        <f>(1 + ([eq_growth_f2] + [eq_income_f2]) / 100)^(1/12) - 1</f>
        <v/>
      </c>
      <c r="K132" s="19">
        <f>(1 + ([eq_growth_f3] + [eq_income_f3]) / 100)^(1/12) - 1</f>
        <v/>
      </c>
      <c r="L132" s="19">
        <f>(1 + ([eq_growth_f4] + [eq_income_f4]) / 100)^(1/12) - 1</f>
        <v/>
      </c>
      <c r="M132" s="19">
        <f>(1 + ([eq_growth_f5] + [eq_income_f5]) / 100)^(1/12) - 1</f>
        <v/>
      </c>
      <c r="N132" s="19">
        <f>(1 + ([eq_growth_f6] + [eq_income_f6]) / 100)^(1/12) - 1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>
        <f>(1 + ([eq_growth_f1] + [eq_income_f1]) / 100)^(1/12) - 1</f>
        <v/>
      </c>
      <c r="J133" s="21">
        <f>(1 + ([eq_growth_f2] + [eq_income_f2]) / 100)^(1/12) - 1</f>
        <v/>
      </c>
      <c r="K133" s="21">
        <f>(1 + ([eq_growth_f3] + [eq_income_f3]) / 100)^(1/12) - 1</f>
        <v/>
      </c>
      <c r="L133" s="21">
        <f>(1 + ([eq_growth_f4] + [eq_income_f4]) / 100)^(1/12) - 1</f>
        <v/>
      </c>
      <c r="M133" s="21">
        <f>(1 + ([eq_growth_f5] + [eq_income_f5]) / 100)^(1/12) - 1</f>
        <v/>
      </c>
      <c r="N133" s="21">
        <f>(1 + ([eq_growth_f6] + [eq_income_f6]) / 100)^(1/12) - 1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>
        <f>(1 + ([eq_growth_f1] + [eq_income_f1]) / 100)^(1/12) - 1</f>
        <v/>
      </c>
      <c r="J134" s="19">
        <f>(1 + ([eq_growth_f2] + [eq_income_f2]) / 100)^(1/12) - 1</f>
        <v/>
      </c>
      <c r="K134" s="19">
        <f>(1 + ([eq_growth_f3] + [eq_income_f3]) / 100)^(1/12) - 1</f>
        <v/>
      </c>
      <c r="L134" s="19">
        <f>(1 + ([eq_growth_f4] + [eq_income_f4]) / 100)^(1/12) - 1</f>
        <v/>
      </c>
      <c r="M134" s="19">
        <f>(1 + ([eq_growth_f5] + [eq_income_f5]) / 100)^(1/12) - 1</f>
        <v/>
      </c>
      <c r="N134" s="19">
        <f>(1 + ([eq_growth_f6] + [eq_income_f6]) / 100)^(1/12) - 1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>
        <f>(1 + ([eq_growth_f1] + [eq_income_f1]) / 100)^(1/12) - 1</f>
        <v/>
      </c>
      <c r="J135" s="21">
        <f>(1 + ([eq_growth_f2] + [eq_income_f2]) / 100)^(1/12) - 1</f>
        <v/>
      </c>
      <c r="K135" s="21">
        <f>(1 + ([eq_growth_f3] + [eq_income_f3]) / 100)^(1/12) - 1</f>
        <v/>
      </c>
      <c r="L135" s="21">
        <f>(1 + ([eq_growth_f4] + [eq_income_f4]) / 100)^(1/12) - 1</f>
        <v/>
      </c>
      <c r="M135" s="21">
        <f>(1 + ([eq_growth_f5] + [eq_income_f5]) / 100)^(1/12) - 1</f>
        <v/>
      </c>
      <c r="N135" s="21">
        <f>(1 + ([eq_growth_f6] + [eq_income_f6]) / 100)^(1/12) - 1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>
        <f>(1 + ([eq_growth_f1] + [eq_income_f1]) / 100)^(1/12) - 1</f>
        <v/>
      </c>
      <c r="J136" s="19">
        <f>(1 + ([eq_growth_f2] + [eq_income_f2]) / 100)^(1/12) - 1</f>
        <v/>
      </c>
      <c r="K136" s="19">
        <f>(1 + ([eq_growth_f3] + [eq_income_f3]) / 100)^(1/12) - 1</f>
        <v/>
      </c>
      <c r="L136" s="19">
        <f>(1 + ([eq_growth_f4] + [eq_income_f4]) / 100)^(1/12) - 1</f>
        <v/>
      </c>
      <c r="M136" s="19">
        <f>(1 + ([eq_growth_f5] + [eq_income_f5]) / 100)^(1/12) - 1</f>
        <v/>
      </c>
      <c r="N136" s="19">
        <f>(1 + ([eq_growth_f6] + [eq_income_f6]) / 100)^(1/12) - 1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>
        <f>(1 + ([eq_growth_f1] + [eq_income_f1]) / 100)^(1/12) - 1</f>
        <v/>
      </c>
      <c r="J137" s="21">
        <f>(1 + ([eq_growth_f2] + [eq_income_f2]) / 100)^(1/12) - 1</f>
        <v/>
      </c>
      <c r="K137" s="21">
        <f>(1 + ([eq_growth_f3] + [eq_income_f3]) / 100)^(1/12) - 1</f>
        <v/>
      </c>
      <c r="L137" s="21">
        <f>(1 + ([eq_growth_f4] + [eq_income_f4]) / 100)^(1/12) - 1</f>
        <v/>
      </c>
      <c r="M137" s="21">
        <f>(1 + ([eq_growth_f5] + [eq_income_f5]) / 100)^(1/12) - 1</f>
        <v/>
      </c>
      <c r="N137" s="21">
        <f>(1 + ([eq_growth_f6] + [eq_income_f6]) / 100)^(1/12) - 1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>
        <f>(1 + ([eq_growth_f1] + [eq_income_f1]) / 100)^(1/12) - 1</f>
        <v/>
      </c>
      <c r="J138" s="19">
        <f>(1 + ([eq_growth_f2] + [eq_income_f2]) / 100)^(1/12) - 1</f>
        <v/>
      </c>
      <c r="K138" s="19">
        <f>(1 + ([eq_growth_f3] + [eq_income_f3]) / 100)^(1/12) - 1</f>
        <v/>
      </c>
      <c r="L138" s="19">
        <f>(1 + ([eq_growth_f4] + [eq_income_f4]) / 100)^(1/12) - 1</f>
        <v/>
      </c>
      <c r="M138" s="19">
        <f>(1 + ([eq_growth_f5] + [eq_income_f5]) / 100)^(1/12) - 1</f>
        <v/>
      </c>
      <c r="N138" s="19">
        <f>(1 + ([eq_growth_f6] + [eq_income_f6]) / 100)^(1/12) - 1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>
        <f>(1 + ([eq_growth_f1] + [eq_income_f1]) / 100)^(1/12) - 1</f>
        <v/>
      </c>
      <c r="J139" s="21">
        <f>(1 + ([eq_growth_f2] + [eq_income_f2]) / 100)^(1/12) - 1</f>
        <v/>
      </c>
      <c r="K139" s="21">
        <f>(1 + ([eq_growth_f3] + [eq_income_f3]) / 100)^(1/12) - 1</f>
        <v/>
      </c>
      <c r="L139" s="21">
        <f>(1 + ([eq_growth_f4] + [eq_income_f4]) / 100)^(1/12) - 1</f>
        <v/>
      </c>
      <c r="M139" s="21">
        <f>(1 + ([eq_growth_f5] + [eq_income_f5]) / 100)^(1/12) - 1</f>
        <v/>
      </c>
      <c r="N139" s="21">
        <f>(1 + ([eq_growth_f6] + [eq_income_f6]) / 100)^(1/12) - 1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>
        <f>(1 + ([eq_growth_f1] + [eq_income_f1]) / 100)^(1/12) - 1</f>
        <v/>
      </c>
      <c r="J140" s="19">
        <f>(1 + ([eq_growth_f2] + [eq_income_f2]) / 100)^(1/12) - 1</f>
        <v/>
      </c>
      <c r="K140" s="19">
        <f>(1 + ([eq_growth_f3] + [eq_income_f3]) / 100)^(1/12) - 1</f>
        <v/>
      </c>
      <c r="L140" s="19">
        <f>(1 + ([eq_growth_f4] + [eq_income_f4]) / 100)^(1/12) - 1</f>
        <v/>
      </c>
      <c r="M140" s="19">
        <f>(1 + ([eq_growth_f5] + [eq_income_f5]) / 100)^(1/12) - 1</f>
        <v/>
      </c>
      <c r="N140" s="19">
        <f>(1 + ([eq_growth_f6] + [eq_income_f6]) / 100)^(1/12) - 1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>
        <f>(1 + ([eq_growth_f1] + [eq_income_f1]) / 100)^(1/12) - 1</f>
        <v/>
      </c>
      <c r="J141" s="21">
        <f>(1 + ([eq_growth_f2] + [eq_income_f2]) / 100)^(1/12) - 1</f>
        <v/>
      </c>
      <c r="K141" s="21">
        <f>(1 + ([eq_growth_f3] + [eq_income_f3]) / 100)^(1/12) - 1</f>
        <v/>
      </c>
      <c r="L141" s="21">
        <f>(1 + ([eq_growth_f4] + [eq_income_f4]) / 100)^(1/12) - 1</f>
        <v/>
      </c>
      <c r="M141" s="21">
        <f>(1 + ([eq_growth_f5] + [eq_income_f5]) / 100)^(1/12) - 1</f>
        <v/>
      </c>
      <c r="N141" s="21">
        <f>(1 + ([eq_growth_f6] + [eq_income_f6]) / 100)^(1/12) - 1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>
        <f>(1 + ([eq_growth_f1] + [eq_income_f1]) / 100)^(1/12) - 1</f>
        <v/>
      </c>
      <c r="J142" s="19">
        <f>(1 + ([eq_growth_f2] + [eq_income_f2]) / 100)^(1/12) - 1</f>
        <v/>
      </c>
      <c r="K142" s="19">
        <f>(1 + ([eq_growth_f3] + [eq_income_f3]) / 100)^(1/12) - 1</f>
        <v/>
      </c>
      <c r="L142" s="19">
        <f>(1 + ([eq_growth_f4] + [eq_income_f4]) / 100)^(1/12) - 1</f>
        <v/>
      </c>
      <c r="M142" s="19">
        <f>(1 + ([eq_growth_f5] + [eq_income_f5]) / 100)^(1/12) - 1</f>
        <v/>
      </c>
      <c r="N142" s="19">
        <f>(1 + ([eq_growth_f6] + [eq_income_f6]) / 100)^(1/12) - 1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>
        <f>(1 + ([eq_growth_f1] + [eq_income_f1]) / 100)^(1/12) - 1</f>
        <v/>
      </c>
      <c r="J143" s="21">
        <f>(1 + ([eq_growth_f2] + [eq_income_f2]) / 100)^(1/12) - 1</f>
        <v/>
      </c>
      <c r="K143" s="21">
        <f>(1 + ([eq_growth_f3] + [eq_income_f3]) / 100)^(1/12) - 1</f>
        <v/>
      </c>
      <c r="L143" s="21">
        <f>(1 + ([eq_growth_f4] + [eq_income_f4]) / 100)^(1/12) - 1</f>
        <v/>
      </c>
      <c r="M143" s="21">
        <f>(1 + ([eq_growth_f5] + [eq_income_f5]) / 100)^(1/12) - 1</f>
        <v/>
      </c>
      <c r="N143" s="21">
        <f>(1 + ([eq_growth_f6] + [eq_income_f6]) / 100)^(1/12) - 1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>
        <f>(1 + ([eq_growth_f1] + [eq_income_f1]) / 100)^(1/12) - 1</f>
        <v/>
      </c>
      <c r="J144" s="19">
        <f>(1 + ([eq_growth_f2] + [eq_income_f2]) / 100)^(1/12) - 1</f>
        <v/>
      </c>
      <c r="K144" s="19">
        <f>(1 + ([eq_growth_f3] + [eq_income_f3]) / 100)^(1/12) - 1</f>
        <v/>
      </c>
      <c r="L144" s="19">
        <f>(1 + ([eq_growth_f4] + [eq_income_f4]) / 100)^(1/12) - 1</f>
        <v/>
      </c>
      <c r="M144" s="19">
        <f>(1 + ([eq_growth_f5] + [eq_income_f5]) / 100)^(1/12) - 1</f>
        <v/>
      </c>
      <c r="N144" s="19">
        <f>(1 + ([eq_growth_f6] + [eq_income_f6]) / 100)^(1/12) - 1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>
        <f>(1 + ([eq_growth_f1] + [eq_income_f1]) / 100)^(1/12) - 1</f>
        <v/>
      </c>
      <c r="J145" s="21">
        <f>(1 + ([eq_growth_f2] + [eq_income_f2]) / 100)^(1/12) - 1</f>
        <v/>
      </c>
      <c r="K145" s="21">
        <f>(1 + ([eq_growth_f3] + [eq_income_f3]) / 100)^(1/12) - 1</f>
        <v/>
      </c>
      <c r="L145" s="21">
        <f>(1 + ([eq_growth_f4] + [eq_income_f4]) / 100)^(1/12) - 1</f>
        <v/>
      </c>
      <c r="M145" s="21">
        <f>(1 + ([eq_growth_f5] + [eq_income_f5]) / 100)^(1/12) - 1</f>
        <v/>
      </c>
      <c r="N145" s="21">
        <f>(1 + ([eq_growth_f6] + [eq_income_f6]) / 100)^(1/12) - 1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>
        <f>(1 + ([eq_growth_f1] + [eq_income_f1]) / 100)^(1/12) - 1</f>
        <v/>
      </c>
      <c r="J146" s="19">
        <f>(1 + ([eq_growth_f2] + [eq_income_f2]) / 100)^(1/12) - 1</f>
        <v/>
      </c>
      <c r="K146" s="19">
        <f>(1 + ([eq_growth_f3] + [eq_income_f3]) / 100)^(1/12) - 1</f>
        <v/>
      </c>
      <c r="L146" s="19">
        <f>(1 + ([eq_growth_f4] + [eq_income_f4]) / 100)^(1/12) - 1</f>
        <v/>
      </c>
      <c r="M146" s="19">
        <f>(1 + ([eq_growth_f5] + [eq_income_f5]) / 100)^(1/12) - 1</f>
        <v/>
      </c>
      <c r="N146" s="19">
        <f>(1 + ([eq_growth_f6] + [eq_income_f6]) / 100)^(1/12) - 1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>
        <f>(1 + ([eq_growth_f1] + [eq_income_f1]) / 100)^(1/12) - 1</f>
        <v/>
      </c>
      <c r="J147" s="21">
        <f>(1 + ([eq_growth_f2] + [eq_income_f2]) / 100)^(1/12) - 1</f>
        <v/>
      </c>
      <c r="K147" s="21">
        <f>(1 + ([eq_growth_f3] + [eq_income_f3]) / 100)^(1/12) - 1</f>
        <v/>
      </c>
      <c r="L147" s="21">
        <f>(1 + ([eq_growth_f4] + [eq_income_f4]) / 100)^(1/12) - 1</f>
        <v/>
      </c>
      <c r="M147" s="21">
        <f>(1 + ([eq_growth_f5] + [eq_income_f5]) / 100)^(1/12) - 1</f>
        <v/>
      </c>
      <c r="N147" s="21">
        <f>(1 + ([eq_growth_f6] + [eq_income_f6]) / 100)^(1/12) - 1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>
        <f>(1 + ([eq_growth_f1] + [eq_income_f1]) / 100)^(1/12) - 1</f>
        <v/>
      </c>
      <c r="J148" s="19">
        <f>(1 + ([eq_growth_f2] + [eq_income_f2]) / 100)^(1/12) - 1</f>
        <v/>
      </c>
      <c r="K148" s="19">
        <f>(1 + ([eq_growth_f3] + [eq_income_f3]) / 100)^(1/12) - 1</f>
        <v/>
      </c>
      <c r="L148" s="19">
        <f>(1 + ([eq_growth_f4] + [eq_income_f4]) / 100)^(1/12) - 1</f>
        <v/>
      </c>
      <c r="M148" s="19">
        <f>(1 + ([eq_growth_f5] + [eq_income_f5]) / 100)^(1/12) - 1</f>
        <v/>
      </c>
      <c r="N148" s="19">
        <f>(1 + ([eq_growth_f6] + [eq_income_f6]) / 100)^(1/12) - 1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>
        <f>(1 + ([eq_growth_f1] + [eq_income_f1]) / 100)^(1/12) - 1</f>
        <v/>
      </c>
      <c r="J149" s="21">
        <f>(1 + ([eq_growth_f2] + [eq_income_f2]) / 100)^(1/12) - 1</f>
        <v/>
      </c>
      <c r="K149" s="21">
        <f>(1 + ([eq_growth_f3] + [eq_income_f3]) / 100)^(1/12) - 1</f>
        <v/>
      </c>
      <c r="L149" s="21">
        <f>(1 + ([eq_growth_f4] + [eq_income_f4]) / 100)^(1/12) - 1</f>
        <v/>
      </c>
      <c r="M149" s="21">
        <f>(1 + ([eq_growth_f5] + [eq_income_f5]) / 100)^(1/12) - 1</f>
        <v/>
      </c>
      <c r="N149" s="21">
        <f>(1 + ([eq_growth_f6] + [eq_income_f6]) / 100)^(1/12) - 1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>
        <f>(1 + ([eq_growth_f1] + [eq_income_f1]) / 100)^(1/12) - 1</f>
        <v/>
      </c>
      <c r="J150" s="19">
        <f>(1 + ([eq_growth_f2] + [eq_income_f2]) / 100)^(1/12) - 1</f>
        <v/>
      </c>
      <c r="K150" s="19">
        <f>(1 + ([eq_growth_f3] + [eq_income_f3]) / 100)^(1/12) - 1</f>
        <v/>
      </c>
      <c r="L150" s="19">
        <f>(1 + ([eq_growth_f4] + [eq_income_f4]) / 100)^(1/12) - 1</f>
        <v/>
      </c>
      <c r="M150" s="19">
        <f>(1 + ([eq_growth_f5] + [eq_income_f5]) / 100)^(1/12) - 1</f>
        <v/>
      </c>
      <c r="N150" s="19">
        <f>(1 + ([eq_growth_f6] + [eq_income_f6]) / 100)^(1/12) - 1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>
        <f>(1 + ([eq_growth_f1] + [eq_income_f1]) / 100)^(1/12) - 1</f>
        <v/>
      </c>
      <c r="J151" s="21">
        <f>(1 + ([eq_growth_f2] + [eq_income_f2]) / 100)^(1/12) - 1</f>
        <v/>
      </c>
      <c r="K151" s="21">
        <f>(1 + ([eq_growth_f3] + [eq_income_f3]) / 100)^(1/12) - 1</f>
        <v/>
      </c>
      <c r="L151" s="21">
        <f>(1 + ([eq_growth_f4] + [eq_income_f4]) / 100)^(1/12) - 1</f>
        <v/>
      </c>
      <c r="M151" s="21">
        <f>(1 + ([eq_growth_f5] + [eq_income_f5]) / 100)^(1/12) - 1</f>
        <v/>
      </c>
      <c r="N151" s="21">
        <f>(1 + ([eq_growth_f6] + [eq_income_f6]) / 100)^(1/12) - 1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>
        <f>(1 + ([eq_growth_f1] + [eq_income_f1]) / 100)^(1/12) - 1</f>
        <v/>
      </c>
      <c r="J152" s="19">
        <f>(1 + ([eq_growth_f2] + [eq_income_f2]) / 100)^(1/12) - 1</f>
        <v/>
      </c>
      <c r="K152" s="19">
        <f>(1 + ([eq_growth_f3] + [eq_income_f3]) / 100)^(1/12) - 1</f>
        <v/>
      </c>
      <c r="L152" s="19">
        <f>(1 + ([eq_growth_f4] + [eq_income_f4]) / 100)^(1/12) - 1</f>
        <v/>
      </c>
      <c r="M152" s="19">
        <f>(1 + ([eq_growth_f5] + [eq_income_f5]) / 100)^(1/12) - 1</f>
        <v/>
      </c>
      <c r="N152" s="19">
        <f>(1 + ([eq_growth_f6] + [eq_income_f6]) / 100)^(1/12) - 1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>
        <f>(1 + ([eq_growth_f1] + [eq_income_f1]) / 100)^(1/12) - 1</f>
        <v/>
      </c>
      <c r="J153" s="21">
        <f>(1 + ([eq_growth_f2] + [eq_income_f2]) / 100)^(1/12) - 1</f>
        <v/>
      </c>
      <c r="K153" s="21">
        <f>(1 + ([eq_growth_f3] + [eq_income_f3]) / 100)^(1/12) - 1</f>
        <v/>
      </c>
      <c r="L153" s="21">
        <f>(1 + ([eq_growth_f4] + [eq_income_f4]) / 100)^(1/12) - 1</f>
        <v/>
      </c>
      <c r="M153" s="21">
        <f>(1 + ([eq_growth_f5] + [eq_income_f5]) / 100)^(1/12) - 1</f>
        <v/>
      </c>
      <c r="N153" s="21">
        <f>(1 + ([eq_growth_f6] + [eq_income_f6]) / 100)^(1/12) - 1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>
        <f>(1 + ([eq_growth_f1] + [eq_income_f1]) / 100)^(1/12) - 1</f>
        <v/>
      </c>
      <c r="J154" s="19">
        <f>(1 + ([eq_growth_f2] + [eq_income_f2]) / 100)^(1/12) - 1</f>
        <v/>
      </c>
      <c r="K154" s="19">
        <f>(1 + ([eq_growth_f3] + [eq_income_f3]) / 100)^(1/12) - 1</f>
        <v/>
      </c>
      <c r="L154" s="19">
        <f>(1 + ([eq_growth_f4] + [eq_income_f4]) / 100)^(1/12) - 1</f>
        <v/>
      </c>
      <c r="M154" s="19">
        <f>(1 + ([eq_growth_f5] + [eq_income_f5]) / 100)^(1/12) - 1</f>
        <v/>
      </c>
      <c r="N154" s="19">
        <f>(1 + ([eq_growth_f6] + [eq_income_f6]) / 100)^(1/12) - 1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>
        <f>(1 + ([eq_growth_f1] + [eq_income_f1]) / 100)^(1/12) - 1</f>
        <v/>
      </c>
      <c r="J155" s="21">
        <f>(1 + ([eq_growth_f2] + [eq_income_f2]) / 100)^(1/12) - 1</f>
        <v/>
      </c>
      <c r="K155" s="21">
        <f>(1 + ([eq_growth_f3] + [eq_income_f3]) / 100)^(1/12) - 1</f>
        <v/>
      </c>
      <c r="L155" s="21">
        <f>(1 + ([eq_growth_f4] + [eq_income_f4]) / 100)^(1/12) - 1</f>
        <v/>
      </c>
      <c r="M155" s="21">
        <f>(1 + ([eq_growth_f5] + [eq_income_f5]) / 100)^(1/12) - 1</f>
        <v/>
      </c>
      <c r="N155" s="21">
        <f>(1 + ([eq_growth_f6] + [eq_income_f6]) / 100)^(1/12) - 1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>
        <f>(1 + ([eq_growth_f1] + [eq_income_f1]) / 100)^(1/12) - 1</f>
        <v/>
      </c>
      <c r="J156" s="19">
        <f>(1 + ([eq_growth_f2] + [eq_income_f2]) / 100)^(1/12) - 1</f>
        <v/>
      </c>
      <c r="K156" s="19">
        <f>(1 + ([eq_growth_f3] + [eq_income_f3]) / 100)^(1/12) - 1</f>
        <v/>
      </c>
      <c r="L156" s="19">
        <f>(1 + ([eq_growth_f4] + [eq_income_f4]) / 100)^(1/12) - 1</f>
        <v/>
      </c>
      <c r="M156" s="19">
        <f>(1 + ([eq_growth_f5] + [eq_income_f5]) / 100)^(1/12) - 1</f>
        <v/>
      </c>
      <c r="N156" s="19">
        <f>(1 + ([eq_growth_f6] + [eq_income_f6]) / 100)^(1/12) - 1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>
        <f>(1 + ([eq_growth_f1] + [eq_income_f1]) / 100)^(1/12) - 1</f>
        <v/>
      </c>
      <c r="J157" s="21">
        <f>(1 + ([eq_growth_f2] + [eq_income_f2]) / 100)^(1/12) - 1</f>
        <v/>
      </c>
      <c r="K157" s="21">
        <f>(1 + ([eq_growth_f3] + [eq_income_f3]) / 100)^(1/12) - 1</f>
        <v/>
      </c>
      <c r="L157" s="21">
        <f>(1 + ([eq_growth_f4] + [eq_income_f4]) / 100)^(1/12) - 1</f>
        <v/>
      </c>
      <c r="M157" s="21">
        <f>(1 + ([eq_growth_f5] + [eq_income_f5]) / 100)^(1/12) - 1</f>
        <v/>
      </c>
      <c r="N157" s="21">
        <f>(1 + ([eq_growth_f6] + [eq_income_f6]) / 100)^(1/12) - 1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>
        <f>(1 + ([eq_growth_f1] + [eq_income_f1]) / 100)^(1/12) - 1</f>
        <v/>
      </c>
      <c r="J158" s="19">
        <f>(1 + ([eq_growth_f2] + [eq_income_f2]) / 100)^(1/12) - 1</f>
        <v/>
      </c>
      <c r="K158" s="19">
        <f>(1 + ([eq_growth_f3] + [eq_income_f3]) / 100)^(1/12) - 1</f>
        <v/>
      </c>
      <c r="L158" s="19">
        <f>(1 + ([eq_growth_f4] + [eq_income_f4]) / 100)^(1/12) - 1</f>
        <v/>
      </c>
      <c r="M158" s="19">
        <f>(1 + ([eq_growth_f5] + [eq_income_f5]) / 100)^(1/12) - 1</f>
        <v/>
      </c>
      <c r="N158" s="19">
        <f>(1 + ([eq_growth_f6] + [eq_income_f6]) / 100)^(1/12) - 1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>
        <f>(1 + ([eq_growth_f1] + [eq_income_f1]) / 100)^(1/12) - 1</f>
        <v/>
      </c>
      <c r="J159" s="21">
        <f>(1 + ([eq_growth_f2] + [eq_income_f2]) / 100)^(1/12) - 1</f>
        <v/>
      </c>
      <c r="K159" s="21">
        <f>(1 + ([eq_growth_f3] + [eq_income_f3]) / 100)^(1/12) - 1</f>
        <v/>
      </c>
      <c r="L159" s="21">
        <f>(1 + ([eq_growth_f4] + [eq_income_f4]) / 100)^(1/12) - 1</f>
        <v/>
      </c>
      <c r="M159" s="21">
        <f>(1 + ([eq_growth_f5] + [eq_income_f5]) / 100)^(1/12) - 1</f>
        <v/>
      </c>
      <c r="N159" s="21">
        <f>(1 + ([eq_growth_f6] + [eq_income_f6]) / 100)^(1/12) - 1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>
        <f>(1 + ([eq_growth_f1] + [eq_income_f1]) / 100)^(1/12) - 1</f>
        <v/>
      </c>
      <c r="J160" s="19">
        <f>(1 + ([eq_growth_f2] + [eq_income_f2]) / 100)^(1/12) - 1</f>
        <v/>
      </c>
      <c r="K160" s="19">
        <f>(1 + ([eq_growth_f3] + [eq_income_f3]) / 100)^(1/12) - 1</f>
        <v/>
      </c>
      <c r="L160" s="19">
        <f>(1 + ([eq_growth_f4] + [eq_income_f4]) / 100)^(1/12) - 1</f>
        <v/>
      </c>
      <c r="M160" s="19">
        <f>(1 + ([eq_growth_f5] + [eq_income_f5]) / 100)^(1/12) - 1</f>
        <v/>
      </c>
      <c r="N160" s="19">
        <f>(1 + ([eq_growth_f6] + [eq_income_f6]) / 100)^(1/12) - 1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>
        <f>(1 + ([eq_growth_f1] + [eq_income_f1]) / 100)^(1/12) - 1</f>
        <v/>
      </c>
      <c r="J161" s="21">
        <f>(1 + ([eq_growth_f2] + [eq_income_f2]) / 100)^(1/12) - 1</f>
        <v/>
      </c>
      <c r="K161" s="21">
        <f>(1 + ([eq_growth_f3] + [eq_income_f3]) / 100)^(1/12) - 1</f>
        <v/>
      </c>
      <c r="L161" s="21">
        <f>(1 + ([eq_growth_f4] + [eq_income_f4]) / 100)^(1/12) - 1</f>
        <v/>
      </c>
      <c r="M161" s="21">
        <f>(1 + ([eq_growth_f5] + [eq_income_f5]) / 100)^(1/12) - 1</f>
        <v/>
      </c>
      <c r="N161" s="21">
        <f>(1 + ([eq_growth_f6] + [eq_income_f6]) / 100)^(1/12) - 1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>
        <f>(1 + ([eq_growth_f1] + [eq_income_f1]) / 100)^(1/12) - 1</f>
        <v/>
      </c>
      <c r="J162" s="19">
        <f>(1 + ([eq_growth_f2] + [eq_income_f2]) / 100)^(1/12) - 1</f>
        <v/>
      </c>
      <c r="K162" s="19">
        <f>(1 + ([eq_growth_f3] + [eq_income_f3]) / 100)^(1/12) - 1</f>
        <v/>
      </c>
      <c r="L162" s="19">
        <f>(1 + ([eq_growth_f4] + [eq_income_f4]) / 100)^(1/12) - 1</f>
        <v/>
      </c>
      <c r="M162" s="19">
        <f>(1 + ([eq_growth_f5] + [eq_income_f5]) / 100)^(1/12) - 1</f>
        <v/>
      </c>
      <c r="N162" s="19">
        <f>(1 + ([eq_growth_f6] + [eq_income_f6]) / 100)^(1/12) - 1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>
        <f>(1 + ([eq_growth_f1] + [eq_income_f1]) / 100)^(1/12) - 1</f>
        <v/>
      </c>
      <c r="J163" s="21">
        <f>(1 + ([eq_growth_f2] + [eq_income_f2]) / 100)^(1/12) - 1</f>
        <v/>
      </c>
      <c r="K163" s="21">
        <f>(1 + ([eq_growth_f3] + [eq_income_f3]) / 100)^(1/12) - 1</f>
        <v/>
      </c>
      <c r="L163" s="21">
        <f>(1 + ([eq_growth_f4] + [eq_income_f4]) / 100)^(1/12) - 1</f>
        <v/>
      </c>
      <c r="M163" s="21">
        <f>(1 + ([eq_growth_f5] + [eq_income_f5]) / 100)^(1/12) - 1</f>
        <v/>
      </c>
      <c r="N163" s="21">
        <f>(1 + ([eq_growth_f6] + [eq_income_f6]) / 100)^(1/12) - 1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>
        <f>(1 + ([eq_growth_f1] + [eq_income_f1]) / 100)^(1/12) - 1</f>
        <v/>
      </c>
      <c r="J164" s="19">
        <f>(1 + ([eq_growth_f2] + [eq_income_f2]) / 100)^(1/12) - 1</f>
        <v/>
      </c>
      <c r="K164" s="19">
        <f>(1 + ([eq_growth_f3] + [eq_income_f3]) / 100)^(1/12) - 1</f>
        <v/>
      </c>
      <c r="L164" s="19">
        <f>(1 + ([eq_growth_f4] + [eq_income_f4]) / 100)^(1/12) - 1</f>
        <v/>
      </c>
      <c r="M164" s="19">
        <f>(1 + ([eq_growth_f5] + [eq_income_f5]) / 100)^(1/12) - 1</f>
        <v/>
      </c>
      <c r="N164" s="19">
        <f>(1 + ([eq_growth_f6] + [eq_income_f6]) / 100)^(1/12) - 1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>
        <f>(1 + ([eq_growth_f1] + [eq_income_f1]) / 100)^(1/12) - 1</f>
        <v/>
      </c>
      <c r="J165" s="21">
        <f>(1 + ([eq_growth_f2] + [eq_income_f2]) / 100)^(1/12) - 1</f>
        <v/>
      </c>
      <c r="K165" s="21">
        <f>(1 + ([eq_growth_f3] + [eq_income_f3]) / 100)^(1/12) - 1</f>
        <v/>
      </c>
      <c r="L165" s="21">
        <f>(1 + ([eq_growth_f4] + [eq_income_f4]) / 100)^(1/12) - 1</f>
        <v/>
      </c>
      <c r="M165" s="21">
        <f>(1 + ([eq_growth_f5] + [eq_income_f5]) / 100)^(1/12) - 1</f>
        <v/>
      </c>
      <c r="N165" s="21">
        <f>(1 + ([eq_growth_f6] + [eq_income_f6]) / 100)^(1/12) - 1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>
        <f>(1 + ([eq_growth_f1] + [eq_income_f1]) / 100)^(1/12) - 1</f>
        <v/>
      </c>
      <c r="J166" s="19">
        <f>(1 + ([eq_growth_f2] + [eq_income_f2]) / 100)^(1/12) - 1</f>
        <v/>
      </c>
      <c r="K166" s="19">
        <f>(1 + ([eq_growth_f3] + [eq_income_f3]) / 100)^(1/12) - 1</f>
        <v/>
      </c>
      <c r="L166" s="19">
        <f>(1 + ([eq_growth_f4] + [eq_income_f4]) / 100)^(1/12) - 1</f>
        <v/>
      </c>
      <c r="M166" s="19">
        <f>(1 + ([eq_growth_f5] + [eq_income_f5]) / 100)^(1/12) - 1</f>
        <v/>
      </c>
      <c r="N166" s="19">
        <f>(1 + ([eq_growth_f6] + [eq_income_f6]) / 100)^(1/12) - 1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>
        <f>(1 + ([eq_growth_f1] + [eq_income_f1]) / 100)^(1/12) - 1</f>
        <v/>
      </c>
      <c r="J167" s="21">
        <f>(1 + ([eq_growth_f2] + [eq_income_f2]) / 100)^(1/12) - 1</f>
        <v/>
      </c>
      <c r="K167" s="21">
        <f>(1 + ([eq_growth_f3] + [eq_income_f3]) / 100)^(1/12) - 1</f>
        <v/>
      </c>
      <c r="L167" s="21">
        <f>(1 + ([eq_growth_f4] + [eq_income_f4]) / 100)^(1/12) - 1</f>
        <v/>
      </c>
      <c r="M167" s="21">
        <f>(1 + ([eq_growth_f5] + [eq_income_f5]) / 100)^(1/12) - 1</f>
        <v/>
      </c>
      <c r="N167" s="21">
        <f>(1 + ([eq_growth_f6] + [eq_income_f6]) / 100)^(1/12) - 1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>
        <f>(1 + ([eq_growth_f1] + [eq_income_f1]) / 100)^(1/12) - 1</f>
        <v/>
      </c>
      <c r="J168" s="19">
        <f>(1 + ([eq_growth_f2] + [eq_income_f2]) / 100)^(1/12) - 1</f>
        <v/>
      </c>
      <c r="K168" s="19">
        <f>(1 + ([eq_growth_f3] + [eq_income_f3]) / 100)^(1/12) - 1</f>
        <v/>
      </c>
      <c r="L168" s="19">
        <f>(1 + ([eq_growth_f4] + [eq_income_f4]) / 100)^(1/12) - 1</f>
        <v/>
      </c>
      <c r="M168" s="19">
        <f>(1 + ([eq_growth_f5] + [eq_income_f5]) / 100)^(1/12) - 1</f>
        <v/>
      </c>
      <c r="N168" s="19">
        <f>(1 + ([eq_growth_f6] + [eq_income_f6]) / 100)^(1/12) - 1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>
        <f>(1 + ([eq_growth_f1] + [eq_income_f1]) / 100)^(1/12) - 1</f>
        <v/>
      </c>
      <c r="J169" s="21">
        <f>(1 + ([eq_growth_f2] + [eq_income_f2]) / 100)^(1/12) - 1</f>
        <v/>
      </c>
      <c r="K169" s="21">
        <f>(1 + ([eq_growth_f3] + [eq_income_f3]) / 100)^(1/12) - 1</f>
        <v/>
      </c>
      <c r="L169" s="21">
        <f>(1 + ([eq_growth_f4] + [eq_income_f4]) / 100)^(1/12) - 1</f>
        <v/>
      </c>
      <c r="M169" s="21">
        <f>(1 + ([eq_growth_f5] + [eq_income_f5]) / 100)^(1/12) - 1</f>
        <v/>
      </c>
      <c r="N169" s="21">
        <f>(1 + ([eq_growth_f6] + [eq_income_f6]) / 100)^(1/12) - 1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>
        <f>(1 + ([eq_growth_f1] + [eq_income_f1]) / 100)^(1/12) - 1</f>
        <v/>
      </c>
      <c r="J170" s="19">
        <f>(1 + ([eq_growth_f2] + [eq_income_f2]) / 100)^(1/12) - 1</f>
        <v/>
      </c>
      <c r="K170" s="19">
        <f>(1 + ([eq_growth_f3] + [eq_income_f3]) / 100)^(1/12) - 1</f>
        <v/>
      </c>
      <c r="L170" s="19">
        <f>(1 + ([eq_growth_f4] + [eq_income_f4]) / 100)^(1/12) - 1</f>
        <v/>
      </c>
      <c r="M170" s="19">
        <f>(1 + ([eq_growth_f5] + [eq_income_f5]) / 100)^(1/12) - 1</f>
        <v/>
      </c>
      <c r="N170" s="19">
        <f>(1 + ([eq_growth_f6] + [eq_income_f6]) / 100)^(1/12) - 1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>
        <f>(1 + ([eq_growth_f1] + [eq_income_f1]) / 100)^(1/12) - 1</f>
        <v/>
      </c>
      <c r="J171" s="21">
        <f>(1 + ([eq_growth_f2] + [eq_income_f2]) / 100)^(1/12) - 1</f>
        <v/>
      </c>
      <c r="K171" s="21">
        <f>(1 + ([eq_growth_f3] + [eq_income_f3]) / 100)^(1/12) - 1</f>
        <v/>
      </c>
      <c r="L171" s="21">
        <f>(1 + ([eq_growth_f4] + [eq_income_f4]) / 100)^(1/12) - 1</f>
        <v/>
      </c>
      <c r="M171" s="21">
        <f>(1 + ([eq_growth_f5] + [eq_income_f5]) / 100)^(1/12) - 1</f>
        <v/>
      </c>
      <c r="N171" s="21">
        <f>(1 + ([eq_growth_f6] + [eq_income_f6]) / 100)^(1/12) - 1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>
        <f>(1 + ([eq_growth_f1] + [eq_income_f1]) / 100)^(1/12) - 1</f>
        <v/>
      </c>
      <c r="J172" s="19">
        <f>(1 + ([eq_growth_f2] + [eq_income_f2]) / 100)^(1/12) - 1</f>
        <v/>
      </c>
      <c r="K172" s="19">
        <f>(1 + ([eq_growth_f3] + [eq_income_f3]) / 100)^(1/12) - 1</f>
        <v/>
      </c>
      <c r="L172" s="19">
        <f>(1 + ([eq_growth_f4] + [eq_income_f4]) / 100)^(1/12) - 1</f>
        <v/>
      </c>
      <c r="M172" s="19">
        <f>(1 + ([eq_growth_f5] + [eq_income_f5]) / 100)^(1/12) - 1</f>
        <v/>
      </c>
      <c r="N172" s="19">
        <f>(1 + ([eq_growth_f6] + [eq_income_f6]) / 100)^(1/12) - 1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>
        <f>(1 + ([eq_growth_f1] + [eq_income_f1]) / 100)^(1/12) - 1</f>
        <v/>
      </c>
      <c r="J173" s="21">
        <f>(1 + ([eq_growth_f2] + [eq_income_f2]) / 100)^(1/12) - 1</f>
        <v/>
      </c>
      <c r="K173" s="21">
        <f>(1 + ([eq_growth_f3] + [eq_income_f3]) / 100)^(1/12) - 1</f>
        <v/>
      </c>
      <c r="L173" s="21">
        <f>(1 + ([eq_growth_f4] + [eq_income_f4]) / 100)^(1/12) - 1</f>
        <v/>
      </c>
      <c r="M173" s="21">
        <f>(1 + ([eq_growth_f5] + [eq_income_f5]) / 100)^(1/12) - 1</f>
        <v/>
      </c>
      <c r="N173" s="21">
        <f>(1 + ([eq_growth_f6] + [eq_income_f6]) / 100)^(1/12) - 1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>
        <f>(1 + ([eq_growth_f1] + [eq_income_f1]) / 100)^(1/12) - 1</f>
        <v/>
      </c>
      <c r="J174" s="19">
        <f>(1 + ([eq_growth_f2] + [eq_income_f2]) / 100)^(1/12) - 1</f>
        <v/>
      </c>
      <c r="K174" s="19">
        <f>(1 + ([eq_growth_f3] + [eq_income_f3]) / 100)^(1/12) - 1</f>
        <v/>
      </c>
      <c r="L174" s="19">
        <f>(1 + ([eq_growth_f4] + [eq_income_f4]) / 100)^(1/12) - 1</f>
        <v/>
      </c>
      <c r="M174" s="19">
        <f>(1 + ([eq_growth_f5] + [eq_income_f5]) / 100)^(1/12) - 1</f>
        <v/>
      </c>
      <c r="N174" s="19">
        <f>(1 + ([eq_growth_f6] + [eq_income_f6]) / 100)^(1/12) - 1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>
        <f>(1 + ([eq_growth_f1] + [eq_income_f1]) / 100)^(1/12) - 1</f>
        <v/>
      </c>
      <c r="J175" s="21">
        <f>(1 + ([eq_growth_f2] + [eq_income_f2]) / 100)^(1/12) - 1</f>
        <v/>
      </c>
      <c r="K175" s="21">
        <f>(1 + ([eq_growth_f3] + [eq_income_f3]) / 100)^(1/12) - 1</f>
        <v/>
      </c>
      <c r="L175" s="21">
        <f>(1 + ([eq_growth_f4] + [eq_income_f4]) / 100)^(1/12) - 1</f>
        <v/>
      </c>
      <c r="M175" s="21">
        <f>(1 + ([eq_growth_f5] + [eq_income_f5]) / 100)^(1/12) - 1</f>
        <v/>
      </c>
      <c r="N175" s="21">
        <f>(1 + ([eq_growth_f6] + [eq_income_f6]) / 100)^(1/12) - 1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>
        <f>(1 + ([eq_growth_f1] + [eq_income_f1]) / 100)^(1/12) - 1</f>
        <v/>
      </c>
      <c r="J176" s="19">
        <f>(1 + ([eq_growth_f2] + [eq_income_f2]) / 100)^(1/12) - 1</f>
        <v/>
      </c>
      <c r="K176" s="19">
        <f>(1 + ([eq_growth_f3] + [eq_income_f3]) / 100)^(1/12) - 1</f>
        <v/>
      </c>
      <c r="L176" s="19">
        <f>(1 + ([eq_growth_f4] + [eq_income_f4]) / 100)^(1/12) - 1</f>
        <v/>
      </c>
      <c r="M176" s="19">
        <f>(1 + ([eq_growth_f5] + [eq_income_f5]) / 100)^(1/12) - 1</f>
        <v/>
      </c>
      <c r="N176" s="19">
        <f>(1 + ([eq_growth_f6] + [eq_income_f6]) / 100)^(1/12) - 1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>
        <f>(1 + ([eq_growth_f1] + [eq_income_f1]) / 100)^(1/12) - 1</f>
        <v/>
      </c>
      <c r="J177" s="21">
        <f>(1 + ([eq_growth_f2] + [eq_income_f2]) / 100)^(1/12) - 1</f>
        <v/>
      </c>
      <c r="K177" s="21">
        <f>(1 + ([eq_growth_f3] + [eq_income_f3]) / 100)^(1/12) - 1</f>
        <v/>
      </c>
      <c r="L177" s="21">
        <f>(1 + ([eq_growth_f4] + [eq_income_f4]) / 100)^(1/12) - 1</f>
        <v/>
      </c>
      <c r="M177" s="21">
        <f>(1 + ([eq_growth_f5] + [eq_income_f5]) / 100)^(1/12) - 1</f>
        <v/>
      </c>
      <c r="N177" s="21">
        <f>(1 + ([eq_growth_f6] + [eq_income_f6]) / 100)^(1/12) - 1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>
        <f>(1 + ([eq_growth_f1] + [eq_income_f1]) / 100)^(1/12) - 1</f>
        <v/>
      </c>
      <c r="J178" s="19">
        <f>(1 + ([eq_growth_f2] + [eq_income_f2]) / 100)^(1/12) - 1</f>
        <v/>
      </c>
      <c r="K178" s="19">
        <f>(1 + ([eq_growth_f3] + [eq_income_f3]) / 100)^(1/12) - 1</f>
        <v/>
      </c>
      <c r="L178" s="19">
        <f>(1 + ([eq_growth_f4] + [eq_income_f4]) / 100)^(1/12) - 1</f>
        <v/>
      </c>
      <c r="M178" s="19">
        <f>(1 + ([eq_growth_f5] + [eq_income_f5]) / 100)^(1/12) - 1</f>
        <v/>
      </c>
      <c r="N178" s="19">
        <f>(1 + ([eq_growth_f6] + [eq_income_f6]) / 100)^(1/12) - 1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>
        <f>(1 + ([eq_growth_f1] + [eq_income_f1]) / 100)^(1/12) - 1</f>
        <v/>
      </c>
      <c r="J179" s="21">
        <f>(1 + ([eq_growth_f2] + [eq_income_f2]) / 100)^(1/12) - 1</f>
        <v/>
      </c>
      <c r="K179" s="21">
        <f>(1 + ([eq_growth_f3] + [eq_income_f3]) / 100)^(1/12) - 1</f>
        <v/>
      </c>
      <c r="L179" s="21">
        <f>(1 + ([eq_growth_f4] + [eq_income_f4]) / 100)^(1/12) - 1</f>
        <v/>
      </c>
      <c r="M179" s="21">
        <f>(1 + ([eq_growth_f5] + [eq_income_f5]) / 100)^(1/12) - 1</f>
        <v/>
      </c>
      <c r="N179" s="21">
        <f>(1 + ([eq_growth_f6] + [eq_income_f6]) / 100)^(1/12) - 1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>
        <f>(1 + ([eq_growth_f1] + [eq_income_f1]) / 100)^(1/12) - 1</f>
        <v/>
      </c>
      <c r="J180" s="19">
        <f>(1 + ([eq_growth_f2] + [eq_income_f2]) / 100)^(1/12) - 1</f>
        <v/>
      </c>
      <c r="K180" s="19">
        <f>(1 + ([eq_growth_f3] + [eq_income_f3]) / 100)^(1/12) - 1</f>
        <v/>
      </c>
      <c r="L180" s="19">
        <f>(1 + ([eq_growth_f4] + [eq_income_f4]) / 100)^(1/12) - 1</f>
        <v/>
      </c>
      <c r="M180" s="19">
        <f>(1 + ([eq_growth_f5] + [eq_income_f5]) / 100)^(1/12) - 1</f>
        <v/>
      </c>
      <c r="N180" s="19">
        <f>(1 + ([eq_growth_f6] + [eq_income_f6]) / 100)^(1/12) - 1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>
        <f>(1 + ([eq_growth_f1] + [eq_income_f1]) / 100)^(1/12) - 1</f>
        <v/>
      </c>
      <c r="J181" s="21">
        <f>(1 + ([eq_growth_f2] + [eq_income_f2]) / 100)^(1/12) - 1</f>
        <v/>
      </c>
      <c r="K181" s="21">
        <f>(1 + ([eq_growth_f3] + [eq_income_f3]) / 100)^(1/12) - 1</f>
        <v/>
      </c>
      <c r="L181" s="21">
        <f>(1 + ([eq_growth_f4] + [eq_income_f4]) / 100)^(1/12) - 1</f>
        <v/>
      </c>
      <c r="M181" s="21">
        <f>(1 + ([eq_growth_f5] + [eq_income_f5]) / 100)^(1/12) - 1</f>
        <v/>
      </c>
      <c r="N181" s="21">
        <f>(1 + ([eq_growth_f6] + [eq_income_f6]) / 100)^(1/12) - 1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>
        <f>(1 + ([eq_growth_f1] + [eq_income_f1]) / 100)^(1/12) - 1</f>
        <v/>
      </c>
      <c r="J182" s="19">
        <f>(1 + ([eq_growth_f2] + [eq_income_f2]) / 100)^(1/12) - 1</f>
        <v/>
      </c>
      <c r="K182" s="19">
        <f>(1 + ([eq_growth_f3] + [eq_income_f3]) / 100)^(1/12) - 1</f>
        <v/>
      </c>
      <c r="L182" s="19">
        <f>(1 + ([eq_growth_f4] + [eq_income_f4]) / 100)^(1/12) - 1</f>
        <v/>
      </c>
      <c r="M182" s="19">
        <f>(1 + ([eq_growth_f5] + [eq_income_f5]) / 100)^(1/12) - 1</f>
        <v/>
      </c>
      <c r="N182" s="19">
        <f>(1 + ([eq_growth_f6] + [eq_income_f6]) / 100)^(1/12) - 1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>
        <f>(1 + ([eq_growth_f1] + [eq_income_f1]) / 100)^(1/12) - 1</f>
        <v/>
      </c>
      <c r="J183" s="21">
        <f>(1 + ([eq_growth_f2] + [eq_income_f2]) / 100)^(1/12) - 1</f>
        <v/>
      </c>
      <c r="K183" s="21">
        <f>(1 + ([eq_growth_f3] + [eq_income_f3]) / 100)^(1/12) - 1</f>
        <v/>
      </c>
      <c r="L183" s="21">
        <f>(1 + ([eq_growth_f4] + [eq_income_f4]) / 100)^(1/12) - 1</f>
        <v/>
      </c>
      <c r="M183" s="21">
        <f>(1 + ([eq_growth_f5] + [eq_income_f5]) / 100)^(1/12) - 1</f>
        <v/>
      </c>
      <c r="N183" s="21">
        <f>(1 + ([eq_growth_f6] + [eq_income_f6]) / 100)^(1/12) - 1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>
        <f>(1 + ([eq_growth_f1] + [eq_income_f1]) / 100)^(1/12) - 1</f>
        <v/>
      </c>
      <c r="J184" s="19">
        <f>(1 + ([eq_growth_f2] + [eq_income_f2]) / 100)^(1/12) - 1</f>
        <v/>
      </c>
      <c r="K184" s="19">
        <f>(1 + ([eq_growth_f3] + [eq_income_f3]) / 100)^(1/12) - 1</f>
        <v/>
      </c>
      <c r="L184" s="19">
        <f>(1 + ([eq_growth_f4] + [eq_income_f4]) / 100)^(1/12) - 1</f>
        <v/>
      </c>
      <c r="M184" s="19">
        <f>(1 + ([eq_growth_f5] + [eq_income_f5]) / 100)^(1/12) - 1</f>
        <v/>
      </c>
      <c r="N184" s="19">
        <f>(1 + ([eq_growth_f6] + [eq_income_f6]) / 100)^(1/12) - 1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>
        <f>(1 + ([eq_growth_f1] + [eq_income_f1]) / 100)^(1/12) - 1</f>
        <v/>
      </c>
      <c r="J185" s="21">
        <f>(1 + ([eq_growth_f2] + [eq_income_f2]) / 100)^(1/12) - 1</f>
        <v/>
      </c>
      <c r="K185" s="21">
        <f>(1 + ([eq_growth_f3] + [eq_income_f3]) / 100)^(1/12) - 1</f>
        <v/>
      </c>
      <c r="L185" s="21">
        <f>(1 + ([eq_growth_f4] + [eq_income_f4]) / 100)^(1/12) - 1</f>
        <v/>
      </c>
      <c r="M185" s="21">
        <f>(1 + ([eq_growth_f5] + [eq_income_f5]) / 100)^(1/12) - 1</f>
        <v/>
      </c>
      <c r="N185" s="21">
        <f>(1 + ([eq_growth_f6] + [eq_income_f6]) / 100)^(1/12) - 1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>
        <f>(1 + ([eq_growth_f1] + [eq_income_f1]) / 100)^(1/12) - 1</f>
        <v/>
      </c>
      <c r="J186" s="19">
        <f>(1 + ([eq_growth_f2] + [eq_income_f2]) / 100)^(1/12) - 1</f>
        <v/>
      </c>
      <c r="K186" s="19">
        <f>(1 + ([eq_growth_f3] + [eq_income_f3]) / 100)^(1/12) - 1</f>
        <v/>
      </c>
      <c r="L186" s="19">
        <f>(1 + ([eq_growth_f4] + [eq_income_f4]) / 100)^(1/12) - 1</f>
        <v/>
      </c>
      <c r="M186" s="19">
        <f>(1 + ([eq_growth_f5] + [eq_income_f5]) / 100)^(1/12) - 1</f>
        <v/>
      </c>
      <c r="N186" s="19">
        <f>(1 + ([eq_growth_f6] + [eq_income_f6]) / 100)^(1/12) - 1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>
        <f>(1 + ([eq_growth_f1] + [eq_income_f1]) / 100)^(1/12) - 1</f>
        <v/>
      </c>
      <c r="J187" s="21">
        <f>(1 + ([eq_growth_f2] + [eq_income_f2]) / 100)^(1/12) - 1</f>
        <v/>
      </c>
      <c r="K187" s="21">
        <f>(1 + ([eq_growth_f3] + [eq_income_f3]) / 100)^(1/12) - 1</f>
        <v/>
      </c>
      <c r="L187" s="21">
        <f>(1 + ([eq_growth_f4] + [eq_income_f4]) / 100)^(1/12) - 1</f>
        <v/>
      </c>
      <c r="M187" s="21">
        <f>(1 + ([eq_growth_f5] + [eq_income_f5]) / 100)^(1/12) - 1</f>
        <v/>
      </c>
      <c r="N187" s="21">
        <f>(1 + ([eq_growth_f6] + [eq_income_f6]) / 100)^(1/12) - 1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>
        <f>(1 + ([eq_growth_f1] + [eq_income_f1]) / 100)^(1/12) - 1</f>
        <v/>
      </c>
      <c r="J188" s="19">
        <f>(1 + ([eq_growth_f2] + [eq_income_f2]) / 100)^(1/12) - 1</f>
        <v/>
      </c>
      <c r="K188" s="19">
        <f>(1 + ([eq_growth_f3] + [eq_income_f3]) / 100)^(1/12) - 1</f>
        <v/>
      </c>
      <c r="L188" s="19">
        <f>(1 + ([eq_growth_f4] + [eq_income_f4]) / 100)^(1/12) - 1</f>
        <v/>
      </c>
      <c r="M188" s="19">
        <f>(1 + ([eq_growth_f5] + [eq_income_f5]) / 100)^(1/12) - 1</f>
        <v/>
      </c>
      <c r="N188" s="19">
        <f>(1 + ([eq_growth_f6] + [eq_income_f6]) / 100)^(1/12) - 1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>
        <f>(1 + ([eq_growth_f1] + [eq_income_f1]) / 100)^(1/12) - 1</f>
        <v/>
      </c>
      <c r="J189" s="21">
        <f>(1 + ([eq_growth_f2] + [eq_income_f2]) / 100)^(1/12) - 1</f>
        <v/>
      </c>
      <c r="K189" s="21">
        <f>(1 + ([eq_growth_f3] + [eq_income_f3]) / 100)^(1/12) - 1</f>
        <v/>
      </c>
      <c r="L189" s="21">
        <f>(1 + ([eq_growth_f4] + [eq_income_f4]) / 100)^(1/12) - 1</f>
        <v/>
      </c>
      <c r="M189" s="21">
        <f>(1 + ([eq_growth_f5] + [eq_income_f5]) / 100)^(1/12) - 1</f>
        <v/>
      </c>
      <c r="N189" s="21">
        <f>(1 + ([eq_growth_f6] + [eq_income_f6]) / 100)^(1/12) - 1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>
        <f>(1 + ([eq_growth_f1] + [eq_income_f1]) / 100)^(1/12) - 1</f>
        <v/>
      </c>
      <c r="J190" s="19">
        <f>(1 + ([eq_growth_f2] + [eq_income_f2]) / 100)^(1/12) - 1</f>
        <v/>
      </c>
      <c r="K190" s="19">
        <f>(1 + ([eq_growth_f3] + [eq_income_f3]) / 100)^(1/12) - 1</f>
        <v/>
      </c>
      <c r="L190" s="19">
        <f>(1 + ([eq_growth_f4] + [eq_income_f4]) / 100)^(1/12) - 1</f>
        <v/>
      </c>
      <c r="M190" s="19">
        <f>(1 + ([eq_growth_f5] + [eq_income_f5]) / 100)^(1/12) - 1</f>
        <v/>
      </c>
      <c r="N190" s="19">
        <f>(1 + ([eq_growth_f6] + [eq_income_f6]) / 100)^(1/12) - 1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>
        <f>(1 + ([eq_growth_f1] + [eq_income_f1]) / 100)^(1/12) - 1</f>
        <v/>
      </c>
      <c r="J191" s="21">
        <f>(1 + ([eq_growth_f2] + [eq_income_f2]) / 100)^(1/12) - 1</f>
        <v/>
      </c>
      <c r="K191" s="21">
        <f>(1 + ([eq_growth_f3] + [eq_income_f3]) / 100)^(1/12) - 1</f>
        <v/>
      </c>
      <c r="L191" s="21">
        <f>(1 + ([eq_growth_f4] + [eq_income_f4]) / 100)^(1/12) - 1</f>
        <v/>
      </c>
      <c r="M191" s="21">
        <f>(1 + ([eq_growth_f5] + [eq_income_f5]) / 100)^(1/12) - 1</f>
        <v/>
      </c>
      <c r="N191" s="21">
        <f>(1 + ([eq_growth_f6] + [eq_income_f6]) / 100)^(1/12) - 1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>
        <f>(1 + ([eq_growth_f1] + [eq_income_f1]) / 100)^(1/12) - 1</f>
        <v/>
      </c>
      <c r="J192" s="19">
        <f>(1 + ([eq_growth_f2] + [eq_income_f2]) / 100)^(1/12) - 1</f>
        <v/>
      </c>
      <c r="K192" s="19">
        <f>(1 + ([eq_growth_f3] + [eq_income_f3]) / 100)^(1/12) - 1</f>
        <v/>
      </c>
      <c r="L192" s="19">
        <f>(1 + ([eq_growth_f4] + [eq_income_f4]) / 100)^(1/12) - 1</f>
        <v/>
      </c>
      <c r="M192" s="19">
        <f>(1 + ([eq_growth_f5] + [eq_income_f5]) / 100)^(1/12) - 1</f>
        <v/>
      </c>
      <c r="N192" s="19">
        <f>(1 + ([eq_growth_f6] + [eq_income_f6]) / 100)^(1/12) - 1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>
        <f>(1 + ([eq_growth_f1] + [eq_income_f1]) / 100)^(1/12) - 1</f>
        <v/>
      </c>
      <c r="J193" s="21">
        <f>(1 + ([eq_growth_f2] + [eq_income_f2]) / 100)^(1/12) - 1</f>
        <v/>
      </c>
      <c r="K193" s="21">
        <f>(1 + ([eq_growth_f3] + [eq_income_f3]) / 100)^(1/12) - 1</f>
        <v/>
      </c>
      <c r="L193" s="21">
        <f>(1 + ([eq_growth_f4] + [eq_income_f4]) / 100)^(1/12) - 1</f>
        <v/>
      </c>
      <c r="M193" s="21">
        <f>(1 + ([eq_growth_f5] + [eq_income_f5]) / 100)^(1/12) - 1</f>
        <v/>
      </c>
      <c r="N193" s="21">
        <f>(1 + ([eq_growth_f6] + [eq_income_f6]) / 100)^(1/12) - 1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>
        <f>(1 + ([eq_growth_f1] + [eq_income_f1]) / 100)^(1/12) - 1</f>
        <v/>
      </c>
      <c r="J194" s="19">
        <f>(1 + ([eq_growth_f2] + [eq_income_f2]) / 100)^(1/12) - 1</f>
        <v/>
      </c>
      <c r="K194" s="19">
        <f>(1 + ([eq_growth_f3] + [eq_income_f3]) / 100)^(1/12) - 1</f>
        <v/>
      </c>
      <c r="L194" s="19">
        <f>(1 + ([eq_growth_f4] + [eq_income_f4]) / 100)^(1/12) - 1</f>
        <v/>
      </c>
      <c r="M194" s="19">
        <f>(1 + ([eq_growth_f5] + [eq_income_f5]) / 100)^(1/12) - 1</f>
        <v/>
      </c>
      <c r="N194" s="19">
        <f>(1 + ([eq_growth_f6] + [eq_income_f6]) / 100)^(1/12) - 1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>
        <f>(1 + ([eq_growth_f1] + [eq_income_f1]) / 100)^(1/12) - 1</f>
        <v/>
      </c>
      <c r="J195" s="21">
        <f>(1 + ([eq_growth_f2] + [eq_income_f2]) / 100)^(1/12) - 1</f>
        <v/>
      </c>
      <c r="K195" s="21">
        <f>(1 + ([eq_growth_f3] + [eq_income_f3]) / 100)^(1/12) - 1</f>
        <v/>
      </c>
      <c r="L195" s="21">
        <f>(1 + ([eq_growth_f4] + [eq_income_f4]) / 100)^(1/12) - 1</f>
        <v/>
      </c>
      <c r="M195" s="21">
        <f>(1 + ([eq_growth_f5] + [eq_income_f5]) / 100)^(1/12) - 1</f>
        <v/>
      </c>
      <c r="N195" s="21">
        <f>(1 + ([eq_growth_f6] + [eq_income_f6]) / 100)^(1/12) - 1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>
        <f>(1 + ([eq_growth_f1] + [eq_income_f1]) / 100)^(1/12) - 1</f>
        <v/>
      </c>
      <c r="J196" s="19">
        <f>(1 + ([eq_growth_f2] + [eq_income_f2]) / 100)^(1/12) - 1</f>
        <v/>
      </c>
      <c r="K196" s="19">
        <f>(1 + ([eq_growth_f3] + [eq_income_f3]) / 100)^(1/12) - 1</f>
        <v/>
      </c>
      <c r="L196" s="19">
        <f>(1 + ([eq_growth_f4] + [eq_income_f4]) / 100)^(1/12) - 1</f>
        <v/>
      </c>
      <c r="M196" s="19">
        <f>(1 + ([eq_growth_f5] + [eq_income_f5]) / 100)^(1/12) - 1</f>
        <v/>
      </c>
      <c r="N196" s="19">
        <f>(1 + ([eq_growth_f6] + [eq_income_f6]) / 100)^(1/12) - 1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>
        <f>(1 + ([eq_growth_f1] + [eq_income_f1]) / 100)^(1/12) - 1</f>
        <v/>
      </c>
      <c r="J197" s="21">
        <f>(1 + ([eq_growth_f2] + [eq_income_f2]) / 100)^(1/12) - 1</f>
        <v/>
      </c>
      <c r="K197" s="21">
        <f>(1 + ([eq_growth_f3] + [eq_income_f3]) / 100)^(1/12) - 1</f>
        <v/>
      </c>
      <c r="L197" s="21">
        <f>(1 + ([eq_growth_f4] + [eq_income_f4]) / 100)^(1/12) - 1</f>
        <v/>
      </c>
      <c r="M197" s="21">
        <f>(1 + ([eq_growth_f5] + [eq_income_f5]) / 100)^(1/12) - 1</f>
        <v/>
      </c>
      <c r="N197" s="21">
        <f>(1 + ([eq_growth_f6] + [eq_income_f6]) / 100)^(1/12) - 1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>
        <f>(1 + ([eq_growth_f1] + [eq_income_f1]) / 100)^(1/12) - 1</f>
        <v/>
      </c>
      <c r="J198" s="19">
        <f>(1 + ([eq_growth_f2] + [eq_income_f2]) / 100)^(1/12) - 1</f>
        <v/>
      </c>
      <c r="K198" s="19">
        <f>(1 + ([eq_growth_f3] + [eq_income_f3]) / 100)^(1/12) - 1</f>
        <v/>
      </c>
      <c r="L198" s="19">
        <f>(1 + ([eq_growth_f4] + [eq_income_f4]) / 100)^(1/12) - 1</f>
        <v/>
      </c>
      <c r="M198" s="19">
        <f>(1 + ([eq_growth_f5] + [eq_income_f5]) / 100)^(1/12) - 1</f>
        <v/>
      </c>
      <c r="N198" s="19">
        <f>(1 + ([eq_growth_f6] + [eq_income_f6]) / 100)^(1/12) - 1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>
        <f>(1 + ([eq_growth_f1] + [eq_income_f1]) / 100)^(1/12) - 1</f>
        <v/>
      </c>
      <c r="J199" s="21">
        <f>(1 + ([eq_growth_f2] + [eq_income_f2]) / 100)^(1/12) - 1</f>
        <v/>
      </c>
      <c r="K199" s="21">
        <f>(1 + ([eq_growth_f3] + [eq_income_f3]) / 100)^(1/12) - 1</f>
        <v/>
      </c>
      <c r="L199" s="21">
        <f>(1 + ([eq_growth_f4] + [eq_income_f4]) / 100)^(1/12) - 1</f>
        <v/>
      </c>
      <c r="M199" s="21">
        <f>(1 + ([eq_growth_f5] + [eq_income_f5]) / 100)^(1/12) - 1</f>
        <v/>
      </c>
      <c r="N199" s="21">
        <f>(1 + ([eq_growth_f6] + [eq_income_f6]) / 100)^(1/12) - 1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>
        <f>(1 + ([eq_growth_f1] + [eq_income_f1]) / 100)^(1/12) - 1</f>
        <v/>
      </c>
      <c r="J200" s="19">
        <f>(1 + ([eq_growth_f2] + [eq_income_f2]) / 100)^(1/12) - 1</f>
        <v/>
      </c>
      <c r="K200" s="19">
        <f>(1 + ([eq_growth_f3] + [eq_income_f3]) / 100)^(1/12) - 1</f>
        <v/>
      </c>
      <c r="L200" s="19">
        <f>(1 + ([eq_growth_f4] + [eq_income_f4]) / 100)^(1/12) - 1</f>
        <v/>
      </c>
      <c r="M200" s="19">
        <f>(1 + ([eq_growth_f5] + [eq_income_f5]) / 100)^(1/12) - 1</f>
        <v/>
      </c>
      <c r="N200" s="19">
        <f>(1 + ([eq_growth_f6] + [eq_income_f6]) / 100)^(1/12) - 1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>
        <f>(1 + ([eq_growth_f1] + [eq_income_f1]) / 100)^(1/12) - 1</f>
        <v/>
      </c>
      <c r="J201" s="21">
        <f>(1 + ([eq_growth_f2] + [eq_income_f2]) / 100)^(1/12) - 1</f>
        <v/>
      </c>
      <c r="K201" s="21">
        <f>(1 + ([eq_growth_f3] + [eq_income_f3]) / 100)^(1/12) - 1</f>
        <v/>
      </c>
      <c r="L201" s="21">
        <f>(1 + ([eq_growth_f4] + [eq_income_f4]) / 100)^(1/12) - 1</f>
        <v/>
      </c>
      <c r="M201" s="21">
        <f>(1 + ([eq_growth_f5] + [eq_income_f5]) / 100)^(1/12) - 1</f>
        <v/>
      </c>
      <c r="N201" s="21">
        <f>(1 + ([eq_growth_f6] + [eq_income_f6]) / 100)^(1/12) - 1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>
        <f>(1 + ([eq_growth_f1] + [eq_income_f1]) / 100)^(1/12) - 1</f>
        <v/>
      </c>
      <c r="J202" s="19">
        <f>(1 + ([eq_growth_f2] + [eq_income_f2]) / 100)^(1/12) - 1</f>
        <v/>
      </c>
      <c r="K202" s="19">
        <f>(1 + ([eq_growth_f3] + [eq_income_f3]) / 100)^(1/12) - 1</f>
        <v/>
      </c>
      <c r="L202" s="19">
        <f>(1 + ([eq_growth_f4] + [eq_income_f4]) / 100)^(1/12) - 1</f>
        <v/>
      </c>
      <c r="M202" s="19">
        <f>(1 + ([eq_growth_f5] + [eq_income_f5]) / 100)^(1/12) - 1</f>
        <v/>
      </c>
      <c r="N202" s="19">
        <f>(1 + ([eq_growth_f6] + [eq_income_f6]) / 100)^(1/12) - 1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>
        <f>(1 + ([eq_growth_f1] + [eq_income_f1]) / 100)^(1/12) - 1</f>
        <v/>
      </c>
      <c r="J203" s="21">
        <f>(1 + ([eq_growth_f2] + [eq_income_f2]) / 100)^(1/12) - 1</f>
        <v/>
      </c>
      <c r="K203" s="21">
        <f>(1 + ([eq_growth_f3] + [eq_income_f3]) / 100)^(1/12) - 1</f>
        <v/>
      </c>
      <c r="L203" s="21">
        <f>(1 + ([eq_growth_f4] + [eq_income_f4]) / 100)^(1/12) - 1</f>
        <v/>
      </c>
      <c r="M203" s="21">
        <f>(1 + ([eq_growth_f5] + [eq_income_f5]) / 100)^(1/12) - 1</f>
        <v/>
      </c>
      <c r="N203" s="21">
        <f>(1 + ([eq_growth_f6] + [eq_income_f6]) / 100)^(1/12) - 1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>
        <f>(1 + ([eq_growth_f1] + [eq_income_f1]) / 100)^(1/12) - 1</f>
        <v/>
      </c>
      <c r="J204" s="19">
        <f>(1 + ([eq_growth_f2] + [eq_income_f2]) / 100)^(1/12) - 1</f>
        <v/>
      </c>
      <c r="K204" s="19">
        <f>(1 + ([eq_growth_f3] + [eq_income_f3]) / 100)^(1/12) - 1</f>
        <v/>
      </c>
      <c r="L204" s="19">
        <f>(1 + ([eq_growth_f4] + [eq_income_f4]) / 100)^(1/12) - 1</f>
        <v/>
      </c>
      <c r="M204" s="19">
        <f>(1 + ([eq_growth_f5] + [eq_income_f5]) / 100)^(1/12) - 1</f>
        <v/>
      </c>
      <c r="N204" s="19">
        <f>(1 + ([eq_growth_f6] + [eq_income_f6]) / 100)^(1/12) - 1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>
        <f>(1 + ([eq_growth_f1] + [eq_income_f1]) / 100)^(1/12) - 1</f>
        <v/>
      </c>
      <c r="J205" s="21">
        <f>(1 + ([eq_growth_f2] + [eq_income_f2]) / 100)^(1/12) - 1</f>
        <v/>
      </c>
      <c r="K205" s="21">
        <f>(1 + ([eq_growth_f3] + [eq_income_f3]) / 100)^(1/12) - 1</f>
        <v/>
      </c>
      <c r="L205" s="21">
        <f>(1 + ([eq_growth_f4] + [eq_income_f4]) / 100)^(1/12) - 1</f>
        <v/>
      </c>
      <c r="M205" s="21">
        <f>(1 + ([eq_growth_f5] + [eq_income_f5]) / 100)^(1/12) - 1</f>
        <v/>
      </c>
      <c r="N205" s="21">
        <f>(1 + ([eq_growth_f6] + [eq_income_f6]) / 100)^(1/12) - 1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>
        <f>(1 + ([eq_growth_f1] + [eq_income_f1]) / 100)^(1/12) - 1</f>
        <v/>
      </c>
      <c r="J206" s="19">
        <f>(1 + ([eq_growth_f2] + [eq_income_f2]) / 100)^(1/12) - 1</f>
        <v/>
      </c>
      <c r="K206" s="19">
        <f>(1 + ([eq_growth_f3] + [eq_income_f3]) / 100)^(1/12) - 1</f>
        <v/>
      </c>
      <c r="L206" s="19">
        <f>(1 + ([eq_growth_f4] + [eq_income_f4]) / 100)^(1/12) - 1</f>
        <v/>
      </c>
      <c r="M206" s="19">
        <f>(1 + ([eq_growth_f5] + [eq_income_f5]) / 100)^(1/12) - 1</f>
        <v/>
      </c>
      <c r="N206" s="19">
        <f>(1 + ([eq_growth_f6] + [eq_income_f6]) / 100)^(1/12) - 1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>
        <f>(1 + ([eq_growth_f1] + [eq_income_f1]) / 100)^(1/12) - 1</f>
        <v/>
      </c>
      <c r="J207" s="21">
        <f>(1 + ([eq_growth_f2] + [eq_income_f2]) / 100)^(1/12) - 1</f>
        <v/>
      </c>
      <c r="K207" s="21">
        <f>(1 + ([eq_growth_f3] + [eq_income_f3]) / 100)^(1/12) - 1</f>
        <v/>
      </c>
      <c r="L207" s="21">
        <f>(1 + ([eq_growth_f4] + [eq_income_f4]) / 100)^(1/12) - 1</f>
        <v/>
      </c>
      <c r="M207" s="21">
        <f>(1 + ([eq_growth_f5] + [eq_income_f5]) / 100)^(1/12) - 1</f>
        <v/>
      </c>
      <c r="N207" s="21">
        <f>(1 + ([eq_growth_f6] + [eq_income_f6]) / 100)^(1/12) - 1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>
        <f>(1 + ([eq_growth_f1] + [eq_income_f1]) / 100)^(1/12) - 1</f>
        <v/>
      </c>
      <c r="J208" s="19">
        <f>(1 + ([eq_growth_f2] + [eq_income_f2]) / 100)^(1/12) - 1</f>
        <v/>
      </c>
      <c r="K208" s="19">
        <f>(1 + ([eq_growth_f3] + [eq_income_f3]) / 100)^(1/12) - 1</f>
        <v/>
      </c>
      <c r="L208" s="19">
        <f>(1 + ([eq_growth_f4] + [eq_income_f4]) / 100)^(1/12) - 1</f>
        <v/>
      </c>
      <c r="M208" s="19">
        <f>(1 + ([eq_growth_f5] + [eq_income_f5]) / 100)^(1/12) - 1</f>
        <v/>
      </c>
      <c r="N208" s="19">
        <f>(1 + ([eq_growth_f6] + [eq_income_f6]) / 100)^(1/12) - 1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>
        <f>(1 + ([eq_growth_f1] + [eq_income_f1]) / 100)^(1/12) - 1</f>
        <v/>
      </c>
      <c r="J209" s="21">
        <f>(1 + ([eq_growth_f2] + [eq_income_f2]) / 100)^(1/12) - 1</f>
        <v/>
      </c>
      <c r="K209" s="21">
        <f>(1 + ([eq_growth_f3] + [eq_income_f3]) / 100)^(1/12) - 1</f>
        <v/>
      </c>
      <c r="L209" s="21">
        <f>(1 + ([eq_growth_f4] + [eq_income_f4]) / 100)^(1/12) - 1</f>
        <v/>
      </c>
      <c r="M209" s="21">
        <f>(1 + ([eq_growth_f5] + [eq_income_f5]) / 100)^(1/12) - 1</f>
        <v/>
      </c>
      <c r="N209" s="21">
        <f>(1 + ([eq_growth_f6] + [eq_income_f6]) / 100)^(1/12) - 1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>
        <f>(1 + ([eq_growth_f1] + [eq_income_f1]) / 100)^(1/12) - 1</f>
        <v/>
      </c>
      <c r="J210" s="19">
        <f>(1 + ([eq_growth_f2] + [eq_income_f2]) / 100)^(1/12) - 1</f>
        <v/>
      </c>
      <c r="K210" s="19">
        <f>(1 + ([eq_growth_f3] + [eq_income_f3]) / 100)^(1/12) - 1</f>
        <v/>
      </c>
      <c r="L210" s="19">
        <f>(1 + ([eq_growth_f4] + [eq_income_f4]) / 100)^(1/12) - 1</f>
        <v/>
      </c>
      <c r="M210" s="19">
        <f>(1 + ([eq_growth_f5] + [eq_income_f5]) / 100)^(1/12) - 1</f>
        <v/>
      </c>
      <c r="N210" s="19">
        <f>(1 + ([eq_growth_f6] + [eq_income_f6]) / 100)^(1/12) - 1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>
        <f>(1 + ([eq_growth_f1] + [eq_income_f1]) / 100)^(1/12) - 1</f>
        <v/>
      </c>
      <c r="J211" s="21">
        <f>(1 + ([eq_growth_f2] + [eq_income_f2]) / 100)^(1/12) - 1</f>
        <v/>
      </c>
      <c r="K211" s="21">
        <f>(1 + ([eq_growth_f3] + [eq_income_f3]) / 100)^(1/12) - 1</f>
        <v/>
      </c>
      <c r="L211" s="21">
        <f>(1 + ([eq_growth_f4] + [eq_income_f4]) / 100)^(1/12) - 1</f>
        <v/>
      </c>
      <c r="M211" s="21">
        <f>(1 + ([eq_growth_f5] + [eq_income_f5]) / 100)^(1/12) - 1</f>
        <v/>
      </c>
      <c r="N211" s="21">
        <f>(1 + ([eq_growth_f6] + [eq_income_f6]) / 100)^(1/12) - 1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>
        <f>(1 + ([eq_growth_f1] + [eq_income_f1]) / 100)^(1/12) - 1</f>
        <v/>
      </c>
      <c r="J212" s="19">
        <f>(1 + ([eq_growth_f2] + [eq_income_f2]) / 100)^(1/12) - 1</f>
        <v/>
      </c>
      <c r="K212" s="19">
        <f>(1 + ([eq_growth_f3] + [eq_income_f3]) / 100)^(1/12) - 1</f>
        <v/>
      </c>
      <c r="L212" s="19">
        <f>(1 + ([eq_growth_f4] + [eq_income_f4]) / 100)^(1/12) - 1</f>
        <v/>
      </c>
      <c r="M212" s="19">
        <f>(1 + ([eq_growth_f5] + [eq_income_f5]) / 100)^(1/12) - 1</f>
        <v/>
      </c>
      <c r="N212" s="19">
        <f>(1 + ([eq_growth_f6] + [eq_income_f6]) / 100)^(1/12) - 1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>
        <f>(1 + ([eq_growth_f1] + [eq_income_f1]) / 100)^(1/12) - 1</f>
        <v/>
      </c>
      <c r="J213" s="21">
        <f>(1 + ([eq_growth_f2] + [eq_income_f2]) / 100)^(1/12) - 1</f>
        <v/>
      </c>
      <c r="K213" s="21">
        <f>(1 + ([eq_growth_f3] + [eq_income_f3]) / 100)^(1/12) - 1</f>
        <v/>
      </c>
      <c r="L213" s="21">
        <f>(1 + ([eq_growth_f4] + [eq_income_f4]) / 100)^(1/12) - 1</f>
        <v/>
      </c>
      <c r="M213" s="21">
        <f>(1 + ([eq_growth_f5] + [eq_income_f5]) / 100)^(1/12) - 1</f>
        <v/>
      </c>
      <c r="N213" s="21">
        <f>(1 + ([eq_growth_f6] + [eq_income_f6]) / 100)^(1/12) - 1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>
        <f>(1 + ([eq_growth_f1] + [eq_income_f1]) / 100)^(1/12) - 1</f>
        <v/>
      </c>
      <c r="J214" s="19">
        <f>(1 + ([eq_growth_f2] + [eq_income_f2]) / 100)^(1/12) - 1</f>
        <v/>
      </c>
      <c r="K214" s="19">
        <f>(1 + ([eq_growth_f3] + [eq_income_f3]) / 100)^(1/12) - 1</f>
        <v/>
      </c>
      <c r="L214" s="19">
        <f>(1 + ([eq_growth_f4] + [eq_income_f4]) / 100)^(1/12) - 1</f>
        <v/>
      </c>
      <c r="M214" s="19">
        <f>(1 + ([eq_growth_f5] + [eq_income_f5]) / 100)^(1/12) - 1</f>
        <v/>
      </c>
      <c r="N214" s="19">
        <f>(1 + ([eq_growth_f6] + [eq_income_f6]) / 100)^(1/12) - 1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>
        <f>(1 + ([eq_growth_f1] + [eq_income_f1]) / 100)^(1/12) - 1</f>
        <v/>
      </c>
      <c r="J215" s="21">
        <f>(1 + ([eq_growth_f2] + [eq_income_f2]) / 100)^(1/12) - 1</f>
        <v/>
      </c>
      <c r="K215" s="21">
        <f>(1 + ([eq_growth_f3] + [eq_income_f3]) / 100)^(1/12) - 1</f>
        <v/>
      </c>
      <c r="L215" s="21">
        <f>(1 + ([eq_growth_f4] + [eq_income_f4]) / 100)^(1/12) - 1</f>
        <v/>
      </c>
      <c r="M215" s="21">
        <f>(1 + ([eq_growth_f5] + [eq_income_f5]) / 100)^(1/12) - 1</f>
        <v/>
      </c>
      <c r="N215" s="21">
        <f>(1 + ([eq_growth_f6] + [eq_income_f6]) / 100)^(1/12) - 1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>
        <f>(1 + ([eq_growth_f1] + [eq_income_f1]) / 100)^(1/12) - 1</f>
        <v/>
      </c>
      <c r="J216" s="19">
        <f>(1 + ([eq_growth_f2] + [eq_income_f2]) / 100)^(1/12) - 1</f>
        <v/>
      </c>
      <c r="K216" s="19">
        <f>(1 + ([eq_growth_f3] + [eq_income_f3]) / 100)^(1/12) - 1</f>
        <v/>
      </c>
      <c r="L216" s="19">
        <f>(1 + ([eq_growth_f4] + [eq_income_f4]) / 100)^(1/12) - 1</f>
        <v/>
      </c>
      <c r="M216" s="19">
        <f>(1 + ([eq_growth_f5] + [eq_income_f5]) / 100)^(1/12) - 1</f>
        <v/>
      </c>
      <c r="N216" s="19">
        <f>(1 + ([eq_growth_f6] + [eq_income_f6]) / 100)^(1/12) - 1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>
        <f>(1 + ([eq_growth_f1] + [eq_income_f1]) / 100)^(1/12) - 1</f>
        <v/>
      </c>
      <c r="J217" s="21">
        <f>(1 + ([eq_growth_f2] + [eq_income_f2]) / 100)^(1/12) - 1</f>
        <v/>
      </c>
      <c r="K217" s="21">
        <f>(1 + ([eq_growth_f3] + [eq_income_f3]) / 100)^(1/12) - 1</f>
        <v/>
      </c>
      <c r="L217" s="21">
        <f>(1 + ([eq_growth_f4] + [eq_income_f4]) / 100)^(1/12) - 1</f>
        <v/>
      </c>
      <c r="M217" s="21">
        <f>(1 + ([eq_growth_f5] + [eq_income_f5]) / 100)^(1/12) - 1</f>
        <v/>
      </c>
      <c r="N217" s="21">
        <f>(1 + ([eq_growth_f6] + [eq_income_f6]) / 100)^(1/12) - 1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>
        <f>(1 + ([eq_growth_f1] + [eq_income_f1]) / 100)^(1/12) - 1</f>
        <v/>
      </c>
      <c r="J218" s="19">
        <f>(1 + ([eq_growth_f2] + [eq_income_f2]) / 100)^(1/12) - 1</f>
        <v/>
      </c>
      <c r="K218" s="19">
        <f>(1 + ([eq_growth_f3] + [eq_income_f3]) / 100)^(1/12) - 1</f>
        <v/>
      </c>
      <c r="L218" s="19">
        <f>(1 + ([eq_growth_f4] + [eq_income_f4]) / 100)^(1/12) - 1</f>
        <v/>
      </c>
      <c r="M218" s="19">
        <f>(1 + ([eq_growth_f5] + [eq_income_f5]) / 100)^(1/12) - 1</f>
        <v/>
      </c>
      <c r="N218" s="19">
        <f>(1 + ([eq_growth_f6] + [eq_income_f6]) / 100)^(1/12) - 1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>
        <f>(1 + ([eq_growth_f1] + [eq_income_f1]) / 100)^(1/12) - 1</f>
        <v/>
      </c>
      <c r="J219" s="21">
        <f>(1 + ([eq_growth_f2] + [eq_income_f2]) / 100)^(1/12) - 1</f>
        <v/>
      </c>
      <c r="K219" s="21">
        <f>(1 + ([eq_growth_f3] + [eq_income_f3]) / 100)^(1/12) - 1</f>
        <v/>
      </c>
      <c r="L219" s="21">
        <f>(1 + ([eq_growth_f4] + [eq_income_f4]) / 100)^(1/12) - 1</f>
        <v/>
      </c>
      <c r="M219" s="21">
        <f>(1 + ([eq_growth_f5] + [eq_income_f5]) / 100)^(1/12) - 1</f>
        <v/>
      </c>
      <c r="N219" s="21">
        <f>(1 + ([eq_growth_f6] + [eq_income_f6]) / 100)^(1/12) - 1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>
        <f>(1 + ([eq_growth_f1] + [eq_income_f1]) / 100)^(1/12) - 1</f>
        <v/>
      </c>
      <c r="J220" s="19">
        <f>(1 + ([eq_growth_f2] + [eq_income_f2]) / 100)^(1/12) - 1</f>
        <v/>
      </c>
      <c r="K220" s="19">
        <f>(1 + ([eq_growth_f3] + [eq_income_f3]) / 100)^(1/12) - 1</f>
        <v/>
      </c>
      <c r="L220" s="19">
        <f>(1 + ([eq_growth_f4] + [eq_income_f4]) / 100)^(1/12) - 1</f>
        <v/>
      </c>
      <c r="M220" s="19">
        <f>(1 + ([eq_growth_f5] + [eq_income_f5]) / 100)^(1/12) - 1</f>
        <v/>
      </c>
      <c r="N220" s="19">
        <f>(1 + ([eq_growth_f6] + [eq_income_f6]) / 100)^(1/12) - 1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>
        <f>(1 + ([eq_growth_f1] + [eq_income_f1]) / 100)^(1/12) - 1</f>
        <v/>
      </c>
      <c r="J221" s="21">
        <f>(1 + ([eq_growth_f2] + [eq_income_f2]) / 100)^(1/12) - 1</f>
        <v/>
      </c>
      <c r="K221" s="21">
        <f>(1 + ([eq_growth_f3] + [eq_income_f3]) / 100)^(1/12) - 1</f>
        <v/>
      </c>
      <c r="L221" s="21">
        <f>(1 + ([eq_growth_f4] + [eq_income_f4]) / 100)^(1/12) - 1</f>
        <v/>
      </c>
      <c r="M221" s="21">
        <f>(1 + ([eq_growth_f5] + [eq_income_f5]) / 100)^(1/12) - 1</f>
        <v/>
      </c>
      <c r="N221" s="21">
        <f>(1 + ([eq_growth_f6] + [eq_income_f6]) / 100)^(1/12) - 1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>
        <f>(1 + ([eq_growth_f1] + [eq_income_f1]) / 100)^(1/12) - 1</f>
        <v/>
      </c>
      <c r="J222" s="19">
        <f>(1 + ([eq_growth_f2] + [eq_income_f2]) / 100)^(1/12) - 1</f>
        <v/>
      </c>
      <c r="K222" s="19">
        <f>(1 + ([eq_growth_f3] + [eq_income_f3]) / 100)^(1/12) - 1</f>
        <v/>
      </c>
      <c r="L222" s="19">
        <f>(1 + ([eq_growth_f4] + [eq_income_f4]) / 100)^(1/12) - 1</f>
        <v/>
      </c>
      <c r="M222" s="19">
        <f>(1 + ([eq_growth_f5] + [eq_income_f5]) / 100)^(1/12) - 1</f>
        <v/>
      </c>
      <c r="N222" s="19">
        <f>(1 + ([eq_growth_f6] + [eq_income_f6]) / 100)^(1/12) - 1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>
        <f>(1 + ([eq_growth_f1] + [eq_income_f1]) / 100)^(1/12) - 1</f>
        <v/>
      </c>
      <c r="J223" s="21">
        <f>(1 + ([eq_growth_f2] + [eq_income_f2]) / 100)^(1/12) - 1</f>
        <v/>
      </c>
      <c r="K223" s="21">
        <f>(1 + ([eq_growth_f3] + [eq_income_f3]) / 100)^(1/12) - 1</f>
        <v/>
      </c>
      <c r="L223" s="21">
        <f>(1 + ([eq_growth_f4] + [eq_income_f4]) / 100)^(1/12) - 1</f>
        <v/>
      </c>
      <c r="M223" s="21">
        <f>(1 + ([eq_growth_f5] + [eq_income_f5]) / 100)^(1/12) - 1</f>
        <v/>
      </c>
      <c r="N223" s="21">
        <f>(1 + ([eq_growth_f6] + [eq_income_f6]) / 100)^(1/12) - 1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>
        <f>(1 + ([eq_growth_f1] + [eq_income_f1]) / 100)^(1/12) - 1</f>
        <v/>
      </c>
      <c r="J224" s="19">
        <f>(1 + ([eq_growth_f2] + [eq_income_f2]) / 100)^(1/12) - 1</f>
        <v/>
      </c>
      <c r="K224" s="19">
        <f>(1 + ([eq_growth_f3] + [eq_income_f3]) / 100)^(1/12) - 1</f>
        <v/>
      </c>
      <c r="L224" s="19">
        <f>(1 + ([eq_growth_f4] + [eq_income_f4]) / 100)^(1/12) - 1</f>
        <v/>
      </c>
      <c r="M224" s="19">
        <f>(1 + ([eq_growth_f5] + [eq_income_f5]) / 100)^(1/12) - 1</f>
        <v/>
      </c>
      <c r="N224" s="19">
        <f>(1 + ([eq_growth_f6] + [eq_income_f6]) / 100)^(1/12) - 1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>
        <f>(1 + ([eq_growth_f1] + [eq_income_f1]) / 100)^(1/12) - 1</f>
        <v/>
      </c>
      <c r="J225" s="21">
        <f>(1 + ([eq_growth_f2] + [eq_income_f2]) / 100)^(1/12) - 1</f>
        <v/>
      </c>
      <c r="K225" s="21">
        <f>(1 + ([eq_growth_f3] + [eq_income_f3]) / 100)^(1/12) - 1</f>
        <v/>
      </c>
      <c r="L225" s="21">
        <f>(1 + ([eq_growth_f4] + [eq_income_f4]) / 100)^(1/12) - 1</f>
        <v/>
      </c>
      <c r="M225" s="21">
        <f>(1 + ([eq_growth_f5] + [eq_income_f5]) / 100)^(1/12) - 1</f>
        <v/>
      </c>
      <c r="N225" s="21">
        <f>(1 + ([eq_growth_f6] + [eq_income_f6]) / 100)^(1/12) - 1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>
        <f>(1 + ([eq_growth_f1] + [eq_income_f1]) / 100)^(1/12) - 1</f>
        <v/>
      </c>
      <c r="J226" s="19">
        <f>(1 + ([eq_growth_f2] + [eq_income_f2]) / 100)^(1/12) - 1</f>
        <v/>
      </c>
      <c r="K226" s="19">
        <f>(1 + ([eq_growth_f3] + [eq_income_f3]) / 100)^(1/12) - 1</f>
        <v/>
      </c>
      <c r="L226" s="19">
        <f>(1 + ([eq_growth_f4] + [eq_income_f4]) / 100)^(1/12) - 1</f>
        <v/>
      </c>
      <c r="M226" s="19">
        <f>(1 + ([eq_growth_f5] + [eq_income_f5]) / 100)^(1/12) - 1</f>
        <v/>
      </c>
      <c r="N226" s="19">
        <f>(1 + ([eq_growth_f6] + [eq_income_f6]) / 100)^(1/12) - 1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>
        <f>(1 + ([eq_growth_f1] + [eq_income_f1]) / 100)^(1/12) - 1</f>
        <v/>
      </c>
      <c r="J227" s="21">
        <f>(1 + ([eq_growth_f2] + [eq_income_f2]) / 100)^(1/12) - 1</f>
        <v/>
      </c>
      <c r="K227" s="21">
        <f>(1 + ([eq_growth_f3] + [eq_income_f3]) / 100)^(1/12) - 1</f>
        <v/>
      </c>
      <c r="L227" s="21">
        <f>(1 + ([eq_growth_f4] + [eq_income_f4]) / 100)^(1/12) - 1</f>
        <v/>
      </c>
      <c r="M227" s="21">
        <f>(1 + ([eq_growth_f5] + [eq_income_f5]) / 100)^(1/12) - 1</f>
        <v/>
      </c>
      <c r="N227" s="21">
        <f>(1 + ([eq_growth_f6] + [eq_income_f6]) / 100)^(1/12) - 1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>
        <f>(1 + ([eq_growth_f1] + [eq_income_f1]) / 100)^(1/12) - 1</f>
        <v/>
      </c>
      <c r="J228" s="19">
        <f>(1 + ([eq_growth_f2] + [eq_income_f2]) / 100)^(1/12) - 1</f>
        <v/>
      </c>
      <c r="K228" s="19">
        <f>(1 + ([eq_growth_f3] + [eq_income_f3]) / 100)^(1/12) - 1</f>
        <v/>
      </c>
      <c r="L228" s="19">
        <f>(1 + ([eq_growth_f4] + [eq_income_f4]) / 100)^(1/12) - 1</f>
        <v/>
      </c>
      <c r="M228" s="19">
        <f>(1 + ([eq_growth_f5] + [eq_income_f5]) / 100)^(1/12) - 1</f>
        <v/>
      </c>
      <c r="N228" s="19">
        <f>(1 + ([eq_growth_f6] + [eq_income_f6]) / 100)^(1/12) - 1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>
        <f>(1 + ([eq_growth_f1] + [eq_income_f1]) / 100)^(1/12) - 1</f>
        <v/>
      </c>
      <c r="J229" s="21">
        <f>(1 + ([eq_growth_f2] + [eq_income_f2]) / 100)^(1/12) - 1</f>
        <v/>
      </c>
      <c r="K229" s="21">
        <f>(1 + ([eq_growth_f3] + [eq_income_f3]) / 100)^(1/12) - 1</f>
        <v/>
      </c>
      <c r="L229" s="21">
        <f>(1 + ([eq_growth_f4] + [eq_income_f4]) / 100)^(1/12) - 1</f>
        <v/>
      </c>
      <c r="M229" s="21">
        <f>(1 + ([eq_growth_f5] + [eq_income_f5]) / 100)^(1/12) - 1</f>
        <v/>
      </c>
      <c r="N229" s="21">
        <f>(1 + ([eq_growth_f6] + [eq_income_f6]) / 100)^(1/12) - 1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>
        <f>(1 + ([eq_growth_f1] + [eq_income_f1]) / 100)^(1/12) - 1</f>
        <v/>
      </c>
      <c r="J230" s="19">
        <f>(1 + ([eq_growth_f2] + [eq_income_f2]) / 100)^(1/12) - 1</f>
        <v/>
      </c>
      <c r="K230" s="19">
        <f>(1 + ([eq_growth_f3] + [eq_income_f3]) / 100)^(1/12) - 1</f>
        <v/>
      </c>
      <c r="L230" s="19">
        <f>(1 + ([eq_growth_f4] + [eq_income_f4]) / 100)^(1/12) - 1</f>
        <v/>
      </c>
      <c r="M230" s="19">
        <f>(1 + ([eq_growth_f5] + [eq_income_f5]) / 100)^(1/12) - 1</f>
        <v/>
      </c>
      <c r="N230" s="19">
        <f>(1 + ([eq_growth_f6] + [eq_income_f6]) / 100)^(1/12) - 1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>
        <f>(1 + ([eq_growth_f1] + [eq_income_f1]) / 100)^(1/12) - 1</f>
        <v/>
      </c>
      <c r="J231" s="21">
        <f>(1 + ([eq_growth_f2] + [eq_income_f2]) / 100)^(1/12) - 1</f>
        <v/>
      </c>
      <c r="K231" s="21">
        <f>(1 + ([eq_growth_f3] + [eq_income_f3]) / 100)^(1/12) - 1</f>
        <v/>
      </c>
      <c r="L231" s="21">
        <f>(1 + ([eq_growth_f4] + [eq_income_f4]) / 100)^(1/12) - 1</f>
        <v/>
      </c>
      <c r="M231" s="21">
        <f>(1 + ([eq_growth_f5] + [eq_income_f5]) / 100)^(1/12) - 1</f>
        <v/>
      </c>
      <c r="N231" s="21">
        <f>(1 + ([eq_growth_f6] + [eq_income_f6]) / 100)^(1/12) - 1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>
        <f>(1 + ([eq_growth_f1] + [eq_income_f1]) / 100)^(1/12) - 1</f>
        <v/>
      </c>
      <c r="J232" s="19">
        <f>(1 + ([eq_growth_f2] + [eq_income_f2]) / 100)^(1/12) - 1</f>
        <v/>
      </c>
      <c r="K232" s="19">
        <f>(1 + ([eq_growth_f3] + [eq_income_f3]) / 100)^(1/12) - 1</f>
        <v/>
      </c>
      <c r="L232" s="19">
        <f>(1 + ([eq_growth_f4] + [eq_income_f4]) / 100)^(1/12) - 1</f>
        <v/>
      </c>
      <c r="M232" s="19">
        <f>(1 + ([eq_growth_f5] + [eq_income_f5]) / 100)^(1/12) - 1</f>
        <v/>
      </c>
      <c r="N232" s="19">
        <f>(1 + ([eq_growth_f6] + [eq_income_f6]) / 100)^(1/12) - 1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>
        <f>(1 + ([eq_growth_f1] + [eq_income_f1]) / 100)^(1/12) - 1</f>
        <v/>
      </c>
      <c r="J233" s="21">
        <f>(1 + ([eq_growth_f2] + [eq_income_f2]) / 100)^(1/12) - 1</f>
        <v/>
      </c>
      <c r="K233" s="21">
        <f>(1 + ([eq_growth_f3] + [eq_income_f3]) / 100)^(1/12) - 1</f>
        <v/>
      </c>
      <c r="L233" s="21">
        <f>(1 + ([eq_growth_f4] + [eq_income_f4]) / 100)^(1/12) - 1</f>
        <v/>
      </c>
      <c r="M233" s="21">
        <f>(1 + ([eq_growth_f5] + [eq_income_f5]) / 100)^(1/12) - 1</f>
        <v/>
      </c>
      <c r="N233" s="21">
        <f>(1 + ([eq_growth_f6] + [eq_income_f6]) / 100)^(1/12) - 1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>
        <f>(1 + ([eq_growth_f1] + [eq_income_f1]) / 100)^(1/12) - 1</f>
        <v/>
      </c>
      <c r="J234" s="19">
        <f>(1 + ([eq_growth_f2] + [eq_income_f2]) / 100)^(1/12) - 1</f>
        <v/>
      </c>
      <c r="K234" s="19">
        <f>(1 + ([eq_growth_f3] + [eq_income_f3]) / 100)^(1/12) - 1</f>
        <v/>
      </c>
      <c r="L234" s="19">
        <f>(1 + ([eq_growth_f4] + [eq_income_f4]) / 100)^(1/12) - 1</f>
        <v/>
      </c>
      <c r="M234" s="19">
        <f>(1 + ([eq_growth_f5] + [eq_income_f5]) / 100)^(1/12) - 1</f>
        <v/>
      </c>
      <c r="N234" s="19">
        <f>(1 + ([eq_growth_f6] + [eq_income_f6]) / 100)^(1/12) - 1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>
        <f>(1 + ([eq_growth_f1] + [eq_income_f1]) / 100)^(1/12) - 1</f>
        <v/>
      </c>
      <c r="J235" s="21">
        <f>(1 + ([eq_growth_f2] + [eq_income_f2]) / 100)^(1/12) - 1</f>
        <v/>
      </c>
      <c r="K235" s="21">
        <f>(1 + ([eq_growth_f3] + [eq_income_f3]) / 100)^(1/12) - 1</f>
        <v/>
      </c>
      <c r="L235" s="21">
        <f>(1 + ([eq_growth_f4] + [eq_income_f4]) / 100)^(1/12) - 1</f>
        <v/>
      </c>
      <c r="M235" s="21">
        <f>(1 + ([eq_growth_f5] + [eq_income_f5]) / 100)^(1/12) - 1</f>
        <v/>
      </c>
      <c r="N235" s="21">
        <f>(1 + ([eq_growth_f6] + [eq_income_f6]) / 100)^(1/12) - 1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>
        <f>(1 + ([eq_growth_f1] + [eq_income_f1]) / 100)^(1/12) - 1</f>
        <v/>
      </c>
      <c r="J236" s="19">
        <f>(1 + ([eq_growth_f2] + [eq_income_f2]) / 100)^(1/12) - 1</f>
        <v/>
      </c>
      <c r="K236" s="19">
        <f>(1 + ([eq_growth_f3] + [eq_income_f3]) / 100)^(1/12) - 1</f>
        <v/>
      </c>
      <c r="L236" s="19">
        <f>(1 + ([eq_growth_f4] + [eq_income_f4]) / 100)^(1/12) - 1</f>
        <v/>
      </c>
      <c r="M236" s="19">
        <f>(1 + ([eq_growth_f5] + [eq_income_f5]) / 100)^(1/12) - 1</f>
        <v/>
      </c>
      <c r="N236" s="19">
        <f>(1 + ([eq_growth_f6] + [eq_income_f6]) / 100)^(1/12) - 1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>
        <f>(1 + ([eq_growth_f1] + [eq_income_f1]) / 100)^(1/12) - 1</f>
        <v/>
      </c>
      <c r="J237" s="21">
        <f>(1 + ([eq_growth_f2] + [eq_income_f2]) / 100)^(1/12) - 1</f>
        <v/>
      </c>
      <c r="K237" s="21">
        <f>(1 + ([eq_growth_f3] + [eq_income_f3]) / 100)^(1/12) - 1</f>
        <v/>
      </c>
      <c r="L237" s="21">
        <f>(1 + ([eq_growth_f4] + [eq_income_f4]) / 100)^(1/12) - 1</f>
        <v/>
      </c>
      <c r="M237" s="21">
        <f>(1 + ([eq_growth_f5] + [eq_income_f5]) / 100)^(1/12) - 1</f>
        <v/>
      </c>
      <c r="N237" s="21">
        <f>(1 + ([eq_growth_f6] + [eq_income_f6]) / 100)^(1/12) - 1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>
        <f>(1 + ([eq_growth_f1] + [eq_income_f1]) / 100)^(1/12) - 1</f>
        <v/>
      </c>
      <c r="J238" s="19">
        <f>(1 + ([eq_growth_f2] + [eq_income_f2]) / 100)^(1/12) - 1</f>
        <v/>
      </c>
      <c r="K238" s="19">
        <f>(1 + ([eq_growth_f3] + [eq_income_f3]) / 100)^(1/12) - 1</f>
        <v/>
      </c>
      <c r="L238" s="19">
        <f>(1 + ([eq_growth_f4] + [eq_income_f4]) / 100)^(1/12) - 1</f>
        <v/>
      </c>
      <c r="M238" s="19">
        <f>(1 + ([eq_growth_f5] + [eq_income_f5]) / 100)^(1/12) - 1</f>
        <v/>
      </c>
      <c r="N238" s="19">
        <f>(1 + ([eq_growth_f6] + [eq_income_f6]) / 100)^(1/12) - 1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>
        <f>(1 + ([eq_growth_f1] + [eq_income_f1]) / 100)^(1/12) - 1</f>
        <v/>
      </c>
      <c r="J239" s="21">
        <f>(1 + ([eq_growth_f2] + [eq_income_f2]) / 100)^(1/12) - 1</f>
        <v/>
      </c>
      <c r="K239" s="21">
        <f>(1 + ([eq_growth_f3] + [eq_income_f3]) / 100)^(1/12) - 1</f>
        <v/>
      </c>
      <c r="L239" s="21">
        <f>(1 + ([eq_growth_f4] + [eq_income_f4]) / 100)^(1/12) - 1</f>
        <v/>
      </c>
      <c r="M239" s="21">
        <f>(1 + ([eq_growth_f5] + [eq_income_f5]) / 100)^(1/12) - 1</f>
        <v/>
      </c>
      <c r="N239" s="21">
        <f>(1 + ([eq_growth_f6] + [eq_income_f6]) / 100)^(1/12) - 1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>
        <f>(1 + ([eq_growth_f1] + [eq_income_f1]) / 100)^(1/12) - 1</f>
        <v/>
      </c>
      <c r="J240" s="19">
        <f>(1 + ([eq_growth_f2] + [eq_income_f2]) / 100)^(1/12) - 1</f>
        <v/>
      </c>
      <c r="K240" s="19">
        <f>(1 + ([eq_growth_f3] + [eq_income_f3]) / 100)^(1/12) - 1</f>
        <v/>
      </c>
      <c r="L240" s="19">
        <f>(1 + ([eq_growth_f4] + [eq_income_f4]) / 100)^(1/12) - 1</f>
        <v/>
      </c>
      <c r="M240" s="19">
        <f>(1 + ([eq_growth_f5] + [eq_income_f5]) / 100)^(1/12) - 1</f>
        <v/>
      </c>
      <c r="N240" s="19">
        <f>(1 + ([eq_growth_f6] + [eq_income_f6]) / 100)^(1/12) - 1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>
        <f>(1 + ([eq_growth_f1] + [eq_income_f1]) / 100)^(1/12) - 1</f>
        <v/>
      </c>
      <c r="J241" s="21">
        <f>(1 + ([eq_growth_f2] + [eq_income_f2]) / 100)^(1/12) - 1</f>
        <v/>
      </c>
      <c r="K241" s="21">
        <f>(1 + ([eq_growth_f3] + [eq_income_f3]) / 100)^(1/12) - 1</f>
        <v/>
      </c>
      <c r="L241" s="21">
        <f>(1 + ([eq_growth_f4] + [eq_income_f4]) / 100)^(1/12) - 1</f>
        <v/>
      </c>
      <c r="M241" s="21">
        <f>(1 + ([eq_growth_f5] + [eq_income_f5]) / 100)^(1/12) - 1</f>
        <v/>
      </c>
      <c r="N241" s="21">
        <f>(1 + ([eq_growth_f6] + [eq_income_f6]) / 100)^(1/12) - 1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>
        <f>(1 + ([eq_growth_f1] + [eq_income_f1]) / 100)^(1/12) - 1</f>
        <v/>
      </c>
      <c r="J242" s="19">
        <f>(1 + ([eq_growth_f2] + [eq_income_f2]) / 100)^(1/12) - 1</f>
        <v/>
      </c>
      <c r="K242" s="19">
        <f>(1 + ([eq_growth_f3] + [eq_income_f3]) / 100)^(1/12) - 1</f>
        <v/>
      </c>
      <c r="L242" s="19">
        <f>(1 + ([eq_growth_f4] + [eq_income_f4]) / 100)^(1/12) - 1</f>
        <v/>
      </c>
      <c r="M242" s="19">
        <f>(1 + ([eq_growth_f5] + [eq_income_f5]) / 100)^(1/12) - 1</f>
        <v/>
      </c>
      <c r="N242" s="19">
        <f>(1 + ([eq_growth_f6] + [eq_income_f6]) / 100)^(1/12) - 1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>
        <f>(1 + ([eq_growth_f1] + [eq_income_f1]) / 100)^(1/12) - 1</f>
        <v/>
      </c>
      <c r="J243" s="21">
        <f>(1 + ([eq_growth_f2] + [eq_income_f2]) / 100)^(1/12) - 1</f>
        <v/>
      </c>
      <c r="K243" s="21">
        <f>(1 + ([eq_growth_f3] + [eq_income_f3]) / 100)^(1/12) - 1</f>
        <v/>
      </c>
      <c r="L243" s="21">
        <f>(1 + ([eq_growth_f4] + [eq_income_f4]) / 100)^(1/12) - 1</f>
        <v/>
      </c>
      <c r="M243" s="21">
        <f>(1 + ([eq_growth_f5] + [eq_income_f5]) / 100)^(1/12) - 1</f>
        <v/>
      </c>
      <c r="N243" s="21">
        <f>(1 + ([eq_growth_f6] + [eq_income_f6]) / 100)^(1/12) - 1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>
        <f>(1 + ([eq_growth_f1] + [eq_income_f1]) / 100)^(1/12) - 1</f>
        <v/>
      </c>
      <c r="J244" s="19">
        <f>(1 + ([eq_growth_f2] + [eq_income_f2]) / 100)^(1/12) - 1</f>
        <v/>
      </c>
      <c r="K244" s="19">
        <f>(1 + ([eq_growth_f3] + [eq_income_f3]) / 100)^(1/12) - 1</f>
        <v/>
      </c>
      <c r="L244" s="19">
        <f>(1 + ([eq_growth_f4] + [eq_income_f4]) / 100)^(1/12) - 1</f>
        <v/>
      </c>
      <c r="M244" s="19">
        <f>(1 + ([eq_growth_f5] + [eq_income_f5]) / 100)^(1/12) - 1</f>
        <v/>
      </c>
      <c r="N244" s="19">
        <f>(1 + ([eq_growth_f6] + [eq_income_f6]) / 100)^(1/12) - 1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>
        <f>(1 + ([eq_growth_f1] + [eq_income_f1]) / 100)^(1/12) - 1</f>
        <v/>
      </c>
      <c r="J245" s="21">
        <f>(1 + ([eq_growth_f2] + [eq_income_f2]) / 100)^(1/12) - 1</f>
        <v/>
      </c>
      <c r="K245" s="21">
        <f>(1 + ([eq_growth_f3] + [eq_income_f3]) / 100)^(1/12) - 1</f>
        <v/>
      </c>
      <c r="L245" s="21">
        <f>(1 + ([eq_growth_f4] + [eq_income_f4]) / 100)^(1/12) - 1</f>
        <v/>
      </c>
      <c r="M245" s="21">
        <f>(1 + ([eq_growth_f5] + [eq_income_f5]) / 100)^(1/12) - 1</f>
        <v/>
      </c>
      <c r="N245" s="21">
        <f>(1 + ([eq_growth_f6] + [eq_income_f6]) / 100)^(1/12) - 1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>
        <f>(1 + ([eq_growth_f1] + [eq_income_f1]) / 100)^(1/12) - 1</f>
        <v/>
      </c>
      <c r="J246" s="19">
        <f>(1 + ([eq_growth_f2] + [eq_income_f2]) / 100)^(1/12) - 1</f>
        <v/>
      </c>
      <c r="K246" s="19">
        <f>(1 + ([eq_growth_f3] + [eq_income_f3]) / 100)^(1/12) - 1</f>
        <v/>
      </c>
      <c r="L246" s="19">
        <f>(1 + ([eq_growth_f4] + [eq_income_f4]) / 100)^(1/12) - 1</f>
        <v/>
      </c>
      <c r="M246" s="19">
        <f>(1 + ([eq_growth_f5] + [eq_income_f5]) / 100)^(1/12) - 1</f>
        <v/>
      </c>
      <c r="N246" s="19">
        <f>(1 + ([eq_growth_f6] + [eq_income_f6]) / 100)^(1/12) - 1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>
        <f>(1 + ([eq_growth_f1] + [eq_income_f1]) / 100)^(1/12) - 1</f>
        <v/>
      </c>
      <c r="J247" s="21">
        <f>(1 + ([eq_growth_f2] + [eq_income_f2]) / 100)^(1/12) - 1</f>
        <v/>
      </c>
      <c r="K247" s="21">
        <f>(1 + ([eq_growth_f3] + [eq_income_f3]) / 100)^(1/12) - 1</f>
        <v/>
      </c>
      <c r="L247" s="21">
        <f>(1 + ([eq_growth_f4] + [eq_income_f4]) / 100)^(1/12) - 1</f>
        <v/>
      </c>
      <c r="M247" s="21">
        <f>(1 + ([eq_growth_f5] + [eq_income_f5]) / 100)^(1/12) - 1</f>
        <v/>
      </c>
      <c r="N247" s="21">
        <f>(1 + ([eq_growth_f6] + [eq_income_f6]) / 100)^(1/12) - 1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>
        <f>(1 + ([eq_growth_f1] + [eq_income_f1]) / 100)^(1/12) - 1</f>
        <v/>
      </c>
      <c r="J248" s="19">
        <f>(1 + ([eq_growth_f2] + [eq_income_f2]) / 100)^(1/12) - 1</f>
        <v/>
      </c>
      <c r="K248" s="19">
        <f>(1 + ([eq_growth_f3] + [eq_income_f3]) / 100)^(1/12) - 1</f>
        <v/>
      </c>
      <c r="L248" s="19">
        <f>(1 + ([eq_growth_f4] + [eq_income_f4]) / 100)^(1/12) - 1</f>
        <v/>
      </c>
      <c r="M248" s="19">
        <f>(1 + ([eq_growth_f5] + [eq_income_f5]) / 100)^(1/12) - 1</f>
        <v/>
      </c>
      <c r="N248" s="19">
        <f>(1 + ([eq_growth_f6] + [eq_income_f6]) / 100)^(1/12) - 1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>
        <f>(1 + ([eq_growth_f1] + [eq_income_f1]) / 100)^(1/12) - 1</f>
        <v/>
      </c>
      <c r="J249" s="21">
        <f>(1 + ([eq_growth_f2] + [eq_income_f2]) / 100)^(1/12) - 1</f>
        <v/>
      </c>
      <c r="K249" s="21">
        <f>(1 + ([eq_growth_f3] + [eq_income_f3]) / 100)^(1/12) - 1</f>
        <v/>
      </c>
      <c r="L249" s="21">
        <f>(1 + ([eq_growth_f4] + [eq_income_f4]) / 100)^(1/12) - 1</f>
        <v/>
      </c>
      <c r="M249" s="21">
        <f>(1 + ([eq_growth_f5] + [eq_income_f5]) / 100)^(1/12) - 1</f>
        <v/>
      </c>
      <c r="N249" s="21">
        <f>(1 + ([eq_growth_f6] + [eq_income_f6]) / 100)^(1/12) - 1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>
        <f>(1 + ([eq_growth_f1] + [eq_income_f1]) / 100)^(1/12) - 1</f>
        <v/>
      </c>
      <c r="J250" s="19">
        <f>(1 + ([eq_growth_f2] + [eq_income_f2]) / 100)^(1/12) - 1</f>
        <v/>
      </c>
      <c r="K250" s="19">
        <f>(1 + ([eq_growth_f3] + [eq_income_f3]) / 100)^(1/12) - 1</f>
        <v/>
      </c>
      <c r="L250" s="19">
        <f>(1 + ([eq_growth_f4] + [eq_income_f4]) / 100)^(1/12) - 1</f>
        <v/>
      </c>
      <c r="M250" s="19">
        <f>(1 + ([eq_growth_f5] + [eq_income_f5]) / 100)^(1/12) - 1</f>
        <v/>
      </c>
      <c r="N250" s="19">
        <f>(1 + ([eq_growth_f6] + [eq_income_f6]) / 100)^(1/12) - 1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>
        <f>(1 + ([eq_growth_f1] + [eq_income_f1]) / 100)^(1/12) - 1</f>
        <v/>
      </c>
      <c r="J251" s="21">
        <f>(1 + ([eq_growth_f2] + [eq_income_f2]) / 100)^(1/12) - 1</f>
        <v/>
      </c>
      <c r="K251" s="21">
        <f>(1 + ([eq_growth_f3] + [eq_income_f3]) / 100)^(1/12) - 1</f>
        <v/>
      </c>
      <c r="L251" s="21">
        <f>(1 + ([eq_growth_f4] + [eq_income_f4]) / 100)^(1/12) - 1</f>
        <v/>
      </c>
      <c r="M251" s="21">
        <f>(1 + ([eq_growth_f5] + [eq_income_f5]) / 100)^(1/12) - 1</f>
        <v/>
      </c>
      <c r="N251" s="21">
        <f>(1 + ([eq_growth_f6] + [eq_income_f6]) / 100)^(1/12) - 1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>
        <f>(1 + ([eq_growth_f1] + [eq_income_f1]) / 100)^(1/12) - 1</f>
        <v/>
      </c>
      <c r="J252" s="19">
        <f>(1 + ([eq_growth_f2] + [eq_income_f2]) / 100)^(1/12) - 1</f>
        <v/>
      </c>
      <c r="K252" s="19">
        <f>(1 + ([eq_growth_f3] + [eq_income_f3]) / 100)^(1/12) - 1</f>
        <v/>
      </c>
      <c r="L252" s="19">
        <f>(1 + ([eq_growth_f4] + [eq_income_f4]) / 100)^(1/12) - 1</f>
        <v/>
      </c>
      <c r="M252" s="19">
        <f>(1 + ([eq_growth_f5] + [eq_income_f5]) / 100)^(1/12) - 1</f>
        <v/>
      </c>
      <c r="N252" s="19">
        <f>(1 + ([eq_growth_f6] + [eq_income_f6]) / 100)^(1/12) - 1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>
        <f>(1 + ([eq_growth_f1] + [eq_income_f1]) / 100)^(1/12) - 1</f>
        <v/>
      </c>
      <c r="J253" s="21">
        <f>(1 + ([eq_growth_f2] + [eq_income_f2]) / 100)^(1/12) - 1</f>
        <v/>
      </c>
      <c r="K253" s="21">
        <f>(1 + ([eq_growth_f3] + [eq_income_f3]) / 100)^(1/12) - 1</f>
        <v/>
      </c>
      <c r="L253" s="21">
        <f>(1 + ([eq_growth_f4] + [eq_income_f4]) / 100)^(1/12) - 1</f>
        <v/>
      </c>
      <c r="M253" s="21">
        <f>(1 + ([eq_growth_f5] + [eq_income_f5]) / 100)^(1/12) - 1</f>
        <v/>
      </c>
      <c r="N253" s="21">
        <f>(1 + ([eq_growth_f6] + [eq_income_f6]) / 100)^(1/12) - 1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>
        <f>(1 + ([eq_growth_f1] + [eq_income_f1]) / 100)^(1/12) - 1</f>
        <v/>
      </c>
      <c r="J254" s="19">
        <f>(1 + ([eq_growth_f2] + [eq_income_f2]) / 100)^(1/12) - 1</f>
        <v/>
      </c>
      <c r="K254" s="19">
        <f>(1 + ([eq_growth_f3] + [eq_income_f3]) / 100)^(1/12) - 1</f>
        <v/>
      </c>
      <c r="L254" s="19">
        <f>(1 + ([eq_growth_f4] + [eq_income_f4]) / 100)^(1/12) - 1</f>
        <v/>
      </c>
      <c r="M254" s="19">
        <f>(1 + ([eq_growth_f5] + [eq_income_f5]) / 100)^(1/12) - 1</f>
        <v/>
      </c>
      <c r="N254" s="19">
        <f>(1 + ([eq_growth_f6] + [eq_income_f6]) / 100)^(1/12) - 1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>
        <f>(1 + ([eq_growth_f1] + [eq_income_f1]) / 100)^(1/12) - 1</f>
        <v/>
      </c>
      <c r="J255" s="21">
        <f>(1 + ([eq_growth_f2] + [eq_income_f2]) / 100)^(1/12) - 1</f>
        <v/>
      </c>
      <c r="K255" s="21">
        <f>(1 + ([eq_growth_f3] + [eq_income_f3]) / 100)^(1/12) - 1</f>
        <v/>
      </c>
      <c r="L255" s="21">
        <f>(1 + ([eq_growth_f4] + [eq_income_f4]) / 100)^(1/12) - 1</f>
        <v/>
      </c>
      <c r="M255" s="21">
        <f>(1 + ([eq_growth_f5] + [eq_income_f5]) / 100)^(1/12) - 1</f>
        <v/>
      </c>
      <c r="N255" s="21">
        <f>(1 + ([eq_growth_f6] + [eq_income_f6]) / 100)^(1/12) - 1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>
        <f>(1 + ([eq_growth_f1] + [eq_income_f1]) / 100)^(1/12) - 1</f>
        <v/>
      </c>
      <c r="J256" s="19">
        <f>(1 + ([eq_growth_f2] + [eq_income_f2]) / 100)^(1/12) - 1</f>
        <v/>
      </c>
      <c r="K256" s="19">
        <f>(1 + ([eq_growth_f3] + [eq_income_f3]) / 100)^(1/12) - 1</f>
        <v/>
      </c>
      <c r="L256" s="19">
        <f>(1 + ([eq_growth_f4] + [eq_income_f4]) / 100)^(1/12) - 1</f>
        <v/>
      </c>
      <c r="M256" s="19">
        <f>(1 + ([eq_growth_f5] + [eq_income_f5]) / 100)^(1/12) - 1</f>
        <v/>
      </c>
      <c r="N256" s="19">
        <f>(1 + ([eq_growth_f6] + [eq_income_f6]) / 100)^(1/12) - 1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>
        <f>(1 + ([eq_growth_f1] + [eq_income_f1]) / 100)^(1/12) - 1</f>
        <v/>
      </c>
      <c r="J257" s="21">
        <f>(1 + ([eq_growth_f2] + [eq_income_f2]) / 100)^(1/12) - 1</f>
        <v/>
      </c>
      <c r="K257" s="21">
        <f>(1 + ([eq_growth_f3] + [eq_income_f3]) / 100)^(1/12) - 1</f>
        <v/>
      </c>
      <c r="L257" s="21">
        <f>(1 + ([eq_growth_f4] + [eq_income_f4]) / 100)^(1/12) - 1</f>
        <v/>
      </c>
      <c r="M257" s="21">
        <f>(1 + ([eq_growth_f5] + [eq_income_f5]) / 100)^(1/12) - 1</f>
        <v/>
      </c>
      <c r="N257" s="21">
        <f>(1 + ([eq_growth_f6] + [eq_income_f6]) / 100)^(1/12) - 1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>
        <f>(1 + ([eq_growth_f1] + [eq_income_f1]) / 100)^(1/12) - 1</f>
        <v/>
      </c>
      <c r="J258" s="19">
        <f>(1 + ([eq_growth_f2] + [eq_income_f2]) / 100)^(1/12) - 1</f>
        <v/>
      </c>
      <c r="K258" s="19">
        <f>(1 + ([eq_growth_f3] + [eq_income_f3]) / 100)^(1/12) - 1</f>
        <v/>
      </c>
      <c r="L258" s="19">
        <f>(1 + ([eq_growth_f4] + [eq_income_f4]) / 100)^(1/12) - 1</f>
        <v/>
      </c>
      <c r="M258" s="19">
        <f>(1 + ([eq_growth_f5] + [eq_income_f5]) / 100)^(1/12) - 1</f>
        <v/>
      </c>
      <c r="N258" s="19">
        <f>(1 + ([eq_growth_f6] + [eq_income_f6]) / 100)^(1/12) - 1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>
        <f>(1 + ([eq_growth_f1] + [eq_income_f1]) / 100)^(1/12) - 1</f>
        <v/>
      </c>
      <c r="J259" s="21">
        <f>(1 + ([eq_growth_f2] + [eq_income_f2]) / 100)^(1/12) - 1</f>
        <v/>
      </c>
      <c r="K259" s="21">
        <f>(1 + ([eq_growth_f3] + [eq_income_f3]) / 100)^(1/12) - 1</f>
        <v/>
      </c>
      <c r="L259" s="21">
        <f>(1 + ([eq_growth_f4] + [eq_income_f4]) / 100)^(1/12) - 1</f>
        <v/>
      </c>
      <c r="M259" s="21">
        <f>(1 + ([eq_growth_f5] + [eq_income_f5]) / 100)^(1/12) - 1</f>
        <v/>
      </c>
      <c r="N259" s="21">
        <f>(1 + ([eq_growth_f6] + [eq_income_f6]) / 100)^(1/12) - 1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>
        <f>(1 + ([eq_growth_f1] + [eq_income_f1]) / 100)^(1/12) - 1</f>
        <v/>
      </c>
      <c r="J260" s="19">
        <f>(1 + ([eq_growth_f2] + [eq_income_f2]) / 100)^(1/12) - 1</f>
        <v/>
      </c>
      <c r="K260" s="19">
        <f>(1 + ([eq_growth_f3] + [eq_income_f3]) / 100)^(1/12) - 1</f>
        <v/>
      </c>
      <c r="L260" s="19">
        <f>(1 + ([eq_growth_f4] + [eq_income_f4]) / 100)^(1/12) - 1</f>
        <v/>
      </c>
      <c r="M260" s="19">
        <f>(1 + ([eq_growth_f5] + [eq_income_f5]) / 100)^(1/12) - 1</f>
        <v/>
      </c>
      <c r="N260" s="19">
        <f>(1 + ([eq_growth_f6] + [eq_income_f6]) / 100)^(1/12) - 1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>
        <f>(1 + ([eq_growth_f1] + [eq_income_f1]) / 100)^(1/12) - 1</f>
        <v/>
      </c>
      <c r="J261" s="21">
        <f>(1 + ([eq_growth_f2] + [eq_income_f2]) / 100)^(1/12) - 1</f>
        <v/>
      </c>
      <c r="K261" s="21">
        <f>(1 + ([eq_growth_f3] + [eq_income_f3]) / 100)^(1/12) - 1</f>
        <v/>
      </c>
      <c r="L261" s="21">
        <f>(1 + ([eq_growth_f4] + [eq_income_f4]) / 100)^(1/12) - 1</f>
        <v/>
      </c>
      <c r="M261" s="21">
        <f>(1 + ([eq_growth_f5] + [eq_income_f5]) / 100)^(1/12) - 1</f>
        <v/>
      </c>
      <c r="N261" s="21">
        <f>(1 + ([eq_growth_f6] + [eq_income_f6]) / 100)^(1/12) - 1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>
        <f>(1 + ([eq_growth_f1] + [eq_income_f1]) / 100)^(1/12) - 1</f>
        <v/>
      </c>
      <c r="J262" s="19">
        <f>(1 + ([eq_growth_f2] + [eq_income_f2]) / 100)^(1/12) - 1</f>
        <v/>
      </c>
      <c r="K262" s="19">
        <f>(1 + ([eq_growth_f3] + [eq_income_f3]) / 100)^(1/12) - 1</f>
        <v/>
      </c>
      <c r="L262" s="19">
        <f>(1 + ([eq_growth_f4] + [eq_income_f4]) / 100)^(1/12) - 1</f>
        <v/>
      </c>
      <c r="M262" s="19">
        <f>(1 + ([eq_growth_f5] + [eq_income_f5]) / 100)^(1/12) - 1</f>
        <v/>
      </c>
      <c r="N262" s="19">
        <f>(1 + ([eq_growth_f6] + [eq_income_f6]) / 100)^(1/12) - 1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>
        <f>(1 + ([eq_growth_f1] + [eq_income_f1]) / 100)^(1/12) - 1</f>
        <v/>
      </c>
      <c r="J263" s="21">
        <f>(1 + ([eq_growth_f2] + [eq_income_f2]) / 100)^(1/12) - 1</f>
        <v/>
      </c>
      <c r="K263" s="21">
        <f>(1 + ([eq_growth_f3] + [eq_income_f3]) / 100)^(1/12) - 1</f>
        <v/>
      </c>
      <c r="L263" s="21">
        <f>(1 + ([eq_growth_f4] + [eq_income_f4]) / 100)^(1/12) - 1</f>
        <v/>
      </c>
      <c r="M263" s="21">
        <f>(1 + ([eq_growth_f5] + [eq_income_f5]) / 100)^(1/12) - 1</f>
        <v/>
      </c>
      <c r="N263" s="21">
        <f>(1 + ([eq_growth_f6] + [eq_income_f6]) / 100)^(1/12) - 1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>
        <f>(1 + ([eq_growth_f1] + [eq_income_f1]) / 100)^(1/12) - 1</f>
        <v/>
      </c>
      <c r="J264" s="19">
        <f>(1 + ([eq_growth_f2] + [eq_income_f2]) / 100)^(1/12) - 1</f>
        <v/>
      </c>
      <c r="K264" s="19">
        <f>(1 + ([eq_growth_f3] + [eq_income_f3]) / 100)^(1/12) - 1</f>
        <v/>
      </c>
      <c r="L264" s="19">
        <f>(1 + ([eq_growth_f4] + [eq_income_f4]) / 100)^(1/12) - 1</f>
        <v/>
      </c>
      <c r="M264" s="19">
        <f>(1 + ([eq_growth_f5] + [eq_income_f5]) / 100)^(1/12) - 1</f>
        <v/>
      </c>
      <c r="N264" s="19">
        <f>(1 + ([eq_growth_f6] + [eq_income_f6]) / 100)^(1/12) - 1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>
        <f>(1 + ([eq_growth_f1] + [eq_income_f1]) / 100)^(1/12) - 1</f>
        <v/>
      </c>
      <c r="J265" s="21">
        <f>(1 + ([eq_growth_f2] + [eq_income_f2]) / 100)^(1/12) - 1</f>
        <v/>
      </c>
      <c r="K265" s="21">
        <f>(1 + ([eq_growth_f3] + [eq_income_f3]) / 100)^(1/12) - 1</f>
        <v/>
      </c>
      <c r="L265" s="21">
        <f>(1 + ([eq_growth_f4] + [eq_income_f4]) / 100)^(1/12) - 1</f>
        <v/>
      </c>
      <c r="M265" s="21">
        <f>(1 + ([eq_growth_f5] + [eq_income_f5]) / 100)^(1/12) - 1</f>
        <v/>
      </c>
      <c r="N265" s="21">
        <f>(1 + ([eq_growth_f6] + [eq_income_f6]) / 100)^(1/12) - 1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>
        <f>(1 + ([eq_growth_f1] + [eq_income_f1]) / 100)^(1/12) - 1</f>
        <v/>
      </c>
      <c r="J266" s="19">
        <f>(1 + ([eq_growth_f2] + [eq_income_f2]) / 100)^(1/12) - 1</f>
        <v/>
      </c>
      <c r="K266" s="19">
        <f>(1 + ([eq_growth_f3] + [eq_income_f3]) / 100)^(1/12) - 1</f>
        <v/>
      </c>
      <c r="L266" s="19">
        <f>(1 + ([eq_growth_f4] + [eq_income_f4]) / 100)^(1/12) - 1</f>
        <v/>
      </c>
      <c r="M266" s="19">
        <f>(1 + ([eq_growth_f5] + [eq_income_f5]) / 100)^(1/12) - 1</f>
        <v/>
      </c>
      <c r="N266" s="19">
        <f>(1 + ([eq_growth_f6] + [eq_income_f6]) / 100)^(1/12) - 1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>
        <f>(1 + ([eq_growth_f1] + [eq_income_f1]) / 100)^(1/12) - 1</f>
        <v/>
      </c>
      <c r="J267" s="21">
        <f>(1 + ([eq_growth_f2] + [eq_income_f2]) / 100)^(1/12) - 1</f>
        <v/>
      </c>
      <c r="K267" s="21">
        <f>(1 + ([eq_growth_f3] + [eq_income_f3]) / 100)^(1/12) - 1</f>
        <v/>
      </c>
      <c r="L267" s="21">
        <f>(1 + ([eq_growth_f4] + [eq_income_f4]) / 100)^(1/12) - 1</f>
        <v/>
      </c>
      <c r="M267" s="21">
        <f>(1 + ([eq_growth_f5] + [eq_income_f5]) / 100)^(1/12) - 1</f>
        <v/>
      </c>
      <c r="N267" s="21">
        <f>(1 + ([eq_growth_f6] + [eq_income_f6]) / 100)^(1/12) - 1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>
        <f>(1 + ([eq_growth_f1] + [eq_income_f1]) / 100)^(1/12) - 1</f>
        <v/>
      </c>
      <c r="J268" s="19">
        <f>(1 + ([eq_growth_f2] + [eq_income_f2]) / 100)^(1/12) - 1</f>
        <v/>
      </c>
      <c r="K268" s="19">
        <f>(1 + ([eq_growth_f3] + [eq_income_f3]) / 100)^(1/12) - 1</f>
        <v/>
      </c>
      <c r="L268" s="19">
        <f>(1 + ([eq_growth_f4] + [eq_income_f4]) / 100)^(1/12) - 1</f>
        <v/>
      </c>
      <c r="M268" s="19">
        <f>(1 + ([eq_growth_f5] + [eq_income_f5]) / 100)^(1/12) - 1</f>
        <v/>
      </c>
      <c r="N268" s="19">
        <f>(1 + ([eq_growth_f6] + [eq_income_f6]) / 100)^(1/12) - 1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>
        <f>(1 + ([eq_growth_f1] + [eq_income_f1]) / 100)^(1/12) - 1</f>
        <v/>
      </c>
      <c r="J269" s="21">
        <f>(1 + ([eq_growth_f2] + [eq_income_f2]) / 100)^(1/12) - 1</f>
        <v/>
      </c>
      <c r="K269" s="21">
        <f>(1 + ([eq_growth_f3] + [eq_income_f3]) / 100)^(1/12) - 1</f>
        <v/>
      </c>
      <c r="L269" s="21">
        <f>(1 + ([eq_growth_f4] + [eq_income_f4]) / 100)^(1/12) - 1</f>
        <v/>
      </c>
      <c r="M269" s="21">
        <f>(1 + ([eq_growth_f5] + [eq_income_f5]) / 100)^(1/12) - 1</f>
        <v/>
      </c>
      <c r="N269" s="21">
        <f>(1 + ([eq_growth_f6] + [eq_income_f6]) / 100)^(1/12) - 1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>
        <f>(1 + ([eq_growth_f1] + [eq_income_f1]) / 100)^(1/12) - 1</f>
        <v/>
      </c>
      <c r="J270" s="19">
        <f>(1 + ([eq_growth_f2] + [eq_income_f2]) / 100)^(1/12) - 1</f>
        <v/>
      </c>
      <c r="K270" s="19">
        <f>(1 + ([eq_growth_f3] + [eq_income_f3]) / 100)^(1/12) - 1</f>
        <v/>
      </c>
      <c r="L270" s="19">
        <f>(1 + ([eq_growth_f4] + [eq_income_f4]) / 100)^(1/12) - 1</f>
        <v/>
      </c>
      <c r="M270" s="19">
        <f>(1 + ([eq_growth_f5] + [eq_income_f5]) / 100)^(1/12) - 1</f>
        <v/>
      </c>
      <c r="N270" s="19">
        <f>(1 + ([eq_growth_f6] + [eq_income_f6]) / 100)^(1/12) - 1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>
        <f>(1 + ([eq_growth_f1] + [eq_income_f1]) / 100)^(1/12) - 1</f>
        <v/>
      </c>
      <c r="J271" s="21">
        <f>(1 + ([eq_growth_f2] + [eq_income_f2]) / 100)^(1/12) - 1</f>
        <v/>
      </c>
      <c r="K271" s="21">
        <f>(1 + ([eq_growth_f3] + [eq_income_f3]) / 100)^(1/12) - 1</f>
        <v/>
      </c>
      <c r="L271" s="21">
        <f>(1 + ([eq_growth_f4] + [eq_income_f4]) / 100)^(1/12) - 1</f>
        <v/>
      </c>
      <c r="M271" s="21">
        <f>(1 + ([eq_growth_f5] + [eq_income_f5]) / 100)^(1/12) - 1</f>
        <v/>
      </c>
      <c r="N271" s="21">
        <f>(1 + ([eq_growth_f6] + [eq_income_f6]) / 100)^(1/12) - 1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>
        <f>(1 + ([eq_growth_f1] + [eq_income_f1]) / 100)^(1/12) - 1</f>
        <v/>
      </c>
      <c r="J272" s="19">
        <f>(1 + ([eq_growth_f2] + [eq_income_f2]) / 100)^(1/12) - 1</f>
        <v/>
      </c>
      <c r="K272" s="19">
        <f>(1 + ([eq_growth_f3] + [eq_income_f3]) / 100)^(1/12) - 1</f>
        <v/>
      </c>
      <c r="L272" s="19">
        <f>(1 + ([eq_growth_f4] + [eq_income_f4]) / 100)^(1/12) - 1</f>
        <v/>
      </c>
      <c r="M272" s="19">
        <f>(1 + ([eq_growth_f5] + [eq_income_f5]) / 100)^(1/12) - 1</f>
        <v/>
      </c>
      <c r="N272" s="19">
        <f>(1 + ([eq_growth_f6] + [eq_income_f6]) / 100)^(1/12) - 1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>
        <f>(1 + ([eq_growth_f1] + [eq_income_f1]) / 100)^(1/12) - 1</f>
        <v/>
      </c>
      <c r="J273" s="21">
        <f>(1 + ([eq_growth_f2] + [eq_income_f2]) / 100)^(1/12) - 1</f>
        <v/>
      </c>
      <c r="K273" s="21">
        <f>(1 + ([eq_growth_f3] + [eq_income_f3]) / 100)^(1/12) - 1</f>
        <v/>
      </c>
      <c r="L273" s="21">
        <f>(1 + ([eq_growth_f4] + [eq_income_f4]) / 100)^(1/12) - 1</f>
        <v/>
      </c>
      <c r="M273" s="21">
        <f>(1 + ([eq_growth_f5] + [eq_income_f5]) / 100)^(1/12) - 1</f>
        <v/>
      </c>
      <c r="N273" s="21">
        <f>(1 + ([eq_growth_f6] + [eq_income_f6]) / 100)^(1/12) - 1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>
        <f>(1 + ([eq_growth_f1] + [eq_income_f1]) / 100)^(1/12) - 1</f>
        <v/>
      </c>
      <c r="J274" s="19">
        <f>(1 + ([eq_growth_f2] + [eq_income_f2]) / 100)^(1/12) - 1</f>
        <v/>
      </c>
      <c r="K274" s="19">
        <f>(1 + ([eq_growth_f3] + [eq_income_f3]) / 100)^(1/12) - 1</f>
        <v/>
      </c>
      <c r="L274" s="19">
        <f>(1 + ([eq_growth_f4] + [eq_income_f4]) / 100)^(1/12) - 1</f>
        <v/>
      </c>
      <c r="M274" s="19">
        <f>(1 + ([eq_growth_f5] + [eq_income_f5]) / 100)^(1/12) - 1</f>
        <v/>
      </c>
      <c r="N274" s="19">
        <f>(1 + ([eq_growth_f6] + [eq_income_f6]) / 100)^(1/12) - 1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>
        <f>(1 + ([eq_growth_f1] + [eq_income_f1]) / 100)^(1/12) - 1</f>
        <v/>
      </c>
      <c r="J275" s="21">
        <f>(1 + ([eq_growth_f2] + [eq_income_f2]) / 100)^(1/12) - 1</f>
        <v/>
      </c>
      <c r="K275" s="21">
        <f>(1 + ([eq_growth_f3] + [eq_income_f3]) / 100)^(1/12) - 1</f>
        <v/>
      </c>
      <c r="L275" s="21">
        <f>(1 + ([eq_growth_f4] + [eq_income_f4]) / 100)^(1/12) - 1</f>
        <v/>
      </c>
      <c r="M275" s="21">
        <f>(1 + ([eq_growth_f5] + [eq_income_f5]) / 100)^(1/12) - 1</f>
        <v/>
      </c>
      <c r="N275" s="21">
        <f>(1 + ([eq_growth_f6] + [eq_income_f6]) / 100)^(1/12) - 1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>
        <f>(1 + ([eq_growth_f1] + [eq_income_f1]) / 100)^(1/12) - 1</f>
        <v/>
      </c>
      <c r="J276" s="19">
        <f>(1 + ([eq_growth_f2] + [eq_income_f2]) / 100)^(1/12) - 1</f>
        <v/>
      </c>
      <c r="K276" s="19">
        <f>(1 + ([eq_growth_f3] + [eq_income_f3]) / 100)^(1/12) - 1</f>
        <v/>
      </c>
      <c r="L276" s="19">
        <f>(1 + ([eq_growth_f4] + [eq_income_f4]) / 100)^(1/12) - 1</f>
        <v/>
      </c>
      <c r="M276" s="19">
        <f>(1 + ([eq_growth_f5] + [eq_income_f5]) / 100)^(1/12) - 1</f>
        <v/>
      </c>
      <c r="N276" s="19">
        <f>(1 + ([eq_growth_f6] + [eq_income_f6]) / 100)^(1/12) - 1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>
        <f>(1 + ([eq_growth_f1] + [eq_income_f1]) / 100)^(1/12) - 1</f>
        <v/>
      </c>
      <c r="J277" s="21">
        <f>(1 + ([eq_growth_f2] + [eq_income_f2]) / 100)^(1/12) - 1</f>
        <v/>
      </c>
      <c r="K277" s="21">
        <f>(1 + ([eq_growth_f3] + [eq_income_f3]) / 100)^(1/12) - 1</f>
        <v/>
      </c>
      <c r="L277" s="21">
        <f>(1 + ([eq_growth_f4] + [eq_income_f4]) / 100)^(1/12) - 1</f>
        <v/>
      </c>
      <c r="M277" s="21">
        <f>(1 + ([eq_growth_f5] + [eq_income_f5]) / 100)^(1/12) - 1</f>
        <v/>
      </c>
      <c r="N277" s="21">
        <f>(1 + ([eq_growth_f6] + [eq_income_f6]) / 100)^(1/12) - 1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>
        <f>(1 + ([eq_growth_f1] + [eq_income_f1]) / 100)^(1/12) - 1</f>
        <v/>
      </c>
      <c r="J278" s="19">
        <f>(1 + ([eq_growth_f2] + [eq_income_f2]) / 100)^(1/12) - 1</f>
        <v/>
      </c>
      <c r="K278" s="19">
        <f>(1 + ([eq_growth_f3] + [eq_income_f3]) / 100)^(1/12) - 1</f>
        <v/>
      </c>
      <c r="L278" s="19">
        <f>(1 + ([eq_growth_f4] + [eq_income_f4]) / 100)^(1/12) - 1</f>
        <v/>
      </c>
      <c r="M278" s="19">
        <f>(1 + ([eq_growth_f5] + [eq_income_f5]) / 100)^(1/12) - 1</f>
        <v/>
      </c>
      <c r="N278" s="19">
        <f>(1 + ([eq_growth_f6] + [eq_income_f6]) / 100)^(1/12) - 1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>
        <f>(1 + ([eq_growth_f1] + [eq_income_f1]) / 100)^(1/12) - 1</f>
        <v/>
      </c>
      <c r="J279" s="21">
        <f>(1 + ([eq_growth_f2] + [eq_income_f2]) / 100)^(1/12) - 1</f>
        <v/>
      </c>
      <c r="K279" s="21">
        <f>(1 + ([eq_growth_f3] + [eq_income_f3]) / 100)^(1/12) - 1</f>
        <v/>
      </c>
      <c r="L279" s="21">
        <f>(1 + ([eq_growth_f4] + [eq_income_f4]) / 100)^(1/12) - 1</f>
        <v/>
      </c>
      <c r="M279" s="21">
        <f>(1 + ([eq_growth_f5] + [eq_income_f5]) / 100)^(1/12) - 1</f>
        <v/>
      </c>
      <c r="N279" s="21">
        <f>(1 + ([eq_growth_f6] + [eq_income_f6]) / 100)^(1/12) - 1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>
        <f>(1 + ([eq_growth_f1] + [eq_income_f1]) / 100)^(1/12) - 1</f>
        <v/>
      </c>
      <c r="J280" s="19">
        <f>(1 + ([eq_growth_f2] + [eq_income_f2]) / 100)^(1/12) - 1</f>
        <v/>
      </c>
      <c r="K280" s="19">
        <f>(1 + ([eq_growth_f3] + [eq_income_f3]) / 100)^(1/12) - 1</f>
        <v/>
      </c>
      <c r="L280" s="19">
        <f>(1 + ([eq_growth_f4] + [eq_income_f4]) / 100)^(1/12) - 1</f>
        <v/>
      </c>
      <c r="M280" s="19">
        <f>(1 + ([eq_growth_f5] + [eq_income_f5]) / 100)^(1/12) - 1</f>
        <v/>
      </c>
      <c r="N280" s="19">
        <f>(1 + ([eq_growth_f6] + [eq_income_f6]) / 100)^(1/12) - 1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>
        <f>(1 + ([eq_growth_f1] + [eq_income_f1]) / 100)^(1/12) - 1</f>
        <v/>
      </c>
      <c r="J281" s="21">
        <f>(1 + ([eq_growth_f2] + [eq_income_f2]) / 100)^(1/12) - 1</f>
        <v/>
      </c>
      <c r="K281" s="21">
        <f>(1 + ([eq_growth_f3] + [eq_income_f3]) / 100)^(1/12) - 1</f>
        <v/>
      </c>
      <c r="L281" s="21">
        <f>(1 + ([eq_growth_f4] + [eq_income_f4]) / 100)^(1/12) - 1</f>
        <v/>
      </c>
      <c r="M281" s="21">
        <f>(1 + ([eq_growth_f5] + [eq_income_f5]) / 100)^(1/12) - 1</f>
        <v/>
      </c>
      <c r="N281" s="21">
        <f>(1 + ([eq_growth_f6] + [eq_income_f6]) / 100)^(1/12) - 1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>
        <f>(1 + ([eq_growth_f1] + [eq_income_f1]) / 100)^(1/12) - 1</f>
        <v/>
      </c>
      <c r="J282" s="19">
        <f>(1 + ([eq_growth_f2] + [eq_income_f2]) / 100)^(1/12) - 1</f>
        <v/>
      </c>
      <c r="K282" s="19">
        <f>(1 + ([eq_growth_f3] + [eq_income_f3]) / 100)^(1/12) - 1</f>
        <v/>
      </c>
      <c r="L282" s="19">
        <f>(1 + ([eq_growth_f4] + [eq_income_f4]) / 100)^(1/12) - 1</f>
        <v/>
      </c>
      <c r="M282" s="19">
        <f>(1 + ([eq_growth_f5] + [eq_income_f5]) / 100)^(1/12) - 1</f>
        <v/>
      </c>
      <c r="N282" s="19">
        <f>(1 + ([eq_growth_f6] + [eq_income_f6]) / 100)^(1/12) - 1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>
        <f>(1 + ([eq_growth_f1] + [eq_income_f1]) / 100)^(1/12) - 1</f>
        <v/>
      </c>
      <c r="J283" s="21">
        <f>(1 + ([eq_growth_f2] + [eq_income_f2]) / 100)^(1/12) - 1</f>
        <v/>
      </c>
      <c r="K283" s="21">
        <f>(1 + ([eq_growth_f3] + [eq_income_f3]) / 100)^(1/12) - 1</f>
        <v/>
      </c>
      <c r="L283" s="21">
        <f>(1 + ([eq_growth_f4] + [eq_income_f4]) / 100)^(1/12) - 1</f>
        <v/>
      </c>
      <c r="M283" s="21">
        <f>(1 + ([eq_growth_f5] + [eq_income_f5]) / 100)^(1/12) - 1</f>
        <v/>
      </c>
      <c r="N283" s="21">
        <f>(1 + ([eq_growth_f6] + [eq_income_f6]) / 100)^(1/12) - 1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>
        <f>(1 + ([eq_growth_f1] + [eq_income_f1]) / 100)^(1/12) - 1</f>
        <v/>
      </c>
      <c r="J284" s="19">
        <f>(1 + ([eq_growth_f2] + [eq_income_f2]) / 100)^(1/12) - 1</f>
        <v/>
      </c>
      <c r="K284" s="19">
        <f>(1 + ([eq_growth_f3] + [eq_income_f3]) / 100)^(1/12) - 1</f>
        <v/>
      </c>
      <c r="L284" s="19">
        <f>(1 + ([eq_growth_f4] + [eq_income_f4]) / 100)^(1/12) - 1</f>
        <v/>
      </c>
      <c r="M284" s="19">
        <f>(1 + ([eq_growth_f5] + [eq_income_f5]) / 100)^(1/12) - 1</f>
        <v/>
      </c>
      <c r="N284" s="19">
        <f>(1 + ([eq_growth_f6] + [eq_income_f6]) / 100)^(1/12) - 1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>
        <f>(1 + ([eq_growth_f1] + [eq_income_f1]) / 100)^(1/12) - 1</f>
        <v/>
      </c>
      <c r="J285" s="21">
        <f>(1 + ([eq_growth_f2] + [eq_income_f2]) / 100)^(1/12) - 1</f>
        <v/>
      </c>
      <c r="K285" s="21">
        <f>(1 + ([eq_growth_f3] + [eq_income_f3]) / 100)^(1/12) - 1</f>
        <v/>
      </c>
      <c r="L285" s="21">
        <f>(1 + ([eq_growth_f4] + [eq_income_f4]) / 100)^(1/12) - 1</f>
        <v/>
      </c>
      <c r="M285" s="21">
        <f>(1 + ([eq_growth_f5] + [eq_income_f5]) / 100)^(1/12) - 1</f>
        <v/>
      </c>
      <c r="N285" s="21">
        <f>(1 + ([eq_growth_f6] + [eq_income_f6]) / 100)^(1/12) - 1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>
        <f>(1 + ([eq_growth_f1] + [eq_income_f1]) / 100)^(1/12) - 1</f>
        <v/>
      </c>
      <c r="J286" s="19">
        <f>(1 + ([eq_growth_f2] + [eq_income_f2]) / 100)^(1/12) - 1</f>
        <v/>
      </c>
      <c r="K286" s="19">
        <f>(1 + ([eq_growth_f3] + [eq_income_f3]) / 100)^(1/12) - 1</f>
        <v/>
      </c>
      <c r="L286" s="19">
        <f>(1 + ([eq_growth_f4] + [eq_income_f4]) / 100)^(1/12) - 1</f>
        <v/>
      </c>
      <c r="M286" s="19">
        <f>(1 + ([eq_growth_f5] + [eq_income_f5]) / 100)^(1/12) - 1</f>
        <v/>
      </c>
      <c r="N286" s="19">
        <f>(1 + ([eq_growth_f6] + [eq_income_f6]) / 100)^(1/12) - 1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>
        <f>(1 + ([eq_growth_f1] + [eq_income_f1]) / 100)^(1/12) - 1</f>
        <v/>
      </c>
      <c r="J287" s="21">
        <f>(1 + ([eq_growth_f2] + [eq_income_f2]) / 100)^(1/12) - 1</f>
        <v/>
      </c>
      <c r="K287" s="21">
        <f>(1 + ([eq_growth_f3] + [eq_income_f3]) / 100)^(1/12) - 1</f>
        <v/>
      </c>
      <c r="L287" s="21">
        <f>(1 + ([eq_growth_f4] + [eq_income_f4]) / 100)^(1/12) - 1</f>
        <v/>
      </c>
      <c r="M287" s="21">
        <f>(1 + ([eq_growth_f5] + [eq_income_f5]) / 100)^(1/12) - 1</f>
        <v/>
      </c>
      <c r="N287" s="21">
        <f>(1 + ([eq_growth_f6] + [eq_income_f6]) / 100)^(1/12) - 1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>
        <f>(1 + ([eq_growth_f1] + [eq_income_f1]) / 100)^(1/12) - 1</f>
        <v/>
      </c>
      <c r="J288" s="19">
        <f>(1 + ([eq_growth_f2] + [eq_income_f2]) / 100)^(1/12) - 1</f>
        <v/>
      </c>
      <c r="K288" s="19">
        <f>(1 + ([eq_growth_f3] + [eq_income_f3]) / 100)^(1/12) - 1</f>
        <v/>
      </c>
      <c r="L288" s="19">
        <f>(1 + ([eq_growth_f4] + [eq_income_f4]) / 100)^(1/12) - 1</f>
        <v/>
      </c>
      <c r="M288" s="19">
        <f>(1 + ([eq_growth_f5] + [eq_income_f5]) / 100)^(1/12) - 1</f>
        <v/>
      </c>
      <c r="N288" s="19">
        <f>(1 + ([eq_growth_f6] + [eq_income_f6]) / 100)^(1/12) - 1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>
        <f>(1 + ([eq_growth_f1] + [eq_income_f1]) / 100)^(1/12) - 1</f>
        <v/>
      </c>
      <c r="J289" s="21">
        <f>(1 + ([eq_growth_f2] + [eq_income_f2]) / 100)^(1/12) - 1</f>
        <v/>
      </c>
      <c r="K289" s="21">
        <f>(1 + ([eq_growth_f3] + [eq_income_f3]) / 100)^(1/12) - 1</f>
        <v/>
      </c>
      <c r="L289" s="21">
        <f>(1 + ([eq_growth_f4] + [eq_income_f4]) / 100)^(1/12) - 1</f>
        <v/>
      </c>
      <c r="M289" s="21">
        <f>(1 + ([eq_growth_f5] + [eq_income_f5]) / 100)^(1/12) - 1</f>
        <v/>
      </c>
      <c r="N289" s="21">
        <f>(1 + ([eq_growth_f6] + [eq_income_f6]) / 100)^(1/12) - 1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>
        <f>(1 + ([eq_growth_f1] + [eq_income_f1]) / 100)^(1/12) - 1</f>
        <v/>
      </c>
      <c r="J290" s="19">
        <f>(1 + ([eq_growth_f2] + [eq_income_f2]) / 100)^(1/12) - 1</f>
        <v/>
      </c>
      <c r="K290" s="19">
        <f>(1 + ([eq_growth_f3] + [eq_income_f3]) / 100)^(1/12) - 1</f>
        <v/>
      </c>
      <c r="L290" s="19">
        <f>(1 + ([eq_growth_f4] + [eq_income_f4]) / 100)^(1/12) - 1</f>
        <v/>
      </c>
      <c r="M290" s="19">
        <f>(1 + ([eq_growth_f5] + [eq_income_f5]) / 100)^(1/12) - 1</f>
        <v/>
      </c>
      <c r="N290" s="19">
        <f>(1 + ([eq_growth_f6] + [eq_income_f6]) / 100)^(1/12) - 1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>
        <f>(1 + ([eq_growth_f1] + [eq_income_f1]) / 100)^(1/12) - 1</f>
        <v/>
      </c>
      <c r="J291" s="21">
        <f>(1 + ([eq_growth_f2] + [eq_income_f2]) / 100)^(1/12) - 1</f>
        <v/>
      </c>
      <c r="K291" s="21">
        <f>(1 + ([eq_growth_f3] + [eq_income_f3]) / 100)^(1/12) - 1</f>
        <v/>
      </c>
      <c r="L291" s="21">
        <f>(1 + ([eq_growth_f4] + [eq_income_f4]) / 100)^(1/12) - 1</f>
        <v/>
      </c>
      <c r="M291" s="21">
        <f>(1 + ([eq_growth_f5] + [eq_income_f5]) / 100)^(1/12) - 1</f>
        <v/>
      </c>
      <c r="N291" s="21">
        <f>(1 + ([eq_growth_f6] + [eq_income_f6]) / 100)^(1/12) - 1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>
        <f>(1 + ([eq_growth_f1] + [eq_income_f1]) / 100)^(1/12) - 1</f>
        <v/>
      </c>
      <c r="J292" s="19">
        <f>(1 + ([eq_growth_f2] + [eq_income_f2]) / 100)^(1/12) - 1</f>
        <v/>
      </c>
      <c r="K292" s="19">
        <f>(1 + ([eq_growth_f3] + [eq_income_f3]) / 100)^(1/12) - 1</f>
        <v/>
      </c>
      <c r="L292" s="19">
        <f>(1 + ([eq_growth_f4] + [eq_income_f4]) / 100)^(1/12) - 1</f>
        <v/>
      </c>
      <c r="M292" s="19">
        <f>(1 + ([eq_growth_f5] + [eq_income_f5]) / 100)^(1/12) - 1</f>
        <v/>
      </c>
      <c r="N292" s="19">
        <f>(1 + ([eq_growth_f6] + [eq_income_f6]) / 100)^(1/12) - 1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>
        <f>(1 + ([eq_growth_f1] + [eq_income_f1]) / 100)^(1/12) - 1</f>
        <v/>
      </c>
      <c r="J293" s="21">
        <f>(1 + ([eq_growth_f2] + [eq_income_f2]) / 100)^(1/12) - 1</f>
        <v/>
      </c>
      <c r="K293" s="21">
        <f>(1 + ([eq_growth_f3] + [eq_income_f3]) / 100)^(1/12) - 1</f>
        <v/>
      </c>
      <c r="L293" s="21">
        <f>(1 + ([eq_growth_f4] + [eq_income_f4]) / 100)^(1/12) - 1</f>
        <v/>
      </c>
      <c r="M293" s="21">
        <f>(1 + ([eq_growth_f5] + [eq_income_f5]) / 100)^(1/12) - 1</f>
        <v/>
      </c>
      <c r="N293" s="21">
        <f>(1 + ([eq_growth_f6] + [eq_income_f6]) / 100)^(1/12) - 1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>
        <f>(1 + ([eq_growth_f1] + [eq_income_f1]) / 100)^(1/12) - 1</f>
        <v/>
      </c>
      <c r="J294" s="19">
        <f>(1 + ([eq_growth_f2] + [eq_income_f2]) / 100)^(1/12) - 1</f>
        <v/>
      </c>
      <c r="K294" s="19">
        <f>(1 + ([eq_growth_f3] + [eq_income_f3]) / 100)^(1/12) - 1</f>
        <v/>
      </c>
      <c r="L294" s="19">
        <f>(1 + ([eq_growth_f4] + [eq_income_f4]) / 100)^(1/12) - 1</f>
        <v/>
      </c>
      <c r="M294" s="19">
        <f>(1 + ([eq_growth_f5] + [eq_income_f5]) / 100)^(1/12) - 1</f>
        <v/>
      </c>
      <c r="N294" s="19">
        <f>(1 + ([eq_growth_f6] + [eq_income_f6]) / 100)^(1/12) - 1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>
        <f>(1 + ([eq_growth_f1] + [eq_income_f1]) / 100)^(1/12) - 1</f>
        <v/>
      </c>
      <c r="J295" s="21">
        <f>(1 + ([eq_growth_f2] + [eq_income_f2]) / 100)^(1/12) - 1</f>
        <v/>
      </c>
      <c r="K295" s="21">
        <f>(1 + ([eq_growth_f3] + [eq_income_f3]) / 100)^(1/12) - 1</f>
        <v/>
      </c>
      <c r="L295" s="21">
        <f>(1 + ([eq_growth_f4] + [eq_income_f4]) / 100)^(1/12) - 1</f>
        <v/>
      </c>
      <c r="M295" s="21">
        <f>(1 + ([eq_growth_f5] + [eq_income_f5]) / 100)^(1/12) - 1</f>
        <v/>
      </c>
      <c r="N295" s="21">
        <f>(1 + ([eq_growth_f6] + [eq_income_f6]) / 100)^(1/12) - 1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>
        <f>(1 + ([eq_growth_f1] + [eq_income_f1]) / 100)^(1/12) - 1</f>
        <v/>
      </c>
      <c r="J296" s="19">
        <f>(1 + ([eq_growth_f2] + [eq_income_f2]) / 100)^(1/12) - 1</f>
        <v/>
      </c>
      <c r="K296" s="19">
        <f>(1 + ([eq_growth_f3] + [eq_income_f3]) / 100)^(1/12) - 1</f>
        <v/>
      </c>
      <c r="L296" s="19">
        <f>(1 + ([eq_growth_f4] + [eq_income_f4]) / 100)^(1/12) - 1</f>
        <v/>
      </c>
      <c r="M296" s="19">
        <f>(1 + ([eq_growth_f5] + [eq_income_f5]) / 100)^(1/12) - 1</f>
        <v/>
      </c>
      <c r="N296" s="19">
        <f>(1 + ([eq_growth_f6] + [eq_income_f6]) / 100)^(1/12) - 1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>
        <f>(1 + ([eq_growth_f1] + [eq_income_f1]) / 100)^(1/12) - 1</f>
        <v/>
      </c>
      <c r="J297" s="21">
        <f>(1 + ([eq_growth_f2] + [eq_income_f2]) / 100)^(1/12) - 1</f>
        <v/>
      </c>
      <c r="K297" s="21">
        <f>(1 + ([eq_growth_f3] + [eq_income_f3]) / 100)^(1/12) - 1</f>
        <v/>
      </c>
      <c r="L297" s="21">
        <f>(1 + ([eq_growth_f4] + [eq_income_f4]) / 100)^(1/12) - 1</f>
        <v/>
      </c>
      <c r="M297" s="21">
        <f>(1 + ([eq_growth_f5] + [eq_income_f5]) / 100)^(1/12) - 1</f>
        <v/>
      </c>
      <c r="N297" s="21">
        <f>(1 + ([eq_growth_f6] + [eq_income_f6]) / 100)^(1/12) - 1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>
        <f>(1 + ([eq_growth_f1] + [eq_income_f1]) / 100)^(1/12) - 1</f>
        <v/>
      </c>
      <c r="J298" s="19">
        <f>(1 + ([eq_growth_f2] + [eq_income_f2]) / 100)^(1/12) - 1</f>
        <v/>
      </c>
      <c r="K298" s="19">
        <f>(1 + ([eq_growth_f3] + [eq_income_f3]) / 100)^(1/12) - 1</f>
        <v/>
      </c>
      <c r="L298" s="19">
        <f>(1 + ([eq_growth_f4] + [eq_income_f4]) / 100)^(1/12) - 1</f>
        <v/>
      </c>
      <c r="M298" s="19">
        <f>(1 + ([eq_growth_f5] + [eq_income_f5]) / 100)^(1/12) - 1</f>
        <v/>
      </c>
      <c r="N298" s="19">
        <f>(1 + ([eq_growth_f6] + [eq_income_f6]) / 100)^(1/12) - 1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>
        <f>(1 + ([eq_growth_f1] + [eq_income_f1]) / 100)^(1/12) - 1</f>
        <v/>
      </c>
      <c r="J299" s="21">
        <f>(1 + ([eq_growth_f2] + [eq_income_f2]) / 100)^(1/12) - 1</f>
        <v/>
      </c>
      <c r="K299" s="21">
        <f>(1 + ([eq_growth_f3] + [eq_income_f3]) / 100)^(1/12) - 1</f>
        <v/>
      </c>
      <c r="L299" s="21">
        <f>(1 + ([eq_growth_f4] + [eq_income_f4]) / 100)^(1/12) - 1</f>
        <v/>
      </c>
      <c r="M299" s="21">
        <f>(1 + ([eq_growth_f5] + [eq_income_f5]) / 100)^(1/12) - 1</f>
        <v/>
      </c>
      <c r="N299" s="21">
        <f>(1 + ([eq_growth_f6] + [eq_income_f6]) / 100)^(1/12) - 1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>
        <f>(1 + ([eq_growth_f1] + [eq_income_f1]) / 100)^(1/12) - 1</f>
        <v/>
      </c>
      <c r="J300" s="19">
        <f>(1 + ([eq_growth_f2] + [eq_income_f2]) / 100)^(1/12) - 1</f>
        <v/>
      </c>
      <c r="K300" s="19">
        <f>(1 + ([eq_growth_f3] + [eq_income_f3]) / 100)^(1/12) - 1</f>
        <v/>
      </c>
      <c r="L300" s="19">
        <f>(1 + ([eq_growth_f4] + [eq_income_f4]) / 100)^(1/12) - 1</f>
        <v/>
      </c>
      <c r="M300" s="19">
        <f>(1 + ([eq_growth_f5] + [eq_income_f5]) / 100)^(1/12) - 1</f>
        <v/>
      </c>
      <c r="N300" s="19">
        <f>(1 + ([eq_growth_f6] + [eq_income_f6]) / 100)^(1/12) - 1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>
        <f>(1 + ([eq_growth_f1] + [eq_income_f1]) / 100)^(1/12) - 1</f>
        <v/>
      </c>
      <c r="J301" s="21">
        <f>(1 + ([eq_growth_f2] + [eq_income_f2]) / 100)^(1/12) - 1</f>
        <v/>
      </c>
      <c r="K301" s="21">
        <f>(1 + ([eq_growth_f3] + [eq_income_f3]) / 100)^(1/12) - 1</f>
        <v/>
      </c>
      <c r="L301" s="21">
        <f>(1 + ([eq_growth_f4] + [eq_income_f4]) / 100)^(1/12) - 1</f>
        <v/>
      </c>
      <c r="M301" s="21">
        <f>(1 + ([eq_growth_f5] + [eq_income_f5]) / 100)^(1/12) - 1</f>
        <v/>
      </c>
      <c r="N301" s="21">
        <f>(1 + ([eq_growth_f6] + [eq_income_f6]) / 100)^(1/12) - 1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>
        <f>(1 + ([eq_growth_f1] + [eq_income_f1]) / 100)^(1/12) - 1</f>
        <v/>
      </c>
      <c r="J302" s="19">
        <f>(1 + ([eq_growth_f2] + [eq_income_f2]) / 100)^(1/12) - 1</f>
        <v/>
      </c>
      <c r="K302" s="19">
        <f>(1 + ([eq_growth_f3] + [eq_income_f3]) / 100)^(1/12) - 1</f>
        <v/>
      </c>
      <c r="L302" s="19">
        <f>(1 + ([eq_growth_f4] + [eq_income_f4]) / 100)^(1/12) - 1</f>
        <v/>
      </c>
      <c r="M302" s="19">
        <f>(1 + ([eq_growth_f5] + [eq_income_f5]) / 100)^(1/12) - 1</f>
        <v/>
      </c>
      <c r="N302" s="19">
        <f>(1 + ([eq_growth_f6] + [eq_income_f6]) / 100)^(1/12) - 1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>
        <f>(1 + ([eq_growth_f1] + [eq_income_f1]) / 100)^(1/12) - 1</f>
        <v/>
      </c>
      <c r="J303" s="21">
        <f>(1 + ([eq_growth_f2] + [eq_income_f2]) / 100)^(1/12) - 1</f>
        <v/>
      </c>
      <c r="K303" s="21">
        <f>(1 + ([eq_growth_f3] + [eq_income_f3]) / 100)^(1/12) - 1</f>
        <v/>
      </c>
      <c r="L303" s="21">
        <f>(1 + ([eq_growth_f4] + [eq_income_f4]) / 100)^(1/12) - 1</f>
        <v/>
      </c>
      <c r="M303" s="21">
        <f>(1 + ([eq_growth_f5] + [eq_income_f5]) / 100)^(1/12) - 1</f>
        <v/>
      </c>
      <c r="N303" s="21">
        <f>(1 + ([eq_growth_f6] + [eq_income_f6]) / 100)^(1/12) - 1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>
        <f>(1 + ([eq_growth_f1] + [eq_income_f1]) / 100)^(1/12) - 1</f>
        <v/>
      </c>
      <c r="J304" s="19">
        <f>(1 + ([eq_growth_f2] + [eq_income_f2]) / 100)^(1/12) - 1</f>
        <v/>
      </c>
      <c r="K304" s="19">
        <f>(1 + ([eq_growth_f3] + [eq_income_f3]) / 100)^(1/12) - 1</f>
        <v/>
      </c>
      <c r="L304" s="19">
        <f>(1 + ([eq_growth_f4] + [eq_income_f4]) / 100)^(1/12) - 1</f>
        <v/>
      </c>
      <c r="M304" s="19">
        <f>(1 + ([eq_growth_f5] + [eq_income_f5]) / 100)^(1/12) - 1</f>
        <v/>
      </c>
      <c r="N304" s="19">
        <f>(1 + ([eq_growth_f6] + [eq_income_f6]) / 100)^(1/12) - 1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>
        <f>(1 + ([eq_growth_f1] + [eq_income_f1]) / 100)^(1/12) - 1</f>
        <v/>
      </c>
      <c r="J305" s="21">
        <f>(1 + ([eq_growth_f2] + [eq_income_f2]) / 100)^(1/12) - 1</f>
        <v/>
      </c>
      <c r="K305" s="21">
        <f>(1 + ([eq_growth_f3] + [eq_income_f3]) / 100)^(1/12) - 1</f>
        <v/>
      </c>
      <c r="L305" s="21">
        <f>(1 + ([eq_growth_f4] + [eq_income_f4]) / 100)^(1/12) - 1</f>
        <v/>
      </c>
      <c r="M305" s="21">
        <f>(1 + ([eq_growth_f5] + [eq_income_f5]) / 100)^(1/12) - 1</f>
        <v/>
      </c>
      <c r="N305" s="21">
        <f>(1 + ([eq_growth_f6] + [eq_income_f6]) / 100)^(1/12) - 1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>
        <f>(1 + ([eq_growth_f1] + [eq_income_f1]) / 100)^(1/12) - 1</f>
        <v/>
      </c>
      <c r="J306" s="19">
        <f>(1 + ([eq_growth_f2] + [eq_income_f2]) / 100)^(1/12) - 1</f>
        <v/>
      </c>
      <c r="K306" s="19">
        <f>(1 + ([eq_growth_f3] + [eq_income_f3]) / 100)^(1/12) - 1</f>
        <v/>
      </c>
      <c r="L306" s="19">
        <f>(1 + ([eq_growth_f4] + [eq_income_f4]) / 100)^(1/12) - 1</f>
        <v/>
      </c>
      <c r="M306" s="19">
        <f>(1 + ([eq_growth_f5] + [eq_income_f5]) / 100)^(1/12) - 1</f>
        <v/>
      </c>
      <c r="N306" s="19">
        <f>(1 + ([eq_growth_f6] + [eq_income_f6]) / 100)^(1/12) - 1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>
        <f>(1 + ([eq_growth_f1] + [eq_income_f1]) / 100)^(1/12) - 1</f>
        <v/>
      </c>
      <c r="J307" s="21">
        <f>(1 + ([eq_growth_f2] + [eq_income_f2]) / 100)^(1/12) - 1</f>
        <v/>
      </c>
      <c r="K307" s="21">
        <f>(1 + ([eq_growth_f3] + [eq_income_f3]) / 100)^(1/12) - 1</f>
        <v/>
      </c>
      <c r="L307" s="21">
        <f>(1 + ([eq_growth_f4] + [eq_income_f4]) / 100)^(1/12) - 1</f>
        <v/>
      </c>
      <c r="M307" s="21">
        <f>(1 + ([eq_growth_f5] + [eq_income_f5]) / 100)^(1/12) - 1</f>
        <v/>
      </c>
      <c r="N307" s="21">
        <f>(1 + ([eq_growth_f6] + [eq_income_f6]) / 100)^(1/12) - 1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>
        <f>(1 + ([eq_growth_f1] + [eq_income_f1]) / 100)^(1/12) - 1</f>
        <v/>
      </c>
      <c r="J308" s="19">
        <f>(1 + ([eq_growth_f2] + [eq_income_f2]) / 100)^(1/12) - 1</f>
        <v/>
      </c>
      <c r="K308" s="19">
        <f>(1 + ([eq_growth_f3] + [eq_income_f3]) / 100)^(1/12) - 1</f>
        <v/>
      </c>
      <c r="L308" s="19">
        <f>(1 + ([eq_growth_f4] + [eq_income_f4]) / 100)^(1/12) - 1</f>
        <v/>
      </c>
      <c r="M308" s="19">
        <f>(1 + ([eq_growth_f5] + [eq_income_f5]) / 100)^(1/12) - 1</f>
        <v/>
      </c>
      <c r="N308" s="19">
        <f>(1 + ([eq_growth_f6] + [eq_income_f6]) / 100)^(1/12) - 1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>
        <f>(1 + ([eq_growth_f1] + [eq_income_f1]) / 100)^(1/12) - 1</f>
        <v/>
      </c>
      <c r="J309" s="21">
        <f>(1 + ([eq_growth_f2] + [eq_income_f2]) / 100)^(1/12) - 1</f>
        <v/>
      </c>
      <c r="K309" s="21">
        <f>(1 + ([eq_growth_f3] + [eq_income_f3]) / 100)^(1/12) - 1</f>
        <v/>
      </c>
      <c r="L309" s="21">
        <f>(1 + ([eq_growth_f4] + [eq_income_f4]) / 100)^(1/12) - 1</f>
        <v/>
      </c>
      <c r="M309" s="21">
        <f>(1 + ([eq_growth_f5] + [eq_income_f5]) / 100)^(1/12) - 1</f>
        <v/>
      </c>
      <c r="N309" s="21">
        <f>(1 + ([eq_growth_f6] + [eq_income_f6]) / 100)^(1/12) - 1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>
        <f>(1 + ([eq_growth_f1] + [eq_income_f1]) / 100)^(1/12) - 1</f>
        <v/>
      </c>
      <c r="J310" s="19">
        <f>(1 + ([eq_growth_f2] + [eq_income_f2]) / 100)^(1/12) - 1</f>
        <v/>
      </c>
      <c r="K310" s="19">
        <f>(1 + ([eq_growth_f3] + [eq_income_f3]) / 100)^(1/12) - 1</f>
        <v/>
      </c>
      <c r="L310" s="19">
        <f>(1 + ([eq_growth_f4] + [eq_income_f4]) / 100)^(1/12) - 1</f>
        <v/>
      </c>
      <c r="M310" s="19">
        <f>(1 + ([eq_growth_f5] + [eq_income_f5]) / 100)^(1/12) - 1</f>
        <v/>
      </c>
      <c r="N310" s="19">
        <f>(1 + ([eq_growth_f6] + [eq_income_f6]) / 100)^(1/12) - 1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>
        <f>(1 + ([eq_growth_f1] + [eq_income_f1]) / 100)^(1/12) - 1</f>
        <v/>
      </c>
      <c r="J311" s="21">
        <f>(1 + ([eq_growth_f2] + [eq_income_f2]) / 100)^(1/12) - 1</f>
        <v/>
      </c>
      <c r="K311" s="21">
        <f>(1 + ([eq_growth_f3] + [eq_income_f3]) / 100)^(1/12) - 1</f>
        <v/>
      </c>
      <c r="L311" s="21">
        <f>(1 + ([eq_growth_f4] + [eq_income_f4]) / 100)^(1/12) - 1</f>
        <v/>
      </c>
      <c r="M311" s="21">
        <f>(1 + ([eq_growth_f5] + [eq_income_f5]) / 100)^(1/12) - 1</f>
        <v/>
      </c>
      <c r="N311" s="21">
        <f>(1 + ([eq_growth_f6] + [eq_income_f6]) / 100)^(1/12) - 1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>
        <f>(1 + ([eq_growth_f1] + [eq_income_f1]) / 100)^(1/12) - 1</f>
        <v/>
      </c>
      <c r="J312" s="19">
        <f>(1 + ([eq_growth_f2] + [eq_income_f2]) / 100)^(1/12) - 1</f>
        <v/>
      </c>
      <c r="K312" s="19">
        <f>(1 + ([eq_growth_f3] + [eq_income_f3]) / 100)^(1/12) - 1</f>
        <v/>
      </c>
      <c r="L312" s="19">
        <f>(1 + ([eq_growth_f4] + [eq_income_f4]) / 100)^(1/12) - 1</f>
        <v/>
      </c>
      <c r="M312" s="19">
        <f>(1 + ([eq_growth_f5] + [eq_income_f5]) / 100)^(1/12) - 1</f>
        <v/>
      </c>
      <c r="N312" s="19">
        <f>(1 + ([eq_growth_f6] + [eq_income_f6]) / 100)^(1/12) - 1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>
        <f>(1 + ([eq_growth_f1] + [eq_income_f1]) / 100)^(1/12) - 1</f>
        <v/>
      </c>
      <c r="J313" s="21">
        <f>(1 + ([eq_growth_f2] + [eq_income_f2]) / 100)^(1/12) - 1</f>
        <v/>
      </c>
      <c r="K313" s="21">
        <f>(1 + ([eq_growth_f3] + [eq_income_f3]) / 100)^(1/12) - 1</f>
        <v/>
      </c>
      <c r="L313" s="21">
        <f>(1 + ([eq_growth_f4] + [eq_income_f4]) / 100)^(1/12) - 1</f>
        <v/>
      </c>
      <c r="M313" s="21">
        <f>(1 + ([eq_growth_f5] + [eq_income_f5]) / 100)^(1/12) - 1</f>
        <v/>
      </c>
      <c r="N313" s="21">
        <f>(1 + ([eq_growth_f6] + [eq_income_f6]) / 100)^(1/12) - 1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>
        <f>(1 + ([eq_growth_f1] + [eq_income_f1]) / 100)^(1/12) - 1</f>
        <v/>
      </c>
      <c r="J314" s="19">
        <f>(1 + ([eq_growth_f2] + [eq_income_f2]) / 100)^(1/12) - 1</f>
        <v/>
      </c>
      <c r="K314" s="19">
        <f>(1 + ([eq_growth_f3] + [eq_income_f3]) / 100)^(1/12) - 1</f>
        <v/>
      </c>
      <c r="L314" s="19">
        <f>(1 + ([eq_growth_f4] + [eq_income_f4]) / 100)^(1/12) - 1</f>
        <v/>
      </c>
      <c r="M314" s="19">
        <f>(1 + ([eq_growth_f5] + [eq_income_f5]) / 100)^(1/12) - 1</f>
        <v/>
      </c>
      <c r="N314" s="19">
        <f>(1 + ([eq_growth_f6] + [eq_income_f6]) / 100)^(1/12) - 1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>
        <f>(1 + ([eq_growth_f1] + [eq_income_f1]) / 100)^(1/12) - 1</f>
        <v/>
      </c>
      <c r="J315" s="21">
        <f>(1 + ([eq_growth_f2] + [eq_income_f2]) / 100)^(1/12) - 1</f>
        <v/>
      </c>
      <c r="K315" s="21">
        <f>(1 + ([eq_growth_f3] + [eq_income_f3]) / 100)^(1/12) - 1</f>
        <v/>
      </c>
      <c r="L315" s="21">
        <f>(1 + ([eq_growth_f4] + [eq_income_f4]) / 100)^(1/12) - 1</f>
        <v/>
      </c>
      <c r="M315" s="21">
        <f>(1 + ([eq_growth_f5] + [eq_income_f5]) / 100)^(1/12) - 1</f>
        <v/>
      </c>
      <c r="N315" s="21">
        <f>(1 + ([eq_growth_f6] + [eq_income_f6]) / 100)^(1/12) - 1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>
        <f>(1 + ([eq_growth_f1] + [eq_income_f1]) / 100)^(1/12) - 1</f>
        <v/>
      </c>
      <c r="J316" s="19">
        <f>(1 + ([eq_growth_f2] + [eq_income_f2]) / 100)^(1/12) - 1</f>
        <v/>
      </c>
      <c r="K316" s="19">
        <f>(1 + ([eq_growth_f3] + [eq_income_f3]) / 100)^(1/12) - 1</f>
        <v/>
      </c>
      <c r="L316" s="19">
        <f>(1 + ([eq_growth_f4] + [eq_income_f4]) / 100)^(1/12) - 1</f>
        <v/>
      </c>
      <c r="M316" s="19">
        <f>(1 + ([eq_growth_f5] + [eq_income_f5]) / 100)^(1/12) - 1</f>
        <v/>
      </c>
      <c r="N316" s="19">
        <f>(1 + ([eq_growth_f6] + [eq_income_f6]) / 100)^(1/12) - 1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>
        <f>(1 + ([eq_growth_f1] + [eq_income_f1]) / 100)^(1/12) - 1</f>
        <v/>
      </c>
      <c r="J317" s="21">
        <f>(1 + ([eq_growth_f2] + [eq_income_f2]) / 100)^(1/12) - 1</f>
        <v/>
      </c>
      <c r="K317" s="21">
        <f>(1 + ([eq_growth_f3] + [eq_income_f3]) / 100)^(1/12) - 1</f>
        <v/>
      </c>
      <c r="L317" s="21">
        <f>(1 + ([eq_growth_f4] + [eq_income_f4]) / 100)^(1/12) - 1</f>
        <v/>
      </c>
      <c r="M317" s="21">
        <f>(1 + ([eq_growth_f5] + [eq_income_f5]) / 100)^(1/12) - 1</f>
        <v/>
      </c>
      <c r="N317" s="21">
        <f>(1 + ([eq_growth_f6] + [eq_income_f6]) / 100)^(1/12) - 1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>
        <f>(1 + ([eq_growth_f1] + [eq_income_f1]) / 100)^(1/12) - 1</f>
        <v/>
      </c>
      <c r="J318" s="19">
        <f>(1 + ([eq_growth_f2] + [eq_income_f2]) / 100)^(1/12) - 1</f>
        <v/>
      </c>
      <c r="K318" s="19">
        <f>(1 + ([eq_growth_f3] + [eq_income_f3]) / 100)^(1/12) - 1</f>
        <v/>
      </c>
      <c r="L318" s="19">
        <f>(1 + ([eq_growth_f4] + [eq_income_f4]) / 100)^(1/12) - 1</f>
        <v/>
      </c>
      <c r="M318" s="19">
        <f>(1 + ([eq_growth_f5] + [eq_income_f5]) / 100)^(1/12) - 1</f>
        <v/>
      </c>
      <c r="N318" s="19">
        <f>(1 + ([eq_growth_f6] + [eq_income_f6]) / 100)^(1/12) - 1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>
        <f>(1 + ([eq_growth_f1] + [eq_income_f1]) / 100)^(1/12) - 1</f>
        <v/>
      </c>
      <c r="J319" s="21">
        <f>(1 + ([eq_growth_f2] + [eq_income_f2]) / 100)^(1/12) - 1</f>
        <v/>
      </c>
      <c r="K319" s="21">
        <f>(1 + ([eq_growth_f3] + [eq_income_f3]) / 100)^(1/12) - 1</f>
        <v/>
      </c>
      <c r="L319" s="21">
        <f>(1 + ([eq_growth_f4] + [eq_income_f4]) / 100)^(1/12) - 1</f>
        <v/>
      </c>
      <c r="M319" s="21">
        <f>(1 + ([eq_growth_f5] + [eq_income_f5]) / 100)^(1/12) - 1</f>
        <v/>
      </c>
      <c r="N319" s="21">
        <f>(1 + ([eq_growth_f6] + [eq_income_f6]) / 100)^(1/12) - 1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>
        <f>(1 + ([eq_growth_f1] + [eq_income_f1]) / 100)^(1/12) - 1</f>
        <v/>
      </c>
      <c r="J320" s="19">
        <f>(1 + ([eq_growth_f2] + [eq_income_f2]) / 100)^(1/12) - 1</f>
        <v/>
      </c>
      <c r="K320" s="19">
        <f>(1 + ([eq_growth_f3] + [eq_income_f3]) / 100)^(1/12) - 1</f>
        <v/>
      </c>
      <c r="L320" s="19">
        <f>(1 + ([eq_growth_f4] + [eq_income_f4]) / 100)^(1/12) - 1</f>
        <v/>
      </c>
      <c r="M320" s="19">
        <f>(1 + ([eq_growth_f5] + [eq_income_f5]) / 100)^(1/12) - 1</f>
        <v/>
      </c>
      <c r="N320" s="19">
        <f>(1 + ([eq_growth_f6] + [eq_income_f6]) / 100)^(1/12) - 1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>
        <f>(1 + ([eq_growth_f1] + [eq_income_f1]) / 100)^(1/12) - 1</f>
        <v/>
      </c>
      <c r="J321" s="21">
        <f>(1 + ([eq_growth_f2] + [eq_income_f2]) / 100)^(1/12) - 1</f>
        <v/>
      </c>
      <c r="K321" s="21">
        <f>(1 + ([eq_growth_f3] + [eq_income_f3]) / 100)^(1/12) - 1</f>
        <v/>
      </c>
      <c r="L321" s="21">
        <f>(1 + ([eq_growth_f4] + [eq_income_f4]) / 100)^(1/12) - 1</f>
        <v/>
      </c>
      <c r="M321" s="21">
        <f>(1 + ([eq_growth_f5] + [eq_income_f5]) / 100)^(1/12) - 1</f>
        <v/>
      </c>
      <c r="N321" s="21">
        <f>(1 + ([eq_growth_f6] + [eq_income_f6]) / 100)^(1/12) - 1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>
        <f>(1 + ([eq_growth_f1] + [eq_income_f1]) / 100)^(1/12) - 1</f>
        <v/>
      </c>
      <c r="J322" s="19">
        <f>(1 + ([eq_growth_f2] + [eq_income_f2]) / 100)^(1/12) - 1</f>
        <v/>
      </c>
      <c r="K322" s="19">
        <f>(1 + ([eq_growth_f3] + [eq_income_f3]) / 100)^(1/12) - 1</f>
        <v/>
      </c>
      <c r="L322" s="19">
        <f>(1 + ([eq_growth_f4] + [eq_income_f4]) / 100)^(1/12) - 1</f>
        <v/>
      </c>
      <c r="M322" s="19">
        <f>(1 + ([eq_growth_f5] + [eq_income_f5]) / 100)^(1/12) - 1</f>
        <v/>
      </c>
      <c r="N322" s="19">
        <f>(1 + ([eq_growth_f6] + [eq_income_f6]) / 100)^(1/12) - 1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>
        <f>(1 + ([eq_growth_f1] + [eq_income_f1]) / 100)^(1/12) - 1</f>
        <v/>
      </c>
      <c r="J323" s="21">
        <f>(1 + ([eq_growth_f2] + [eq_income_f2]) / 100)^(1/12) - 1</f>
        <v/>
      </c>
      <c r="K323" s="21">
        <f>(1 + ([eq_growth_f3] + [eq_income_f3]) / 100)^(1/12) - 1</f>
        <v/>
      </c>
      <c r="L323" s="21">
        <f>(1 + ([eq_growth_f4] + [eq_income_f4]) / 100)^(1/12) - 1</f>
        <v/>
      </c>
      <c r="M323" s="21">
        <f>(1 + ([eq_growth_f5] + [eq_income_f5]) / 100)^(1/12) - 1</f>
        <v/>
      </c>
      <c r="N323" s="21">
        <f>(1 + ([eq_growth_f6] + [eq_income_f6]) / 100)^(1/12) - 1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>
        <f>(1 + ([eq_growth_f1] + [eq_income_f1]) / 100)^(1/12) - 1</f>
        <v/>
      </c>
      <c r="J324" s="19">
        <f>(1 + ([eq_growth_f2] + [eq_income_f2]) / 100)^(1/12) - 1</f>
        <v/>
      </c>
      <c r="K324" s="19">
        <f>(1 + ([eq_growth_f3] + [eq_income_f3]) / 100)^(1/12) - 1</f>
        <v/>
      </c>
      <c r="L324" s="19">
        <f>(1 + ([eq_growth_f4] + [eq_income_f4]) / 100)^(1/12) - 1</f>
        <v/>
      </c>
      <c r="M324" s="19">
        <f>(1 + ([eq_growth_f5] + [eq_income_f5]) / 100)^(1/12) - 1</f>
        <v/>
      </c>
      <c r="N324" s="19">
        <f>(1 + ([eq_growth_f6] + [eq_income_f6]) / 100)^(1/12) - 1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>
        <f>(1 + ([eq_growth_f1] + [eq_income_f1]) / 100)^(1/12) - 1</f>
        <v/>
      </c>
      <c r="J325" s="21">
        <f>(1 + ([eq_growth_f2] + [eq_income_f2]) / 100)^(1/12) - 1</f>
        <v/>
      </c>
      <c r="K325" s="21">
        <f>(1 + ([eq_growth_f3] + [eq_income_f3]) / 100)^(1/12) - 1</f>
        <v/>
      </c>
      <c r="L325" s="21">
        <f>(1 + ([eq_growth_f4] + [eq_income_f4]) / 100)^(1/12) - 1</f>
        <v/>
      </c>
      <c r="M325" s="21">
        <f>(1 + ([eq_growth_f5] + [eq_income_f5]) / 100)^(1/12) - 1</f>
        <v/>
      </c>
      <c r="N325" s="21">
        <f>(1 + ([eq_growth_f6] + [eq_income_f6]) / 100)^(1/12) - 1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>
        <f>(1 + ([eq_growth_f1] + [eq_income_f1]) / 100)^(1/12) - 1</f>
        <v/>
      </c>
      <c r="J326" s="19">
        <f>(1 + ([eq_growth_f2] + [eq_income_f2]) / 100)^(1/12) - 1</f>
        <v/>
      </c>
      <c r="K326" s="19">
        <f>(1 + ([eq_growth_f3] + [eq_income_f3]) / 100)^(1/12) - 1</f>
        <v/>
      </c>
      <c r="L326" s="19">
        <f>(1 + ([eq_growth_f4] + [eq_income_f4]) / 100)^(1/12) - 1</f>
        <v/>
      </c>
      <c r="M326" s="19">
        <f>(1 + ([eq_growth_f5] + [eq_income_f5]) / 100)^(1/12) - 1</f>
        <v/>
      </c>
      <c r="N326" s="19">
        <f>(1 + ([eq_growth_f6] + [eq_income_f6]) / 100)^(1/12) - 1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>
        <f>(1 + ([eq_growth_f1] + [eq_income_f1]) / 100)^(1/12) - 1</f>
        <v/>
      </c>
      <c r="J327" s="21">
        <f>(1 + ([eq_growth_f2] + [eq_income_f2]) / 100)^(1/12) - 1</f>
        <v/>
      </c>
      <c r="K327" s="21">
        <f>(1 + ([eq_growth_f3] + [eq_income_f3]) / 100)^(1/12) - 1</f>
        <v/>
      </c>
      <c r="L327" s="21">
        <f>(1 + ([eq_growth_f4] + [eq_income_f4]) / 100)^(1/12) - 1</f>
        <v/>
      </c>
      <c r="M327" s="21">
        <f>(1 + ([eq_growth_f5] + [eq_income_f5]) / 100)^(1/12) - 1</f>
        <v/>
      </c>
      <c r="N327" s="21">
        <f>(1 + ([eq_growth_f6] + [eq_income_f6]) / 100)^(1/12) - 1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>
        <f>(1 + ([eq_growth_f1] + [eq_income_f1]) / 100)^(1/12) - 1</f>
        <v/>
      </c>
      <c r="J328" s="19">
        <f>(1 + ([eq_growth_f2] + [eq_income_f2]) / 100)^(1/12) - 1</f>
        <v/>
      </c>
      <c r="K328" s="19">
        <f>(1 + ([eq_growth_f3] + [eq_income_f3]) / 100)^(1/12) - 1</f>
        <v/>
      </c>
      <c r="L328" s="19">
        <f>(1 + ([eq_growth_f4] + [eq_income_f4]) / 100)^(1/12) - 1</f>
        <v/>
      </c>
      <c r="M328" s="19">
        <f>(1 + ([eq_growth_f5] + [eq_income_f5]) / 100)^(1/12) - 1</f>
        <v/>
      </c>
      <c r="N328" s="19">
        <f>(1 + ([eq_growth_f6] + [eq_income_f6]) / 100)^(1/12) - 1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>
        <f>(1 + ([eq_growth_f1] + [eq_income_f1]) / 100)^(1/12) - 1</f>
        <v/>
      </c>
      <c r="J329" s="21">
        <f>(1 + ([eq_growth_f2] + [eq_income_f2]) / 100)^(1/12) - 1</f>
        <v/>
      </c>
      <c r="K329" s="21">
        <f>(1 + ([eq_growth_f3] + [eq_income_f3]) / 100)^(1/12) - 1</f>
        <v/>
      </c>
      <c r="L329" s="21">
        <f>(1 + ([eq_growth_f4] + [eq_income_f4]) / 100)^(1/12) - 1</f>
        <v/>
      </c>
      <c r="M329" s="21">
        <f>(1 + ([eq_growth_f5] + [eq_income_f5]) / 100)^(1/12) - 1</f>
        <v/>
      </c>
      <c r="N329" s="21">
        <f>(1 + ([eq_growth_f6] + [eq_income_f6]) / 100)^(1/12) - 1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>
        <f>(1 + ([eq_growth_f1] + [eq_income_f1]) / 100)^(1/12) - 1</f>
        <v/>
      </c>
      <c r="J330" s="19">
        <f>(1 + ([eq_growth_f2] + [eq_income_f2]) / 100)^(1/12) - 1</f>
        <v/>
      </c>
      <c r="K330" s="19">
        <f>(1 + ([eq_growth_f3] + [eq_income_f3]) / 100)^(1/12) - 1</f>
        <v/>
      </c>
      <c r="L330" s="19">
        <f>(1 + ([eq_growth_f4] + [eq_income_f4]) / 100)^(1/12) - 1</f>
        <v/>
      </c>
      <c r="M330" s="19">
        <f>(1 + ([eq_growth_f5] + [eq_income_f5]) / 100)^(1/12) - 1</f>
        <v/>
      </c>
      <c r="N330" s="19">
        <f>(1 + ([eq_growth_f6] + [eq_income_f6]) / 100)^(1/12) - 1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>
        <f>(1 + ([eq_growth_f1] + [eq_income_f1]) / 100)^(1/12) - 1</f>
        <v/>
      </c>
      <c r="J331" s="21">
        <f>(1 + ([eq_growth_f2] + [eq_income_f2]) / 100)^(1/12) - 1</f>
        <v/>
      </c>
      <c r="K331" s="21">
        <f>(1 + ([eq_growth_f3] + [eq_income_f3]) / 100)^(1/12) - 1</f>
        <v/>
      </c>
      <c r="L331" s="21">
        <f>(1 + ([eq_growth_f4] + [eq_income_f4]) / 100)^(1/12) - 1</f>
        <v/>
      </c>
      <c r="M331" s="21">
        <f>(1 + ([eq_growth_f5] + [eq_income_f5]) / 100)^(1/12) - 1</f>
        <v/>
      </c>
      <c r="N331" s="21">
        <f>(1 + ([eq_growth_f6] + [eq_income_f6]) / 100)^(1/12) - 1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>
        <f>(1 + ([eq_growth_f1] + [eq_income_f1]) / 100)^(1/12) - 1</f>
        <v/>
      </c>
      <c r="J332" s="19">
        <f>(1 + ([eq_growth_f2] + [eq_income_f2]) / 100)^(1/12) - 1</f>
        <v/>
      </c>
      <c r="K332" s="19">
        <f>(1 + ([eq_growth_f3] + [eq_income_f3]) / 100)^(1/12) - 1</f>
        <v/>
      </c>
      <c r="L332" s="19">
        <f>(1 + ([eq_growth_f4] + [eq_income_f4]) / 100)^(1/12) - 1</f>
        <v/>
      </c>
      <c r="M332" s="19">
        <f>(1 + ([eq_growth_f5] + [eq_income_f5]) / 100)^(1/12) - 1</f>
        <v/>
      </c>
      <c r="N332" s="19">
        <f>(1 + ([eq_growth_f6] + [eq_income_f6]) / 100)^(1/12) - 1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>
        <f>(1 + ([eq_growth_f1] + [eq_income_f1]) / 100)^(1/12) - 1</f>
        <v/>
      </c>
      <c r="J333" s="21">
        <f>(1 + ([eq_growth_f2] + [eq_income_f2]) / 100)^(1/12) - 1</f>
        <v/>
      </c>
      <c r="K333" s="21">
        <f>(1 + ([eq_growth_f3] + [eq_income_f3]) / 100)^(1/12) - 1</f>
        <v/>
      </c>
      <c r="L333" s="21">
        <f>(1 + ([eq_growth_f4] + [eq_income_f4]) / 100)^(1/12) - 1</f>
        <v/>
      </c>
      <c r="M333" s="21">
        <f>(1 + ([eq_growth_f5] + [eq_income_f5]) / 100)^(1/12) - 1</f>
        <v/>
      </c>
      <c r="N333" s="21">
        <f>(1 + ([eq_growth_f6] + [eq_income_f6]) / 100)^(1/12) - 1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>
        <f>(1 + ([eq_growth_f1] + [eq_income_f1]) / 100)^(1/12) - 1</f>
        <v/>
      </c>
      <c r="J334" s="19">
        <f>(1 + ([eq_growth_f2] + [eq_income_f2]) / 100)^(1/12) - 1</f>
        <v/>
      </c>
      <c r="K334" s="19">
        <f>(1 + ([eq_growth_f3] + [eq_income_f3]) / 100)^(1/12) - 1</f>
        <v/>
      </c>
      <c r="L334" s="19">
        <f>(1 + ([eq_growth_f4] + [eq_income_f4]) / 100)^(1/12) - 1</f>
        <v/>
      </c>
      <c r="M334" s="19">
        <f>(1 + ([eq_growth_f5] + [eq_income_f5]) / 100)^(1/12) - 1</f>
        <v/>
      </c>
      <c r="N334" s="19">
        <f>(1 + ([eq_growth_f6] + [eq_income_f6]) / 100)^(1/12) - 1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>
        <f>(1 + ([eq_growth_f1] + [eq_income_f1]) / 100)^(1/12) - 1</f>
        <v/>
      </c>
      <c r="J335" s="21">
        <f>(1 + ([eq_growth_f2] + [eq_income_f2]) / 100)^(1/12) - 1</f>
        <v/>
      </c>
      <c r="K335" s="21">
        <f>(1 + ([eq_growth_f3] + [eq_income_f3]) / 100)^(1/12) - 1</f>
        <v/>
      </c>
      <c r="L335" s="21">
        <f>(1 + ([eq_growth_f4] + [eq_income_f4]) / 100)^(1/12) - 1</f>
        <v/>
      </c>
      <c r="M335" s="21">
        <f>(1 + ([eq_growth_f5] + [eq_income_f5]) / 100)^(1/12) - 1</f>
        <v/>
      </c>
      <c r="N335" s="21">
        <f>(1 + ([eq_growth_f6] + [eq_income_f6]) / 100)^(1/12) - 1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>
        <f>(1 + ([eq_growth_f1] + [eq_income_f1]) / 100)^(1/12) - 1</f>
        <v/>
      </c>
      <c r="J336" s="19">
        <f>(1 + ([eq_growth_f2] + [eq_income_f2]) / 100)^(1/12) - 1</f>
        <v/>
      </c>
      <c r="K336" s="19">
        <f>(1 + ([eq_growth_f3] + [eq_income_f3]) / 100)^(1/12) - 1</f>
        <v/>
      </c>
      <c r="L336" s="19">
        <f>(1 + ([eq_growth_f4] + [eq_income_f4]) / 100)^(1/12) - 1</f>
        <v/>
      </c>
      <c r="M336" s="19">
        <f>(1 + ([eq_growth_f5] + [eq_income_f5]) / 100)^(1/12) - 1</f>
        <v/>
      </c>
      <c r="N336" s="19">
        <f>(1 + ([eq_growth_f6] + [eq_income_f6]) / 100)^(1/12) - 1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>
        <f>(1 + ([eq_growth_f1] + [eq_income_f1]) / 100)^(1/12) - 1</f>
        <v/>
      </c>
      <c r="J337" s="21">
        <f>(1 + ([eq_growth_f2] + [eq_income_f2]) / 100)^(1/12) - 1</f>
        <v/>
      </c>
      <c r="K337" s="21">
        <f>(1 + ([eq_growth_f3] + [eq_income_f3]) / 100)^(1/12) - 1</f>
        <v/>
      </c>
      <c r="L337" s="21">
        <f>(1 + ([eq_growth_f4] + [eq_income_f4]) / 100)^(1/12) - 1</f>
        <v/>
      </c>
      <c r="M337" s="21">
        <f>(1 + ([eq_growth_f5] + [eq_income_f5]) / 100)^(1/12) - 1</f>
        <v/>
      </c>
      <c r="N337" s="21">
        <f>(1 + ([eq_growth_f6] + [eq_income_f6]) / 100)^(1/12) - 1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>
        <f>(1 + ([eq_growth_f1] + [eq_income_f1]) / 100)^(1/12) - 1</f>
        <v/>
      </c>
      <c r="J338" s="19">
        <f>(1 + ([eq_growth_f2] + [eq_income_f2]) / 100)^(1/12) - 1</f>
        <v/>
      </c>
      <c r="K338" s="19">
        <f>(1 + ([eq_growth_f3] + [eq_income_f3]) / 100)^(1/12) - 1</f>
        <v/>
      </c>
      <c r="L338" s="19">
        <f>(1 + ([eq_growth_f4] + [eq_income_f4]) / 100)^(1/12) - 1</f>
        <v/>
      </c>
      <c r="M338" s="19">
        <f>(1 + ([eq_growth_f5] + [eq_income_f5]) / 100)^(1/12) - 1</f>
        <v/>
      </c>
      <c r="N338" s="19">
        <f>(1 + ([eq_growth_f6] + [eq_income_f6]) / 100)^(1/12) - 1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>
        <f>(1 + ([eq_growth_f1] + [eq_income_f1]) / 100)^(1/12) - 1</f>
        <v/>
      </c>
      <c r="J339" s="21">
        <f>(1 + ([eq_growth_f2] + [eq_income_f2]) / 100)^(1/12) - 1</f>
        <v/>
      </c>
      <c r="K339" s="21">
        <f>(1 + ([eq_growth_f3] + [eq_income_f3]) / 100)^(1/12) - 1</f>
        <v/>
      </c>
      <c r="L339" s="21">
        <f>(1 + ([eq_growth_f4] + [eq_income_f4]) / 100)^(1/12) - 1</f>
        <v/>
      </c>
      <c r="M339" s="21">
        <f>(1 + ([eq_growth_f5] + [eq_income_f5]) / 100)^(1/12) - 1</f>
        <v/>
      </c>
      <c r="N339" s="21">
        <f>(1 + ([eq_growth_f6] + [eq_income_f6]) / 100)^(1/12) - 1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>
        <f>(1 + ([eq_growth_f1] + [eq_income_f1]) / 100)^(1/12) - 1</f>
        <v/>
      </c>
      <c r="J340" s="19">
        <f>(1 + ([eq_growth_f2] + [eq_income_f2]) / 100)^(1/12) - 1</f>
        <v/>
      </c>
      <c r="K340" s="19">
        <f>(1 + ([eq_growth_f3] + [eq_income_f3]) / 100)^(1/12) - 1</f>
        <v/>
      </c>
      <c r="L340" s="19">
        <f>(1 + ([eq_growth_f4] + [eq_income_f4]) / 100)^(1/12) - 1</f>
        <v/>
      </c>
      <c r="M340" s="19">
        <f>(1 + ([eq_growth_f5] + [eq_income_f5]) / 100)^(1/12) - 1</f>
        <v/>
      </c>
      <c r="N340" s="19">
        <f>(1 + ([eq_growth_f6] + [eq_income_f6]) / 100)^(1/12) - 1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>
        <f>(1 + ([eq_growth_f1] + [eq_income_f1]) / 100)^(1/12) - 1</f>
        <v/>
      </c>
      <c r="J341" s="21">
        <f>(1 + ([eq_growth_f2] + [eq_income_f2]) / 100)^(1/12) - 1</f>
        <v/>
      </c>
      <c r="K341" s="21">
        <f>(1 + ([eq_growth_f3] + [eq_income_f3]) / 100)^(1/12) - 1</f>
        <v/>
      </c>
      <c r="L341" s="21">
        <f>(1 + ([eq_growth_f4] + [eq_income_f4]) / 100)^(1/12) - 1</f>
        <v/>
      </c>
      <c r="M341" s="21">
        <f>(1 + ([eq_growth_f5] + [eq_income_f5]) / 100)^(1/12) - 1</f>
        <v/>
      </c>
      <c r="N341" s="21">
        <f>(1 + ([eq_growth_f6] + [eq_income_f6]) / 100)^(1/12) - 1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>
        <f>(1 + ([eq_growth_f1] + [eq_income_f1]) / 100)^(1/12) - 1</f>
        <v/>
      </c>
      <c r="J342" s="19">
        <f>(1 + ([eq_growth_f2] + [eq_income_f2]) / 100)^(1/12) - 1</f>
        <v/>
      </c>
      <c r="K342" s="19">
        <f>(1 + ([eq_growth_f3] + [eq_income_f3]) / 100)^(1/12) - 1</f>
        <v/>
      </c>
      <c r="L342" s="19">
        <f>(1 + ([eq_growth_f4] + [eq_income_f4]) / 100)^(1/12) - 1</f>
        <v/>
      </c>
      <c r="M342" s="19">
        <f>(1 + ([eq_growth_f5] + [eq_income_f5]) / 100)^(1/12) - 1</f>
        <v/>
      </c>
      <c r="N342" s="19">
        <f>(1 + ([eq_growth_f6] + [eq_income_f6]) / 100)^(1/12) - 1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>
        <f>(1 + ([eq_growth_f1] + [eq_income_f1]) / 100)^(1/12) - 1</f>
        <v/>
      </c>
      <c r="J343" s="21">
        <f>(1 + ([eq_growth_f2] + [eq_income_f2]) / 100)^(1/12) - 1</f>
        <v/>
      </c>
      <c r="K343" s="21">
        <f>(1 + ([eq_growth_f3] + [eq_income_f3]) / 100)^(1/12) - 1</f>
        <v/>
      </c>
      <c r="L343" s="21">
        <f>(1 + ([eq_growth_f4] + [eq_income_f4]) / 100)^(1/12) - 1</f>
        <v/>
      </c>
      <c r="M343" s="21">
        <f>(1 + ([eq_growth_f5] + [eq_income_f5]) / 100)^(1/12) - 1</f>
        <v/>
      </c>
      <c r="N343" s="21">
        <f>(1 + ([eq_growth_f6] + [eq_income_f6]) / 100)^(1/12) - 1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>
        <f>(1 + ([eq_growth_f1] + [eq_income_f1]) / 100)^(1/12) - 1</f>
        <v/>
      </c>
      <c r="J344" s="19">
        <f>(1 + ([eq_growth_f2] + [eq_income_f2]) / 100)^(1/12) - 1</f>
        <v/>
      </c>
      <c r="K344" s="19">
        <f>(1 + ([eq_growth_f3] + [eq_income_f3]) / 100)^(1/12) - 1</f>
        <v/>
      </c>
      <c r="L344" s="19">
        <f>(1 + ([eq_growth_f4] + [eq_income_f4]) / 100)^(1/12) - 1</f>
        <v/>
      </c>
      <c r="M344" s="19">
        <f>(1 + ([eq_growth_f5] + [eq_income_f5]) / 100)^(1/12) - 1</f>
        <v/>
      </c>
      <c r="N344" s="19">
        <f>(1 + ([eq_growth_f6] + [eq_income_f6]) / 100)^(1/12) - 1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>
        <f>(1 + ([eq_growth_f1] + [eq_income_f1]) / 100)^(1/12) - 1</f>
        <v/>
      </c>
      <c r="J345" s="21">
        <f>(1 + ([eq_growth_f2] + [eq_income_f2]) / 100)^(1/12) - 1</f>
        <v/>
      </c>
      <c r="K345" s="21">
        <f>(1 + ([eq_growth_f3] + [eq_income_f3]) / 100)^(1/12) - 1</f>
        <v/>
      </c>
      <c r="L345" s="21">
        <f>(1 + ([eq_growth_f4] + [eq_income_f4]) / 100)^(1/12) - 1</f>
        <v/>
      </c>
      <c r="M345" s="21">
        <f>(1 + ([eq_growth_f5] + [eq_income_f5]) / 100)^(1/12) - 1</f>
        <v/>
      </c>
      <c r="N345" s="21">
        <f>(1 + ([eq_growth_f6] + [eq_income_f6]) / 100)^(1/12) - 1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>
        <f>(1 + ([eq_growth_f1] + [eq_income_f1]) / 100)^(1/12) - 1</f>
        <v/>
      </c>
      <c r="J346" s="19">
        <f>(1 + ([eq_growth_f2] + [eq_income_f2]) / 100)^(1/12) - 1</f>
        <v/>
      </c>
      <c r="K346" s="19">
        <f>(1 + ([eq_growth_f3] + [eq_income_f3]) / 100)^(1/12) - 1</f>
        <v/>
      </c>
      <c r="L346" s="19">
        <f>(1 + ([eq_growth_f4] + [eq_income_f4]) / 100)^(1/12) - 1</f>
        <v/>
      </c>
      <c r="M346" s="19">
        <f>(1 + ([eq_growth_f5] + [eq_income_f5]) / 100)^(1/12) - 1</f>
        <v/>
      </c>
      <c r="N346" s="19">
        <f>(1 + ([eq_growth_f6] + [eq_income_f6]) / 100)^(1/12) - 1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>
        <f>(1 + ([eq_growth_f1] + [eq_income_f1]) / 100)^(1/12) - 1</f>
        <v/>
      </c>
      <c r="J347" s="21">
        <f>(1 + ([eq_growth_f2] + [eq_income_f2]) / 100)^(1/12) - 1</f>
        <v/>
      </c>
      <c r="K347" s="21">
        <f>(1 + ([eq_growth_f3] + [eq_income_f3]) / 100)^(1/12) - 1</f>
        <v/>
      </c>
      <c r="L347" s="21">
        <f>(1 + ([eq_growth_f4] + [eq_income_f4]) / 100)^(1/12) - 1</f>
        <v/>
      </c>
      <c r="M347" s="21">
        <f>(1 + ([eq_growth_f5] + [eq_income_f5]) / 100)^(1/12) - 1</f>
        <v/>
      </c>
      <c r="N347" s="21">
        <f>(1 + ([eq_growth_f6] + [eq_income_f6]) / 100)^(1/12) - 1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>
        <f>(1 + ([eq_growth_f1] + [eq_income_f1]) / 100)^(1/12) - 1</f>
        <v/>
      </c>
      <c r="J348" s="19">
        <f>(1 + ([eq_growth_f2] + [eq_income_f2]) / 100)^(1/12) - 1</f>
        <v/>
      </c>
      <c r="K348" s="19">
        <f>(1 + ([eq_growth_f3] + [eq_income_f3]) / 100)^(1/12) - 1</f>
        <v/>
      </c>
      <c r="L348" s="19">
        <f>(1 + ([eq_growth_f4] + [eq_income_f4]) / 100)^(1/12) - 1</f>
        <v/>
      </c>
      <c r="M348" s="19">
        <f>(1 + ([eq_growth_f5] + [eq_income_f5]) / 100)^(1/12) - 1</f>
        <v/>
      </c>
      <c r="N348" s="19">
        <f>(1 + ([eq_growth_f6] + [eq_income_f6]) / 100)^(1/12) - 1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>
        <f>(1 + ([eq_growth_f1] + [eq_income_f1]) / 100)^(1/12) - 1</f>
        <v/>
      </c>
      <c r="J349" s="21">
        <f>(1 + ([eq_growth_f2] + [eq_income_f2]) / 100)^(1/12) - 1</f>
        <v/>
      </c>
      <c r="K349" s="21">
        <f>(1 + ([eq_growth_f3] + [eq_income_f3]) / 100)^(1/12) - 1</f>
        <v/>
      </c>
      <c r="L349" s="21">
        <f>(1 + ([eq_growth_f4] + [eq_income_f4]) / 100)^(1/12) - 1</f>
        <v/>
      </c>
      <c r="M349" s="21">
        <f>(1 + ([eq_growth_f5] + [eq_income_f5]) / 100)^(1/12) - 1</f>
        <v/>
      </c>
      <c r="N349" s="21">
        <f>(1 + ([eq_growth_f6] + [eq_income_f6]) / 100)^(1/12) - 1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>
        <f>(1 + ([eq_growth_f1] + [eq_income_f1]) / 100)^(1/12) - 1</f>
        <v/>
      </c>
      <c r="J350" s="19">
        <f>(1 + ([eq_growth_f2] + [eq_income_f2]) / 100)^(1/12) - 1</f>
        <v/>
      </c>
      <c r="K350" s="19">
        <f>(1 + ([eq_growth_f3] + [eq_income_f3]) / 100)^(1/12) - 1</f>
        <v/>
      </c>
      <c r="L350" s="19">
        <f>(1 + ([eq_growth_f4] + [eq_income_f4]) / 100)^(1/12) - 1</f>
        <v/>
      </c>
      <c r="M350" s="19">
        <f>(1 + ([eq_growth_f5] + [eq_income_f5]) / 100)^(1/12) - 1</f>
        <v/>
      </c>
      <c r="N350" s="19">
        <f>(1 + ([eq_growth_f6] + [eq_income_f6]) / 100)^(1/12) - 1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>
        <f>(1 + ([eq_growth_f1] + [eq_income_f1]) / 100)^(1/12) - 1</f>
        <v/>
      </c>
      <c r="J351" s="21">
        <f>(1 + ([eq_growth_f2] + [eq_income_f2]) / 100)^(1/12) - 1</f>
        <v/>
      </c>
      <c r="K351" s="21">
        <f>(1 + ([eq_growth_f3] + [eq_income_f3]) / 100)^(1/12) - 1</f>
        <v/>
      </c>
      <c r="L351" s="21">
        <f>(1 + ([eq_growth_f4] + [eq_income_f4]) / 100)^(1/12) - 1</f>
        <v/>
      </c>
      <c r="M351" s="21">
        <f>(1 + ([eq_growth_f5] + [eq_income_f5]) / 100)^(1/12) - 1</f>
        <v/>
      </c>
      <c r="N351" s="21">
        <f>(1 + ([eq_growth_f6] + [eq_income_f6]) / 100)^(1/12) - 1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>
        <f>(1 + ([eq_growth_f1] + [eq_income_f1]) / 100)^(1/12) - 1</f>
        <v/>
      </c>
      <c r="J352" s="19">
        <f>(1 + ([eq_growth_f2] + [eq_income_f2]) / 100)^(1/12) - 1</f>
        <v/>
      </c>
      <c r="K352" s="19">
        <f>(1 + ([eq_growth_f3] + [eq_income_f3]) / 100)^(1/12) - 1</f>
        <v/>
      </c>
      <c r="L352" s="19">
        <f>(1 + ([eq_growth_f4] + [eq_income_f4]) / 100)^(1/12) - 1</f>
        <v/>
      </c>
      <c r="M352" s="19">
        <f>(1 + ([eq_growth_f5] + [eq_income_f5]) / 100)^(1/12) - 1</f>
        <v/>
      </c>
      <c r="N352" s="19">
        <f>(1 + ([eq_growth_f6] + [eq_income_f6]) / 100)^(1/12) - 1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>
        <f>(1 + ([eq_growth_f1] + [eq_income_f1]) / 100)^(1/12) - 1</f>
        <v/>
      </c>
      <c r="J353" s="21">
        <f>(1 + ([eq_growth_f2] + [eq_income_f2]) / 100)^(1/12) - 1</f>
        <v/>
      </c>
      <c r="K353" s="21">
        <f>(1 + ([eq_growth_f3] + [eq_income_f3]) / 100)^(1/12) - 1</f>
        <v/>
      </c>
      <c r="L353" s="21">
        <f>(1 + ([eq_growth_f4] + [eq_income_f4]) / 100)^(1/12) - 1</f>
        <v/>
      </c>
      <c r="M353" s="21">
        <f>(1 + ([eq_growth_f5] + [eq_income_f5]) / 100)^(1/12) - 1</f>
        <v/>
      </c>
      <c r="N353" s="21">
        <f>(1 + ([eq_growth_f6] + [eq_income_f6]) / 100)^(1/12) - 1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>
        <f>(1 + ([eq_growth_f1] + [eq_income_f1]) / 100)^(1/12) - 1</f>
        <v/>
      </c>
      <c r="J354" s="19">
        <f>(1 + ([eq_growth_f2] + [eq_income_f2]) / 100)^(1/12) - 1</f>
        <v/>
      </c>
      <c r="K354" s="19">
        <f>(1 + ([eq_growth_f3] + [eq_income_f3]) / 100)^(1/12) - 1</f>
        <v/>
      </c>
      <c r="L354" s="19">
        <f>(1 + ([eq_growth_f4] + [eq_income_f4]) / 100)^(1/12) - 1</f>
        <v/>
      </c>
      <c r="M354" s="19">
        <f>(1 + ([eq_growth_f5] + [eq_income_f5]) / 100)^(1/12) - 1</f>
        <v/>
      </c>
      <c r="N354" s="19">
        <f>(1 + ([eq_growth_f6] + [eq_income_f6]) / 100)^(1/12) - 1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>
        <f>(1 + ([eq_growth_f1] + [eq_income_f1]) / 100)^(1/12) - 1</f>
        <v/>
      </c>
      <c r="J355" s="21">
        <f>(1 + ([eq_growth_f2] + [eq_income_f2]) / 100)^(1/12) - 1</f>
        <v/>
      </c>
      <c r="K355" s="21">
        <f>(1 + ([eq_growth_f3] + [eq_income_f3]) / 100)^(1/12) - 1</f>
        <v/>
      </c>
      <c r="L355" s="21">
        <f>(1 + ([eq_growth_f4] + [eq_income_f4]) / 100)^(1/12) - 1</f>
        <v/>
      </c>
      <c r="M355" s="21">
        <f>(1 + ([eq_growth_f5] + [eq_income_f5]) / 100)^(1/12) - 1</f>
        <v/>
      </c>
      <c r="N355" s="21">
        <f>(1 + ([eq_growth_f6] + [eq_income_f6]) / 100)^(1/12) - 1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>
        <f>(1 + ([eq_growth_f1] + [eq_income_f1]) / 100)^(1/12) - 1</f>
        <v/>
      </c>
      <c r="J356" s="19">
        <f>(1 + ([eq_growth_f2] + [eq_income_f2]) / 100)^(1/12) - 1</f>
        <v/>
      </c>
      <c r="K356" s="19">
        <f>(1 + ([eq_growth_f3] + [eq_income_f3]) / 100)^(1/12) - 1</f>
        <v/>
      </c>
      <c r="L356" s="19">
        <f>(1 + ([eq_growth_f4] + [eq_income_f4]) / 100)^(1/12) - 1</f>
        <v/>
      </c>
      <c r="M356" s="19">
        <f>(1 + ([eq_growth_f5] + [eq_income_f5]) / 100)^(1/12) - 1</f>
        <v/>
      </c>
      <c r="N356" s="19">
        <f>(1 + ([eq_growth_f6] + [eq_income_f6]) / 100)^(1/12) - 1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>
        <f>(1 + ([eq_growth_f1] + [eq_income_f1]) / 100)^(1/12) - 1</f>
        <v/>
      </c>
      <c r="J357" s="21">
        <f>(1 + ([eq_growth_f2] + [eq_income_f2]) / 100)^(1/12) - 1</f>
        <v/>
      </c>
      <c r="K357" s="21">
        <f>(1 + ([eq_growth_f3] + [eq_income_f3]) / 100)^(1/12) - 1</f>
        <v/>
      </c>
      <c r="L357" s="21">
        <f>(1 + ([eq_growth_f4] + [eq_income_f4]) / 100)^(1/12) - 1</f>
        <v/>
      </c>
      <c r="M357" s="21">
        <f>(1 + ([eq_growth_f5] + [eq_income_f5]) / 100)^(1/12) - 1</f>
        <v/>
      </c>
      <c r="N357" s="21">
        <f>(1 + ([eq_growth_f6] + [eq_income_f6]) / 100)^(1/12) - 1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>
        <f>(1 + ([eq_growth_f1] + [eq_income_f1]) / 100)^(1/12) - 1</f>
        <v/>
      </c>
      <c r="J358" s="19">
        <f>(1 + ([eq_growth_f2] + [eq_income_f2]) / 100)^(1/12) - 1</f>
        <v/>
      </c>
      <c r="K358" s="19">
        <f>(1 + ([eq_growth_f3] + [eq_income_f3]) / 100)^(1/12) - 1</f>
        <v/>
      </c>
      <c r="L358" s="19">
        <f>(1 + ([eq_growth_f4] + [eq_income_f4]) / 100)^(1/12) - 1</f>
        <v/>
      </c>
      <c r="M358" s="19">
        <f>(1 + ([eq_growth_f5] + [eq_income_f5]) / 100)^(1/12) - 1</f>
        <v/>
      </c>
      <c r="N358" s="19">
        <f>(1 + ([eq_growth_f6] + [eq_income_f6]) / 100)^(1/12) - 1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>
        <f>(1 + ([eq_growth_f1] + [eq_income_f1]) / 100)^(1/12) - 1</f>
        <v/>
      </c>
      <c r="J359" s="21">
        <f>(1 + ([eq_growth_f2] + [eq_income_f2]) / 100)^(1/12) - 1</f>
        <v/>
      </c>
      <c r="K359" s="21">
        <f>(1 + ([eq_growth_f3] + [eq_income_f3]) / 100)^(1/12) - 1</f>
        <v/>
      </c>
      <c r="L359" s="21">
        <f>(1 + ([eq_growth_f4] + [eq_income_f4]) / 100)^(1/12) - 1</f>
        <v/>
      </c>
      <c r="M359" s="21">
        <f>(1 + ([eq_growth_f5] + [eq_income_f5]) / 100)^(1/12) - 1</f>
        <v/>
      </c>
      <c r="N359" s="21">
        <f>(1 + ([eq_growth_f6] + [eq_income_f6]) / 100)^(1/12) - 1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>
        <f>(1 + ([eq_growth_f1] + [eq_income_f1]) / 100)^(1/12) - 1</f>
        <v/>
      </c>
      <c r="J360" s="19">
        <f>(1 + ([eq_growth_f2] + [eq_income_f2]) / 100)^(1/12) - 1</f>
        <v/>
      </c>
      <c r="K360" s="19">
        <f>(1 + ([eq_growth_f3] + [eq_income_f3]) / 100)^(1/12) - 1</f>
        <v/>
      </c>
      <c r="L360" s="19">
        <f>(1 + ([eq_growth_f4] + [eq_income_f4]) / 100)^(1/12) - 1</f>
        <v/>
      </c>
      <c r="M360" s="19">
        <f>(1 + ([eq_growth_f5] + [eq_income_f5]) / 100)^(1/12) - 1</f>
        <v/>
      </c>
      <c r="N360" s="19">
        <f>(1 + ([eq_growth_f6] + [eq_income_f6]) / 100)^(1/12) - 1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>
        <f>(1 + ([eq_growth_f1] + [eq_income_f1]) / 100)^(1/12) - 1</f>
        <v/>
      </c>
      <c r="J361" s="21">
        <f>(1 + ([eq_growth_f2] + [eq_income_f2]) / 100)^(1/12) - 1</f>
        <v/>
      </c>
      <c r="K361" s="21">
        <f>(1 + ([eq_growth_f3] + [eq_income_f3]) / 100)^(1/12) - 1</f>
        <v/>
      </c>
      <c r="L361" s="21">
        <f>(1 + ([eq_growth_f4] + [eq_income_f4]) / 100)^(1/12) - 1</f>
        <v/>
      </c>
      <c r="M361" s="21">
        <f>(1 + ([eq_growth_f5] + [eq_income_f5]) / 100)^(1/12) - 1</f>
        <v/>
      </c>
      <c r="N361" s="21">
        <f>(1 + ([eq_growth_f6] + [eq_income_f6]) / 100)^(1/12) - 1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>
        <f>(1 + ([eq_growth_f1] + [eq_income_f1]) / 100)^(1/12) - 1</f>
        <v/>
      </c>
      <c r="J362" s="19">
        <f>(1 + ([eq_growth_f2] + [eq_income_f2]) / 100)^(1/12) - 1</f>
        <v/>
      </c>
      <c r="K362" s="19">
        <f>(1 + ([eq_growth_f3] + [eq_income_f3]) / 100)^(1/12) - 1</f>
        <v/>
      </c>
      <c r="L362" s="19">
        <f>(1 + ([eq_growth_f4] + [eq_income_f4]) / 100)^(1/12) - 1</f>
        <v/>
      </c>
      <c r="M362" s="19">
        <f>(1 + ([eq_growth_f5] + [eq_income_f5]) / 100)^(1/12) - 1</f>
        <v/>
      </c>
      <c r="N362" s="19">
        <f>(1 + ([eq_growth_f6] + [eq_income_f6]) / 100)^(1/12) - 1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>
        <f>(1 + ([eq_growth_f1] + [eq_income_f1]) / 100)^(1/12) - 1</f>
        <v/>
      </c>
      <c r="J363" s="21">
        <f>(1 + ([eq_growth_f2] + [eq_income_f2]) / 100)^(1/12) - 1</f>
        <v/>
      </c>
      <c r="K363" s="21">
        <f>(1 + ([eq_growth_f3] + [eq_income_f3]) / 100)^(1/12) - 1</f>
        <v/>
      </c>
      <c r="L363" s="21">
        <f>(1 + ([eq_growth_f4] + [eq_income_f4]) / 100)^(1/12) - 1</f>
        <v/>
      </c>
      <c r="M363" s="21">
        <f>(1 + ([eq_growth_f5] + [eq_income_f5]) / 100)^(1/12) - 1</f>
        <v/>
      </c>
      <c r="N363" s="21">
        <f>(1 + ([eq_growth_f6] + [eq_income_f6]) / 100)^(1/12) - 1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>
        <f>(1 + ([eq_growth_f1] + [eq_income_f1]) / 100)^(1/12) - 1</f>
        <v/>
      </c>
      <c r="J364" s="19">
        <f>(1 + ([eq_growth_f2] + [eq_income_f2]) / 100)^(1/12) - 1</f>
        <v/>
      </c>
      <c r="K364" s="19">
        <f>(1 + ([eq_growth_f3] + [eq_income_f3]) / 100)^(1/12) - 1</f>
        <v/>
      </c>
      <c r="L364" s="19">
        <f>(1 + ([eq_growth_f4] + [eq_income_f4]) / 100)^(1/12) - 1</f>
        <v/>
      </c>
      <c r="M364" s="19">
        <f>(1 + ([eq_growth_f5] + [eq_income_f5]) / 100)^(1/12) - 1</f>
        <v/>
      </c>
      <c r="N364" s="19">
        <f>(1 + ([eq_growth_f6] + [eq_income_f6]) / 100)^(1/12) - 1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>
        <f>(1 + ([eq_growth_f1] + [eq_income_f1]) / 100)^(1/12) - 1</f>
        <v/>
      </c>
      <c r="J365" s="21">
        <f>(1 + ([eq_growth_f2] + [eq_income_f2]) / 100)^(1/12) - 1</f>
        <v/>
      </c>
      <c r="K365" s="21">
        <f>(1 + ([eq_growth_f3] + [eq_income_f3]) / 100)^(1/12) - 1</f>
        <v/>
      </c>
      <c r="L365" s="21">
        <f>(1 + ([eq_growth_f4] + [eq_income_f4]) / 100)^(1/12) - 1</f>
        <v/>
      </c>
      <c r="M365" s="21">
        <f>(1 + ([eq_growth_f5] + [eq_income_f5]) / 100)^(1/12) - 1</f>
        <v/>
      </c>
      <c r="N365" s="21">
        <f>(1 + ([eq_growth_f6] + [eq_income_f6]) / 100)^(1/12) - 1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>
        <f>(1 + ([eq_growth_f1] + [eq_income_f1]) / 100)^(1/12) - 1</f>
        <v/>
      </c>
      <c r="J366" s="19">
        <f>(1 + ([eq_growth_f2] + [eq_income_f2]) / 100)^(1/12) - 1</f>
        <v/>
      </c>
      <c r="K366" s="19">
        <f>(1 + ([eq_growth_f3] + [eq_income_f3]) / 100)^(1/12) - 1</f>
        <v/>
      </c>
      <c r="L366" s="19">
        <f>(1 + ([eq_growth_f4] + [eq_income_f4]) / 100)^(1/12) - 1</f>
        <v/>
      </c>
      <c r="M366" s="19">
        <f>(1 + ([eq_growth_f5] + [eq_income_f5]) / 100)^(1/12) - 1</f>
        <v/>
      </c>
      <c r="N366" s="19">
        <f>(1 + ([eq_growth_f6] + [eq_income_f6]) / 100)^(1/12) - 1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>
        <f>(1 + ([eq_growth_f1] + [eq_income_f1]) / 100)^(1/12) - 1</f>
        <v/>
      </c>
      <c r="J367" s="21">
        <f>(1 + ([eq_growth_f2] + [eq_income_f2]) / 100)^(1/12) - 1</f>
        <v/>
      </c>
      <c r="K367" s="21">
        <f>(1 + ([eq_growth_f3] + [eq_income_f3]) / 100)^(1/12) - 1</f>
        <v/>
      </c>
      <c r="L367" s="21">
        <f>(1 + ([eq_growth_f4] + [eq_income_f4]) / 100)^(1/12) - 1</f>
        <v/>
      </c>
      <c r="M367" s="21">
        <f>(1 + ([eq_growth_f5] + [eq_income_f5]) / 100)^(1/12) - 1</f>
        <v/>
      </c>
      <c r="N367" s="21">
        <f>(1 + ([eq_growth_f6] + [eq_income_f6]) / 100)^(1/12) - 1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>
        <f>(1 + ([eq_growth_f1] + [eq_income_f1]) / 100)^(1/12) - 1</f>
        <v/>
      </c>
      <c r="J368" s="19">
        <f>(1 + ([eq_growth_f2] + [eq_income_f2]) / 100)^(1/12) - 1</f>
        <v/>
      </c>
      <c r="K368" s="19">
        <f>(1 + ([eq_growth_f3] + [eq_income_f3]) / 100)^(1/12) - 1</f>
        <v/>
      </c>
      <c r="L368" s="19">
        <f>(1 + ([eq_growth_f4] + [eq_income_f4]) / 100)^(1/12) - 1</f>
        <v/>
      </c>
      <c r="M368" s="19">
        <f>(1 + ([eq_growth_f5] + [eq_income_f5]) / 100)^(1/12) - 1</f>
        <v/>
      </c>
      <c r="N368" s="19">
        <f>(1 + ([eq_growth_f6] + [eq_income_f6]) / 100)^(1/12) - 1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>
        <f>(1 + ([eq_growth_f1] + [eq_income_f1]) / 100)^(1/12) - 1</f>
        <v/>
      </c>
      <c r="J369" s="21">
        <f>(1 + ([eq_growth_f2] + [eq_income_f2]) / 100)^(1/12) - 1</f>
        <v/>
      </c>
      <c r="K369" s="21">
        <f>(1 + ([eq_growth_f3] + [eq_income_f3]) / 100)^(1/12) - 1</f>
        <v/>
      </c>
      <c r="L369" s="21">
        <f>(1 + ([eq_growth_f4] + [eq_income_f4]) / 100)^(1/12) - 1</f>
        <v/>
      </c>
      <c r="M369" s="21">
        <f>(1 + ([eq_growth_f5] + [eq_income_f5]) / 100)^(1/12) - 1</f>
        <v/>
      </c>
      <c r="N369" s="21">
        <f>(1 + ([eq_growth_f6] + [eq_income_f6]) / 100)^(1/12) - 1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>
        <f>(1 + ([eq_growth_f1] + [eq_income_f1]) / 100)^(1/12) - 1</f>
        <v/>
      </c>
      <c r="J370" s="19">
        <f>(1 + ([eq_growth_f2] + [eq_income_f2]) / 100)^(1/12) - 1</f>
        <v/>
      </c>
      <c r="K370" s="19">
        <f>(1 + ([eq_growth_f3] + [eq_income_f3]) / 100)^(1/12) - 1</f>
        <v/>
      </c>
      <c r="L370" s="19">
        <f>(1 + ([eq_growth_f4] + [eq_income_f4]) / 100)^(1/12) - 1</f>
        <v/>
      </c>
      <c r="M370" s="19">
        <f>(1 + ([eq_growth_f5] + [eq_income_f5]) / 100)^(1/12) - 1</f>
        <v/>
      </c>
      <c r="N370" s="19">
        <f>(1 + ([eq_growth_f6] + [eq_income_f6]) / 100)^(1/12) - 1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>
        <f>(1 + ([eq_growth_f1] + [eq_income_f1]) / 100)^(1/12) - 1</f>
        <v/>
      </c>
      <c r="J371" s="21">
        <f>(1 + ([eq_growth_f2] + [eq_income_f2]) / 100)^(1/12) - 1</f>
        <v/>
      </c>
      <c r="K371" s="21">
        <f>(1 + ([eq_growth_f3] + [eq_income_f3]) / 100)^(1/12) - 1</f>
        <v/>
      </c>
      <c r="L371" s="21">
        <f>(1 + ([eq_growth_f4] + [eq_income_f4]) / 100)^(1/12) - 1</f>
        <v/>
      </c>
      <c r="M371" s="21">
        <f>(1 + ([eq_growth_f5] + [eq_income_f5]) / 100)^(1/12) - 1</f>
        <v/>
      </c>
      <c r="N371" s="21">
        <f>(1 + ([eq_growth_f6] + [eq_income_f6]) / 100)^(1/12) - 1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>
        <f>(1 + ([eq_growth_f1] + [eq_income_f1]) / 100)^(1/12) - 1</f>
        <v/>
      </c>
      <c r="J372" s="19">
        <f>(1 + ([eq_growth_f2] + [eq_income_f2]) / 100)^(1/12) - 1</f>
        <v/>
      </c>
      <c r="K372" s="19">
        <f>(1 + ([eq_growth_f3] + [eq_income_f3]) / 100)^(1/12) - 1</f>
        <v/>
      </c>
      <c r="L372" s="19">
        <f>(1 + ([eq_growth_f4] + [eq_income_f4]) / 100)^(1/12) - 1</f>
        <v/>
      </c>
      <c r="M372" s="19">
        <f>(1 + ([eq_growth_f5] + [eq_income_f5]) / 100)^(1/12) - 1</f>
        <v/>
      </c>
      <c r="N372" s="19">
        <f>(1 + ([eq_growth_f6] + [eq_income_f6]) / 100)^(1/12) - 1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>
        <f>(1 + ([eq_growth_f1] + [eq_income_f1]) / 100)^(1/12) - 1</f>
        <v/>
      </c>
      <c r="J373" s="21">
        <f>(1 + ([eq_growth_f2] + [eq_income_f2]) / 100)^(1/12) - 1</f>
        <v/>
      </c>
      <c r="K373" s="21">
        <f>(1 + ([eq_growth_f3] + [eq_income_f3]) / 100)^(1/12) - 1</f>
        <v/>
      </c>
      <c r="L373" s="21">
        <f>(1 + ([eq_growth_f4] + [eq_income_f4]) / 100)^(1/12) - 1</f>
        <v/>
      </c>
      <c r="M373" s="21">
        <f>(1 + ([eq_growth_f5] + [eq_income_f5]) / 100)^(1/12) - 1</f>
        <v/>
      </c>
      <c r="N373" s="21">
        <f>(1 + ([eq_growth_f6] + [eq_income_f6]) / 100)^(1/12) - 1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>
        <f>(1 + ([eq_growth_f1] + [eq_income_f1]) / 100)^(1/12) - 1</f>
        <v/>
      </c>
      <c r="J374" s="19">
        <f>(1 + ([eq_growth_f2] + [eq_income_f2]) / 100)^(1/12) - 1</f>
        <v/>
      </c>
      <c r="K374" s="19">
        <f>(1 + ([eq_growth_f3] + [eq_income_f3]) / 100)^(1/12) - 1</f>
        <v/>
      </c>
      <c r="L374" s="19">
        <f>(1 + ([eq_growth_f4] + [eq_income_f4]) / 100)^(1/12) - 1</f>
        <v/>
      </c>
      <c r="M374" s="19">
        <f>(1 + ([eq_growth_f5] + [eq_income_f5]) / 100)^(1/12) - 1</f>
        <v/>
      </c>
      <c r="N374" s="19">
        <f>(1 + ([eq_growth_f6] + [eq_income_f6]) / 100)^(1/12) - 1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>
        <f>(1 + ([eq_growth_f1] + [eq_income_f1]) / 100)^(1/12) - 1</f>
        <v/>
      </c>
      <c r="J375" s="21">
        <f>(1 + ([eq_growth_f2] + [eq_income_f2]) / 100)^(1/12) - 1</f>
        <v/>
      </c>
      <c r="K375" s="21">
        <f>(1 + ([eq_growth_f3] + [eq_income_f3]) / 100)^(1/12) - 1</f>
        <v/>
      </c>
      <c r="L375" s="21">
        <f>(1 + ([eq_growth_f4] + [eq_income_f4]) / 100)^(1/12) - 1</f>
        <v/>
      </c>
      <c r="M375" s="21">
        <f>(1 + ([eq_growth_f5] + [eq_income_f5]) / 100)^(1/12) - 1</f>
        <v/>
      </c>
      <c r="N375" s="21">
        <f>(1 + ([eq_growth_f6] + [eq_income_f6]) / 100)^(1/12) - 1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>
        <f>(1 + ([eq_growth_f1] + [eq_income_f1]) / 100)^(1/12) - 1</f>
        <v/>
      </c>
      <c r="J376" s="19">
        <f>(1 + ([eq_growth_f2] + [eq_income_f2]) / 100)^(1/12) - 1</f>
        <v/>
      </c>
      <c r="K376" s="19">
        <f>(1 + ([eq_growth_f3] + [eq_income_f3]) / 100)^(1/12) - 1</f>
        <v/>
      </c>
      <c r="L376" s="19">
        <f>(1 + ([eq_growth_f4] + [eq_income_f4]) / 100)^(1/12) - 1</f>
        <v/>
      </c>
      <c r="M376" s="19">
        <f>(1 + ([eq_growth_f5] + [eq_income_f5]) / 100)^(1/12) - 1</f>
        <v/>
      </c>
      <c r="N376" s="19">
        <f>(1 + ([eq_growth_f6] + [eq_income_f6]) / 100)^(1/12) - 1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>
        <f>(1 + ([eq_growth_f1] + [eq_income_f1]) / 100)^(1/12) - 1</f>
        <v/>
      </c>
      <c r="J377" s="21">
        <f>(1 + ([eq_growth_f2] + [eq_income_f2]) / 100)^(1/12) - 1</f>
        <v/>
      </c>
      <c r="K377" s="21">
        <f>(1 + ([eq_growth_f3] + [eq_income_f3]) / 100)^(1/12) - 1</f>
        <v/>
      </c>
      <c r="L377" s="21">
        <f>(1 + ([eq_growth_f4] + [eq_income_f4]) / 100)^(1/12) - 1</f>
        <v/>
      </c>
      <c r="M377" s="21">
        <f>(1 + ([eq_growth_f5] + [eq_income_f5]) / 100)^(1/12) - 1</f>
        <v/>
      </c>
      <c r="N377" s="21">
        <f>(1 + ([eq_growth_f6] + [eq_income_f6]) / 100)^(1/12) - 1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>
        <f>(1 + ([eq_growth_f1] + [eq_income_f1]) / 100)^(1/12) - 1</f>
        <v/>
      </c>
      <c r="J378" s="19">
        <f>(1 + ([eq_growth_f2] + [eq_income_f2]) / 100)^(1/12) - 1</f>
        <v/>
      </c>
      <c r="K378" s="19">
        <f>(1 + ([eq_growth_f3] + [eq_income_f3]) / 100)^(1/12) - 1</f>
        <v/>
      </c>
      <c r="L378" s="19">
        <f>(1 + ([eq_growth_f4] + [eq_income_f4]) / 100)^(1/12) - 1</f>
        <v/>
      </c>
      <c r="M378" s="19">
        <f>(1 + ([eq_growth_f5] + [eq_income_f5]) / 100)^(1/12) - 1</f>
        <v/>
      </c>
      <c r="N378" s="19">
        <f>(1 + ([eq_growth_f6] + [eq_income_f6]) / 100)^(1/12) - 1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>
        <f>(1 + ([eq_growth_f1] + [eq_income_f1]) / 100)^(1/12) - 1</f>
        <v/>
      </c>
      <c r="J379" s="21">
        <f>(1 + ([eq_growth_f2] + [eq_income_f2]) / 100)^(1/12) - 1</f>
        <v/>
      </c>
      <c r="K379" s="21">
        <f>(1 + ([eq_growth_f3] + [eq_income_f3]) / 100)^(1/12) - 1</f>
        <v/>
      </c>
      <c r="L379" s="21">
        <f>(1 + ([eq_growth_f4] + [eq_income_f4]) / 100)^(1/12) - 1</f>
        <v/>
      </c>
      <c r="M379" s="21">
        <f>(1 + ([eq_growth_f5] + [eq_income_f5]) / 100)^(1/12) - 1</f>
        <v/>
      </c>
      <c r="N379" s="21">
        <f>(1 + ([eq_growth_f6] + [eq_income_f6]) / 100)^(1/12) - 1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>
        <f>(1 + ([eq_growth_f1] + [eq_income_f1]) / 100)^(1/12) - 1</f>
        <v/>
      </c>
      <c r="J380" s="19">
        <f>(1 + ([eq_growth_f2] + [eq_income_f2]) / 100)^(1/12) - 1</f>
        <v/>
      </c>
      <c r="K380" s="19">
        <f>(1 + ([eq_growth_f3] + [eq_income_f3]) / 100)^(1/12) - 1</f>
        <v/>
      </c>
      <c r="L380" s="19">
        <f>(1 + ([eq_growth_f4] + [eq_income_f4]) / 100)^(1/12) - 1</f>
        <v/>
      </c>
      <c r="M380" s="19">
        <f>(1 + ([eq_growth_f5] + [eq_income_f5]) / 100)^(1/12) - 1</f>
        <v/>
      </c>
      <c r="N380" s="19">
        <f>(1 + ([eq_growth_f6] + [eq_income_f6]) / 100)^(1/12) - 1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>
        <f>(1 + ([eq_growth_f1] + [eq_income_f1]) / 100)^(1/12) - 1</f>
        <v/>
      </c>
      <c r="J381" s="21">
        <f>(1 + ([eq_growth_f2] + [eq_income_f2]) / 100)^(1/12) - 1</f>
        <v/>
      </c>
      <c r="K381" s="21">
        <f>(1 + ([eq_growth_f3] + [eq_income_f3]) / 100)^(1/12) - 1</f>
        <v/>
      </c>
      <c r="L381" s="21">
        <f>(1 + ([eq_growth_f4] + [eq_income_f4]) / 100)^(1/12) - 1</f>
        <v/>
      </c>
      <c r="M381" s="21">
        <f>(1 + ([eq_growth_f5] + [eq_income_f5]) / 100)^(1/12) - 1</f>
        <v/>
      </c>
      <c r="N381" s="21">
        <f>(1 + ([eq_growth_f6] + [eq_income_f6]) / 100)^(1/12) - 1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>
        <f>(1 + ([eq_growth_f1] + [eq_income_f1]) / 100)^(1/12) - 1</f>
        <v/>
      </c>
      <c r="J382" s="19">
        <f>(1 + ([eq_growth_f2] + [eq_income_f2]) / 100)^(1/12) - 1</f>
        <v/>
      </c>
      <c r="K382" s="19">
        <f>(1 + ([eq_growth_f3] + [eq_income_f3]) / 100)^(1/12) - 1</f>
        <v/>
      </c>
      <c r="L382" s="19">
        <f>(1 + ([eq_growth_f4] + [eq_income_f4]) / 100)^(1/12) - 1</f>
        <v/>
      </c>
      <c r="M382" s="19">
        <f>(1 + ([eq_growth_f5] + [eq_income_f5]) / 100)^(1/12) - 1</f>
        <v/>
      </c>
      <c r="N382" s="19">
        <f>(1 + ([eq_growth_f6] + [eq_income_f6]) / 100)^(1/12) - 1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>
        <f>(1 + ([eq_growth_f1] + [eq_income_f1]) / 100)^(1/12) - 1</f>
        <v/>
      </c>
      <c r="J383" s="21">
        <f>(1 + ([eq_growth_f2] + [eq_income_f2]) / 100)^(1/12) - 1</f>
        <v/>
      </c>
      <c r="K383" s="21">
        <f>(1 + ([eq_growth_f3] + [eq_income_f3]) / 100)^(1/12) - 1</f>
        <v/>
      </c>
      <c r="L383" s="21">
        <f>(1 + ([eq_growth_f4] + [eq_income_f4]) / 100)^(1/12) - 1</f>
        <v/>
      </c>
      <c r="M383" s="21">
        <f>(1 + ([eq_growth_f5] + [eq_income_f5]) / 100)^(1/12) - 1</f>
        <v/>
      </c>
      <c r="N383" s="21">
        <f>(1 + ([eq_growth_f6] + [eq_income_f6]) / 100)^(1/12) - 1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>
        <f>(1 + ([eq_growth_f1] + [eq_income_f1]) / 100)^(1/12) - 1</f>
        <v/>
      </c>
      <c r="J384" s="19">
        <f>(1 + ([eq_growth_f2] + [eq_income_f2]) / 100)^(1/12) - 1</f>
        <v/>
      </c>
      <c r="K384" s="19">
        <f>(1 + ([eq_growth_f3] + [eq_income_f3]) / 100)^(1/12) - 1</f>
        <v/>
      </c>
      <c r="L384" s="19">
        <f>(1 + ([eq_growth_f4] + [eq_income_f4]) / 100)^(1/12) - 1</f>
        <v/>
      </c>
      <c r="M384" s="19">
        <f>(1 + ([eq_growth_f5] + [eq_income_f5]) / 100)^(1/12) - 1</f>
        <v/>
      </c>
      <c r="N384" s="19">
        <f>(1 + ([eq_growth_f6] + [eq_income_f6]) / 100)^(1/12) - 1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>
        <f>(1 + ([eq_growth_f1] + [eq_income_f1]) / 100)^(1/12) - 1</f>
        <v/>
      </c>
      <c r="J385" s="21">
        <f>(1 + ([eq_growth_f2] + [eq_income_f2]) / 100)^(1/12) - 1</f>
        <v/>
      </c>
      <c r="K385" s="21">
        <f>(1 + ([eq_growth_f3] + [eq_income_f3]) / 100)^(1/12) - 1</f>
        <v/>
      </c>
      <c r="L385" s="21">
        <f>(1 + ([eq_growth_f4] + [eq_income_f4]) / 100)^(1/12) - 1</f>
        <v/>
      </c>
      <c r="M385" s="21">
        <f>(1 + ([eq_growth_f5] + [eq_income_f5]) / 100)^(1/12) - 1</f>
        <v/>
      </c>
      <c r="N385" s="21">
        <f>(1 + ([eq_growth_f6] + [eq_income_f6]) / 100)^(1/12) - 1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>
        <f>(1 + ([eq_growth_f1] + [eq_income_f1]) / 100)^(1/12) - 1</f>
        <v/>
      </c>
      <c r="J386" s="19">
        <f>(1 + ([eq_growth_f2] + [eq_income_f2]) / 100)^(1/12) - 1</f>
        <v/>
      </c>
      <c r="K386" s="19">
        <f>(1 + ([eq_growth_f3] + [eq_income_f3]) / 100)^(1/12) - 1</f>
        <v/>
      </c>
      <c r="L386" s="19">
        <f>(1 + ([eq_growth_f4] + [eq_income_f4]) / 100)^(1/12) - 1</f>
        <v/>
      </c>
      <c r="M386" s="19">
        <f>(1 + ([eq_growth_f5] + [eq_income_f5]) / 100)^(1/12) - 1</f>
        <v/>
      </c>
      <c r="N386" s="19">
        <f>(1 + ([eq_growth_f6] + [eq_income_f6]) / 100)^(1/12) - 1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>
        <f>(1 + ([eq_growth_f1] + [eq_income_f1]) / 100)^(1/12) - 1</f>
        <v/>
      </c>
      <c r="J387" s="21">
        <f>(1 + ([eq_growth_f2] + [eq_income_f2]) / 100)^(1/12) - 1</f>
        <v/>
      </c>
      <c r="K387" s="21">
        <f>(1 + ([eq_growth_f3] + [eq_income_f3]) / 100)^(1/12) - 1</f>
        <v/>
      </c>
      <c r="L387" s="21">
        <f>(1 + ([eq_growth_f4] + [eq_income_f4]) / 100)^(1/12) - 1</f>
        <v/>
      </c>
      <c r="M387" s="21">
        <f>(1 + ([eq_growth_f5] + [eq_income_f5]) / 100)^(1/12) - 1</f>
        <v/>
      </c>
      <c r="N387" s="21">
        <f>(1 + ([eq_growth_f6] + [eq_income_f6]) / 100)^(1/12) - 1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>
        <f>(1 + ([eq_growth_f1] + [eq_income_f1]) / 100)^(1/12) - 1</f>
        <v/>
      </c>
      <c r="J388" s="19">
        <f>(1 + ([eq_growth_f2] + [eq_income_f2]) / 100)^(1/12) - 1</f>
        <v/>
      </c>
      <c r="K388" s="19">
        <f>(1 + ([eq_growth_f3] + [eq_income_f3]) / 100)^(1/12) - 1</f>
        <v/>
      </c>
      <c r="L388" s="19">
        <f>(1 + ([eq_growth_f4] + [eq_income_f4]) / 100)^(1/12) - 1</f>
        <v/>
      </c>
      <c r="M388" s="19">
        <f>(1 + ([eq_growth_f5] + [eq_income_f5]) / 100)^(1/12) - 1</f>
        <v/>
      </c>
      <c r="N388" s="19">
        <f>(1 + ([eq_growth_f6] + [eq_income_f6]) / 100)^(1/12) - 1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>
        <f>(1 + ([eq_growth_f1] + [eq_income_f1]) / 100)^(1/12) - 1</f>
        <v/>
      </c>
      <c r="J389" s="21">
        <f>(1 + ([eq_growth_f2] + [eq_income_f2]) / 100)^(1/12) - 1</f>
        <v/>
      </c>
      <c r="K389" s="21">
        <f>(1 + ([eq_growth_f3] + [eq_income_f3]) / 100)^(1/12) - 1</f>
        <v/>
      </c>
      <c r="L389" s="21">
        <f>(1 + ([eq_growth_f4] + [eq_income_f4]) / 100)^(1/12) - 1</f>
        <v/>
      </c>
      <c r="M389" s="21">
        <f>(1 + ([eq_growth_f5] + [eq_income_f5]) / 100)^(1/12) - 1</f>
        <v/>
      </c>
      <c r="N389" s="21">
        <f>(1 + ([eq_growth_f6] + [eq_income_f6]) / 100)^(1/12) - 1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>
        <f>(1 + ([eq_growth_f1] + [eq_income_f1]) / 100)^(1/12) - 1</f>
        <v/>
      </c>
      <c r="J390" s="19">
        <f>(1 + ([eq_growth_f2] + [eq_income_f2]) / 100)^(1/12) - 1</f>
        <v/>
      </c>
      <c r="K390" s="19">
        <f>(1 + ([eq_growth_f3] + [eq_income_f3]) / 100)^(1/12) - 1</f>
        <v/>
      </c>
      <c r="L390" s="19">
        <f>(1 + ([eq_growth_f4] + [eq_income_f4]) / 100)^(1/12) - 1</f>
        <v/>
      </c>
      <c r="M390" s="19">
        <f>(1 + ([eq_growth_f5] + [eq_income_f5]) / 100)^(1/12) - 1</f>
        <v/>
      </c>
      <c r="N390" s="19">
        <f>(1 + ([eq_growth_f6] + [eq_income_f6]) / 100)^(1/12) - 1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>
        <f>(1 + ([eq_growth_f1] + [eq_income_f1]) / 100)^(1/12) - 1</f>
        <v/>
      </c>
      <c r="J391" s="21">
        <f>(1 + ([eq_growth_f2] + [eq_income_f2]) / 100)^(1/12) - 1</f>
        <v/>
      </c>
      <c r="K391" s="21">
        <f>(1 + ([eq_growth_f3] + [eq_income_f3]) / 100)^(1/12) - 1</f>
        <v/>
      </c>
      <c r="L391" s="21">
        <f>(1 + ([eq_growth_f4] + [eq_income_f4]) / 100)^(1/12) - 1</f>
        <v/>
      </c>
      <c r="M391" s="21">
        <f>(1 + ([eq_growth_f5] + [eq_income_f5]) / 100)^(1/12) - 1</f>
        <v/>
      </c>
      <c r="N391" s="21">
        <f>(1 + ([eq_growth_f6] + [eq_income_f6]) / 100)^(1/12) - 1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>
        <f>(1 + ([eq_growth_f1] + [eq_income_f1]) / 100)^(1/12) - 1</f>
        <v/>
      </c>
      <c r="J392" s="19">
        <f>(1 + ([eq_growth_f2] + [eq_income_f2]) / 100)^(1/12) - 1</f>
        <v/>
      </c>
      <c r="K392" s="19">
        <f>(1 + ([eq_growth_f3] + [eq_income_f3]) / 100)^(1/12) - 1</f>
        <v/>
      </c>
      <c r="L392" s="19">
        <f>(1 + ([eq_growth_f4] + [eq_income_f4]) / 100)^(1/12) - 1</f>
        <v/>
      </c>
      <c r="M392" s="19">
        <f>(1 + ([eq_growth_f5] + [eq_income_f5]) / 100)^(1/12) - 1</f>
        <v/>
      </c>
      <c r="N392" s="19">
        <f>(1 + ([eq_growth_f6] + [eq_income_f6]) / 100)^(1/12) - 1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>
        <f>(1 + ([eq_growth_f1] + [eq_income_f1]) / 100)^(1/12) - 1</f>
        <v/>
      </c>
      <c r="J393" s="21">
        <f>(1 + ([eq_growth_f2] + [eq_income_f2]) / 100)^(1/12) - 1</f>
        <v/>
      </c>
      <c r="K393" s="21">
        <f>(1 + ([eq_growth_f3] + [eq_income_f3]) / 100)^(1/12) - 1</f>
        <v/>
      </c>
      <c r="L393" s="21">
        <f>(1 + ([eq_growth_f4] + [eq_income_f4]) / 100)^(1/12) - 1</f>
        <v/>
      </c>
      <c r="M393" s="21">
        <f>(1 + ([eq_growth_f5] + [eq_income_f5]) / 100)^(1/12) - 1</f>
        <v/>
      </c>
      <c r="N393" s="21">
        <f>(1 + ([eq_growth_f6] + [eq_income_f6]) / 100)^(1/12) - 1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>
        <f>(1 + ([eq_growth_f1] + [eq_income_f1]) / 100)^(1/12) - 1</f>
        <v/>
      </c>
      <c r="J394" s="19">
        <f>(1 + ([eq_growth_f2] + [eq_income_f2]) / 100)^(1/12) - 1</f>
        <v/>
      </c>
      <c r="K394" s="19">
        <f>(1 + ([eq_growth_f3] + [eq_income_f3]) / 100)^(1/12) - 1</f>
        <v/>
      </c>
      <c r="L394" s="19">
        <f>(1 + ([eq_growth_f4] + [eq_income_f4]) / 100)^(1/12) - 1</f>
        <v/>
      </c>
      <c r="M394" s="19">
        <f>(1 + ([eq_growth_f5] + [eq_income_f5]) / 100)^(1/12) - 1</f>
        <v/>
      </c>
      <c r="N394" s="19">
        <f>(1 + ([eq_growth_f6] + [eq_income_f6]) / 100)^(1/12) - 1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>
        <f>(1 + ([eq_growth_f1] + [eq_income_f1]) / 100)^(1/12) - 1</f>
        <v/>
      </c>
      <c r="J395" s="21">
        <f>(1 + ([eq_growth_f2] + [eq_income_f2]) / 100)^(1/12) - 1</f>
        <v/>
      </c>
      <c r="K395" s="21">
        <f>(1 + ([eq_growth_f3] + [eq_income_f3]) / 100)^(1/12) - 1</f>
        <v/>
      </c>
      <c r="L395" s="21">
        <f>(1 + ([eq_growth_f4] + [eq_income_f4]) / 100)^(1/12) - 1</f>
        <v/>
      </c>
      <c r="M395" s="21">
        <f>(1 + ([eq_growth_f5] + [eq_income_f5]) / 100)^(1/12) - 1</f>
        <v/>
      </c>
      <c r="N395" s="21">
        <f>(1 + ([eq_growth_f6] + [eq_income_f6]) / 100)^(1/12) - 1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>
        <f>(1 + ([eq_growth_f1] + [eq_income_f1]) / 100)^(1/12) - 1</f>
        <v/>
      </c>
      <c r="J396" s="19">
        <f>(1 + ([eq_growth_f2] + [eq_income_f2]) / 100)^(1/12) - 1</f>
        <v/>
      </c>
      <c r="K396" s="19">
        <f>(1 + ([eq_growth_f3] + [eq_income_f3]) / 100)^(1/12) - 1</f>
        <v/>
      </c>
      <c r="L396" s="19">
        <f>(1 + ([eq_growth_f4] + [eq_income_f4]) / 100)^(1/12) - 1</f>
        <v/>
      </c>
      <c r="M396" s="19">
        <f>(1 + ([eq_growth_f5] + [eq_income_f5]) / 100)^(1/12) - 1</f>
        <v/>
      </c>
      <c r="N396" s="19">
        <f>(1 + ([eq_growth_f6] + [eq_income_f6]) / 100)^(1/12) - 1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>
        <f>(1 + ([eq_growth_f1] + [eq_income_f1]) / 100)^(1/12) - 1</f>
        <v/>
      </c>
      <c r="J397" s="21">
        <f>(1 + ([eq_growth_f2] + [eq_income_f2]) / 100)^(1/12) - 1</f>
        <v/>
      </c>
      <c r="K397" s="21">
        <f>(1 + ([eq_growth_f3] + [eq_income_f3]) / 100)^(1/12) - 1</f>
        <v/>
      </c>
      <c r="L397" s="21">
        <f>(1 + ([eq_growth_f4] + [eq_income_f4]) / 100)^(1/12) - 1</f>
        <v/>
      </c>
      <c r="M397" s="21">
        <f>(1 + ([eq_growth_f5] + [eq_income_f5]) / 100)^(1/12) - 1</f>
        <v/>
      </c>
      <c r="N397" s="21">
        <f>(1 + ([eq_growth_f6] + [eq_income_f6]) / 100)^(1/12) - 1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>
        <f>(1 + ([eq_growth_f1] + [eq_income_f1]) / 100)^(1/12) - 1</f>
        <v/>
      </c>
      <c r="J398" s="19">
        <f>(1 + ([eq_growth_f2] + [eq_income_f2]) / 100)^(1/12) - 1</f>
        <v/>
      </c>
      <c r="K398" s="19">
        <f>(1 + ([eq_growth_f3] + [eq_income_f3]) / 100)^(1/12) - 1</f>
        <v/>
      </c>
      <c r="L398" s="19">
        <f>(1 + ([eq_growth_f4] + [eq_income_f4]) / 100)^(1/12) - 1</f>
        <v/>
      </c>
      <c r="M398" s="19">
        <f>(1 + ([eq_growth_f5] + [eq_income_f5]) / 100)^(1/12) - 1</f>
        <v/>
      </c>
      <c r="N398" s="19">
        <f>(1 + ([eq_growth_f6] + [eq_income_f6]) / 100)^(1/12) - 1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>
        <f>(1 + ([eq_growth_f1] + [eq_income_f1]) / 100)^(1/12) - 1</f>
        <v/>
      </c>
      <c r="J399" s="21">
        <f>(1 + ([eq_growth_f2] + [eq_income_f2]) / 100)^(1/12) - 1</f>
        <v/>
      </c>
      <c r="K399" s="21">
        <f>(1 + ([eq_growth_f3] + [eq_income_f3]) / 100)^(1/12) - 1</f>
        <v/>
      </c>
      <c r="L399" s="21">
        <f>(1 + ([eq_growth_f4] + [eq_income_f4]) / 100)^(1/12) - 1</f>
        <v/>
      </c>
      <c r="M399" s="21">
        <f>(1 + ([eq_growth_f5] + [eq_income_f5]) / 100)^(1/12) - 1</f>
        <v/>
      </c>
      <c r="N399" s="21">
        <f>(1 + ([eq_growth_f6] + [eq_income_f6]) / 100)^(1/12) - 1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>
        <f>(1 + ([eq_growth_f1] + [eq_income_f1]) / 100)^(1/12) - 1</f>
        <v/>
      </c>
      <c r="J400" s="19">
        <f>(1 + ([eq_growth_f2] + [eq_income_f2]) / 100)^(1/12) - 1</f>
        <v/>
      </c>
      <c r="K400" s="19">
        <f>(1 + ([eq_growth_f3] + [eq_income_f3]) / 100)^(1/12) - 1</f>
        <v/>
      </c>
      <c r="L400" s="19">
        <f>(1 + ([eq_growth_f4] + [eq_income_f4]) / 100)^(1/12) - 1</f>
        <v/>
      </c>
      <c r="M400" s="19">
        <f>(1 + ([eq_growth_f5] + [eq_income_f5]) / 100)^(1/12) - 1</f>
        <v/>
      </c>
      <c r="N400" s="19">
        <f>(1 + ([eq_growth_f6] + [eq_income_f6]) / 100)^(1/12) - 1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>
        <f>(1 + ([eq_growth_f1] + [eq_income_f1]) / 100)^(1/12) - 1</f>
        <v/>
      </c>
      <c r="J401" s="21">
        <f>(1 + ([eq_growth_f2] + [eq_income_f2]) / 100)^(1/12) - 1</f>
        <v/>
      </c>
      <c r="K401" s="21">
        <f>(1 + ([eq_growth_f3] + [eq_income_f3]) / 100)^(1/12) - 1</f>
        <v/>
      </c>
      <c r="L401" s="21">
        <f>(1 + ([eq_growth_f4] + [eq_income_f4]) / 100)^(1/12) - 1</f>
        <v/>
      </c>
      <c r="M401" s="21">
        <f>(1 + ([eq_growth_f5] + [eq_income_f5]) / 100)^(1/12) - 1</f>
        <v/>
      </c>
      <c r="N401" s="21">
        <f>(1 + ([eq_growth_f6] + [eq_income_f6]) / 100)^(1/12) - 1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>
        <f>(1 + ([eq_growth_f1] + [eq_income_f1]) / 100)^(1/12) - 1</f>
        <v/>
      </c>
      <c r="J402" s="19">
        <f>(1 + ([eq_growth_f2] + [eq_income_f2]) / 100)^(1/12) - 1</f>
        <v/>
      </c>
      <c r="K402" s="19">
        <f>(1 + ([eq_growth_f3] + [eq_income_f3]) / 100)^(1/12) - 1</f>
        <v/>
      </c>
      <c r="L402" s="19">
        <f>(1 + ([eq_growth_f4] + [eq_income_f4]) / 100)^(1/12) - 1</f>
        <v/>
      </c>
      <c r="M402" s="19">
        <f>(1 + ([eq_growth_f5] + [eq_income_f5]) / 100)^(1/12) - 1</f>
        <v/>
      </c>
      <c r="N402" s="19">
        <f>(1 + ([eq_growth_f6] + [eq_income_f6]) / 100)^(1/12) - 1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>
        <f>(1 + ([eq_growth_f1] + [eq_income_f1]) / 100)^(1/12) - 1</f>
        <v/>
      </c>
      <c r="J403" s="21">
        <f>(1 + ([eq_growth_f2] + [eq_income_f2]) / 100)^(1/12) - 1</f>
        <v/>
      </c>
      <c r="K403" s="21">
        <f>(1 + ([eq_growth_f3] + [eq_income_f3]) / 100)^(1/12) - 1</f>
        <v/>
      </c>
      <c r="L403" s="21">
        <f>(1 + ([eq_growth_f4] + [eq_income_f4]) / 100)^(1/12) - 1</f>
        <v/>
      </c>
      <c r="M403" s="21">
        <f>(1 + ([eq_growth_f5] + [eq_income_f5]) / 100)^(1/12) - 1</f>
        <v/>
      </c>
      <c r="N403" s="21">
        <f>(1 + ([eq_growth_f6] + [eq_income_f6]) / 100)^(1/12) - 1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>
        <f>(1 + ([eq_growth_f1] + [eq_income_f1]) / 100)^(1/12) - 1</f>
        <v/>
      </c>
      <c r="J404" s="19">
        <f>(1 + ([eq_growth_f2] + [eq_income_f2]) / 100)^(1/12) - 1</f>
        <v/>
      </c>
      <c r="K404" s="19">
        <f>(1 + ([eq_growth_f3] + [eq_income_f3]) / 100)^(1/12) - 1</f>
        <v/>
      </c>
      <c r="L404" s="19">
        <f>(1 + ([eq_growth_f4] + [eq_income_f4]) / 100)^(1/12) - 1</f>
        <v/>
      </c>
      <c r="M404" s="19">
        <f>(1 + ([eq_growth_f5] + [eq_income_f5]) / 100)^(1/12) - 1</f>
        <v/>
      </c>
      <c r="N404" s="19">
        <f>(1 + ([eq_growth_f6] + [eq_income_f6]) / 100)^(1/12) - 1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>
        <f>(1 + ([eq_growth_f1] + [eq_income_f1]) / 100)^(1/12) - 1</f>
        <v/>
      </c>
      <c r="J405" s="21">
        <f>(1 + ([eq_growth_f2] + [eq_income_f2]) / 100)^(1/12) - 1</f>
        <v/>
      </c>
      <c r="K405" s="21">
        <f>(1 + ([eq_growth_f3] + [eq_income_f3]) / 100)^(1/12) - 1</f>
        <v/>
      </c>
      <c r="L405" s="21">
        <f>(1 + ([eq_growth_f4] + [eq_income_f4]) / 100)^(1/12) - 1</f>
        <v/>
      </c>
      <c r="M405" s="21">
        <f>(1 + ([eq_growth_f5] + [eq_income_f5]) / 100)^(1/12) - 1</f>
        <v/>
      </c>
      <c r="N405" s="21">
        <f>(1 + ([eq_growth_f6] + [eq_income_f6]) / 100)^(1/12) - 1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>
        <f>(1 + ([eq_growth_f1] + [eq_income_f1]) / 100)^(1/12) - 1</f>
        <v/>
      </c>
      <c r="J406" s="19">
        <f>(1 + ([eq_growth_f2] + [eq_income_f2]) / 100)^(1/12) - 1</f>
        <v/>
      </c>
      <c r="K406" s="19">
        <f>(1 + ([eq_growth_f3] + [eq_income_f3]) / 100)^(1/12) - 1</f>
        <v/>
      </c>
      <c r="L406" s="19">
        <f>(1 + ([eq_growth_f4] + [eq_income_f4]) / 100)^(1/12) - 1</f>
        <v/>
      </c>
      <c r="M406" s="19">
        <f>(1 + ([eq_growth_f5] + [eq_income_f5]) / 100)^(1/12) - 1</f>
        <v/>
      </c>
      <c r="N406" s="19">
        <f>(1 + ([eq_growth_f6] + [eq_income_f6]) / 100)^(1/12) - 1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>
        <f>(1 + ([eq_growth_f1] + [eq_income_f1]) / 100)^(1/12) - 1</f>
        <v/>
      </c>
      <c r="J407" s="21">
        <f>(1 + ([eq_growth_f2] + [eq_income_f2]) / 100)^(1/12) - 1</f>
        <v/>
      </c>
      <c r="K407" s="21">
        <f>(1 + ([eq_growth_f3] + [eq_income_f3]) / 100)^(1/12) - 1</f>
        <v/>
      </c>
      <c r="L407" s="21">
        <f>(1 + ([eq_growth_f4] + [eq_income_f4]) / 100)^(1/12) - 1</f>
        <v/>
      </c>
      <c r="M407" s="21">
        <f>(1 + ([eq_growth_f5] + [eq_income_f5]) / 100)^(1/12) - 1</f>
        <v/>
      </c>
      <c r="N407" s="21">
        <f>(1 + ([eq_growth_f6] + [eq_income_f6]) / 100)^(1/12) - 1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>
        <f>(1 + ([eq_growth_f1] + [eq_income_f1]) / 100)^(1/12) - 1</f>
        <v/>
      </c>
      <c r="J408" s="19">
        <f>(1 + ([eq_growth_f2] + [eq_income_f2]) / 100)^(1/12) - 1</f>
        <v/>
      </c>
      <c r="K408" s="19">
        <f>(1 + ([eq_growth_f3] + [eq_income_f3]) / 100)^(1/12) - 1</f>
        <v/>
      </c>
      <c r="L408" s="19">
        <f>(1 + ([eq_growth_f4] + [eq_income_f4]) / 100)^(1/12) - 1</f>
        <v/>
      </c>
      <c r="M408" s="19">
        <f>(1 + ([eq_growth_f5] + [eq_income_f5]) / 100)^(1/12) - 1</f>
        <v/>
      </c>
      <c r="N408" s="19">
        <f>(1 + ([eq_growth_f6] + [eq_income_f6]) / 100)^(1/12) - 1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>
        <f>(1 + ([eq_growth_f1] + [eq_income_f1]) / 100)^(1/12) - 1</f>
        <v/>
      </c>
      <c r="J409" s="21">
        <f>(1 + ([eq_growth_f2] + [eq_income_f2]) / 100)^(1/12) - 1</f>
        <v/>
      </c>
      <c r="K409" s="21">
        <f>(1 + ([eq_growth_f3] + [eq_income_f3]) / 100)^(1/12) - 1</f>
        <v/>
      </c>
      <c r="L409" s="21">
        <f>(1 + ([eq_growth_f4] + [eq_income_f4]) / 100)^(1/12) - 1</f>
        <v/>
      </c>
      <c r="M409" s="21">
        <f>(1 + ([eq_growth_f5] + [eq_income_f5]) / 100)^(1/12) - 1</f>
        <v/>
      </c>
      <c r="N409" s="21">
        <f>(1 + ([eq_growth_f6] + [eq_income_f6]) / 100)^(1/12) - 1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>
        <f>(1 + ([eq_growth_f1] + [eq_income_f1]) / 100)^(1/12) - 1</f>
        <v/>
      </c>
      <c r="J410" s="19">
        <f>(1 + ([eq_growth_f2] + [eq_income_f2]) / 100)^(1/12) - 1</f>
        <v/>
      </c>
      <c r="K410" s="19">
        <f>(1 + ([eq_growth_f3] + [eq_income_f3]) / 100)^(1/12) - 1</f>
        <v/>
      </c>
      <c r="L410" s="19">
        <f>(1 + ([eq_growth_f4] + [eq_income_f4]) / 100)^(1/12) - 1</f>
        <v/>
      </c>
      <c r="M410" s="19">
        <f>(1 + ([eq_growth_f5] + [eq_income_f5]) / 100)^(1/12) - 1</f>
        <v/>
      </c>
      <c r="N410" s="19">
        <f>(1 + ([eq_growth_f6] + [eq_income_f6]) / 100)^(1/12) - 1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>
        <f>(1 + ([eq_growth_f1] + [eq_income_f1]) / 100)^(1/12) - 1</f>
        <v/>
      </c>
      <c r="J411" s="21">
        <f>(1 + ([eq_growth_f2] + [eq_income_f2]) / 100)^(1/12) - 1</f>
        <v/>
      </c>
      <c r="K411" s="21">
        <f>(1 + ([eq_growth_f3] + [eq_income_f3]) / 100)^(1/12) - 1</f>
        <v/>
      </c>
      <c r="L411" s="21">
        <f>(1 + ([eq_growth_f4] + [eq_income_f4]) / 100)^(1/12) - 1</f>
        <v/>
      </c>
      <c r="M411" s="21">
        <f>(1 + ([eq_growth_f5] + [eq_income_f5]) / 100)^(1/12) - 1</f>
        <v/>
      </c>
      <c r="N411" s="21">
        <f>(1 + ([eq_growth_f6] + [eq_income_f6]) / 100)^(1/12) - 1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>
        <f>(1 + ([eq_growth_f1] + [eq_income_f1]) / 100)^(1/12) - 1</f>
        <v/>
      </c>
      <c r="J412" s="19">
        <f>(1 + ([eq_growth_f2] + [eq_income_f2]) / 100)^(1/12) - 1</f>
        <v/>
      </c>
      <c r="K412" s="19">
        <f>(1 + ([eq_growth_f3] + [eq_income_f3]) / 100)^(1/12) - 1</f>
        <v/>
      </c>
      <c r="L412" s="19">
        <f>(1 + ([eq_growth_f4] + [eq_income_f4]) / 100)^(1/12) - 1</f>
        <v/>
      </c>
      <c r="M412" s="19">
        <f>(1 + ([eq_growth_f5] + [eq_income_f5]) / 100)^(1/12) - 1</f>
        <v/>
      </c>
      <c r="N412" s="19">
        <f>(1 + ([eq_growth_f6] + [eq_income_f6]) / 100)^(1/12) - 1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>
        <f>(1 + ([eq_growth_f1] + [eq_income_f1]) / 100)^(1/12) - 1</f>
        <v/>
      </c>
      <c r="J413" s="21">
        <f>(1 + ([eq_growth_f2] + [eq_income_f2]) / 100)^(1/12) - 1</f>
        <v/>
      </c>
      <c r="K413" s="21">
        <f>(1 + ([eq_growth_f3] + [eq_income_f3]) / 100)^(1/12) - 1</f>
        <v/>
      </c>
      <c r="L413" s="21">
        <f>(1 + ([eq_growth_f4] + [eq_income_f4]) / 100)^(1/12) - 1</f>
        <v/>
      </c>
      <c r="M413" s="21">
        <f>(1 + ([eq_growth_f5] + [eq_income_f5]) / 100)^(1/12) - 1</f>
        <v/>
      </c>
      <c r="N413" s="21">
        <f>(1 + ([eq_growth_f6] + [eq_income_f6]) / 100)^(1/12) - 1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>
        <f>(1 + ([eq_growth_f1] + [eq_income_f1]) / 100)^(1/12) - 1</f>
        <v/>
      </c>
      <c r="J414" s="19">
        <f>(1 + ([eq_growth_f2] + [eq_income_f2]) / 100)^(1/12) - 1</f>
        <v/>
      </c>
      <c r="K414" s="19">
        <f>(1 + ([eq_growth_f3] + [eq_income_f3]) / 100)^(1/12) - 1</f>
        <v/>
      </c>
      <c r="L414" s="19">
        <f>(1 + ([eq_growth_f4] + [eq_income_f4]) / 100)^(1/12) - 1</f>
        <v/>
      </c>
      <c r="M414" s="19">
        <f>(1 + ([eq_growth_f5] + [eq_income_f5]) / 100)^(1/12) - 1</f>
        <v/>
      </c>
      <c r="N414" s="19">
        <f>(1 + ([eq_growth_f6] + [eq_income_f6]) / 100)^(1/12) - 1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>
        <f>(1 + ([eq_growth_f1] + [eq_income_f1]) / 100)^(1/12) - 1</f>
        <v/>
      </c>
      <c r="J415" s="21">
        <f>(1 + ([eq_growth_f2] + [eq_income_f2]) / 100)^(1/12) - 1</f>
        <v/>
      </c>
      <c r="K415" s="21">
        <f>(1 + ([eq_growth_f3] + [eq_income_f3]) / 100)^(1/12) - 1</f>
        <v/>
      </c>
      <c r="L415" s="21">
        <f>(1 + ([eq_growth_f4] + [eq_income_f4]) / 100)^(1/12) - 1</f>
        <v/>
      </c>
      <c r="M415" s="21">
        <f>(1 + ([eq_growth_f5] + [eq_income_f5]) / 100)^(1/12) - 1</f>
        <v/>
      </c>
      <c r="N415" s="21">
        <f>(1 + ([eq_growth_f6] + [eq_income_f6]) / 100)^(1/12) - 1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>
        <f>(1 + ([eq_growth_f1] + [eq_income_f1]) / 100)^(1/12) - 1</f>
        <v/>
      </c>
      <c r="J416" s="19">
        <f>(1 + ([eq_growth_f2] + [eq_income_f2]) / 100)^(1/12) - 1</f>
        <v/>
      </c>
      <c r="K416" s="19">
        <f>(1 + ([eq_growth_f3] + [eq_income_f3]) / 100)^(1/12) - 1</f>
        <v/>
      </c>
      <c r="L416" s="19">
        <f>(1 + ([eq_growth_f4] + [eq_income_f4]) / 100)^(1/12) - 1</f>
        <v/>
      </c>
      <c r="M416" s="19">
        <f>(1 + ([eq_growth_f5] + [eq_income_f5]) / 100)^(1/12) - 1</f>
        <v/>
      </c>
      <c r="N416" s="19">
        <f>(1 + ([eq_growth_f6] + [eq_income_f6]) / 100)^(1/12) - 1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>
        <f>(1 + ([eq_growth_f1] + [eq_income_f1]) / 100)^(1/12) - 1</f>
        <v/>
      </c>
      <c r="J417" s="21">
        <f>(1 + ([eq_growth_f2] + [eq_income_f2]) / 100)^(1/12) - 1</f>
        <v/>
      </c>
      <c r="K417" s="21">
        <f>(1 + ([eq_growth_f3] + [eq_income_f3]) / 100)^(1/12) - 1</f>
        <v/>
      </c>
      <c r="L417" s="21">
        <f>(1 + ([eq_growth_f4] + [eq_income_f4]) / 100)^(1/12) - 1</f>
        <v/>
      </c>
      <c r="M417" s="21">
        <f>(1 + ([eq_growth_f5] + [eq_income_f5]) / 100)^(1/12) - 1</f>
        <v/>
      </c>
      <c r="N417" s="21">
        <f>(1 + ([eq_growth_f6] + [eq_income_f6]) / 100)^(1/12) - 1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>
        <f>(1 + ([eq_growth_f1] + [eq_income_f1]) / 100)^(1/12) - 1</f>
        <v/>
      </c>
      <c r="J418" s="19">
        <f>(1 + ([eq_growth_f2] + [eq_income_f2]) / 100)^(1/12) - 1</f>
        <v/>
      </c>
      <c r="K418" s="19">
        <f>(1 + ([eq_growth_f3] + [eq_income_f3]) / 100)^(1/12) - 1</f>
        <v/>
      </c>
      <c r="L418" s="19">
        <f>(1 + ([eq_growth_f4] + [eq_income_f4]) / 100)^(1/12) - 1</f>
        <v/>
      </c>
      <c r="M418" s="19">
        <f>(1 + ([eq_growth_f5] + [eq_income_f5]) / 100)^(1/12) - 1</f>
        <v/>
      </c>
      <c r="N418" s="19">
        <f>(1 + ([eq_growth_f6] + [eq_income_f6]) / 100)^(1/12) - 1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>
        <f>(1 + ([eq_growth_f1] + [eq_income_f1]) / 100)^(1/12) - 1</f>
        <v/>
      </c>
      <c r="J419" s="21">
        <f>(1 + ([eq_growth_f2] + [eq_income_f2]) / 100)^(1/12) - 1</f>
        <v/>
      </c>
      <c r="K419" s="21">
        <f>(1 + ([eq_growth_f3] + [eq_income_f3]) / 100)^(1/12) - 1</f>
        <v/>
      </c>
      <c r="L419" s="21">
        <f>(1 + ([eq_growth_f4] + [eq_income_f4]) / 100)^(1/12) - 1</f>
        <v/>
      </c>
      <c r="M419" s="21">
        <f>(1 + ([eq_growth_f5] + [eq_income_f5]) / 100)^(1/12) - 1</f>
        <v/>
      </c>
      <c r="N419" s="21">
        <f>(1 + ([eq_growth_f6] + [eq_income_f6]) / 100)^(1/12) - 1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>
        <f>(1 + ([eq_growth_f1] + [eq_income_f1]) / 100)^(1/12) - 1</f>
        <v/>
      </c>
      <c r="J420" s="19">
        <f>(1 + ([eq_growth_f2] + [eq_income_f2]) / 100)^(1/12) - 1</f>
        <v/>
      </c>
      <c r="K420" s="19">
        <f>(1 + ([eq_growth_f3] + [eq_income_f3]) / 100)^(1/12) - 1</f>
        <v/>
      </c>
      <c r="L420" s="19">
        <f>(1 + ([eq_growth_f4] + [eq_income_f4]) / 100)^(1/12) - 1</f>
        <v/>
      </c>
      <c r="M420" s="19">
        <f>(1 + ([eq_growth_f5] + [eq_income_f5]) / 100)^(1/12) - 1</f>
        <v/>
      </c>
      <c r="N420" s="19">
        <f>(1 + ([eq_growth_f6] + [eq_income_f6]) / 100)^(1/12) - 1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>
        <f>(1 + ([eq_growth_f1] + [eq_income_f1]) / 100)^(1/12) - 1</f>
        <v/>
      </c>
      <c r="J421" s="21">
        <f>(1 + ([eq_growth_f2] + [eq_income_f2]) / 100)^(1/12) - 1</f>
        <v/>
      </c>
      <c r="K421" s="21">
        <f>(1 + ([eq_growth_f3] + [eq_income_f3]) / 100)^(1/12) - 1</f>
        <v/>
      </c>
      <c r="L421" s="21">
        <f>(1 + ([eq_growth_f4] + [eq_income_f4]) / 100)^(1/12) - 1</f>
        <v/>
      </c>
      <c r="M421" s="21">
        <f>(1 + ([eq_growth_f5] + [eq_income_f5]) / 100)^(1/12) - 1</f>
        <v/>
      </c>
      <c r="N421" s="21">
        <f>(1 + ([eq_growth_f6] + [eq_income_f6]) / 100)^(1/12) - 1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>
        <f>(1 + ([eq_growth_f1] + [eq_income_f1]) / 100)^(1/12) - 1</f>
        <v/>
      </c>
      <c r="J422" s="19">
        <f>(1 + ([eq_growth_f2] + [eq_income_f2]) / 100)^(1/12) - 1</f>
        <v/>
      </c>
      <c r="K422" s="19">
        <f>(1 + ([eq_growth_f3] + [eq_income_f3]) / 100)^(1/12) - 1</f>
        <v/>
      </c>
      <c r="L422" s="19">
        <f>(1 + ([eq_growth_f4] + [eq_income_f4]) / 100)^(1/12) - 1</f>
        <v/>
      </c>
      <c r="M422" s="19">
        <f>(1 + ([eq_growth_f5] + [eq_income_f5]) / 100)^(1/12) - 1</f>
        <v/>
      </c>
      <c r="N422" s="19">
        <f>(1 + ([eq_growth_f6] + [eq_income_f6]) / 100)^(1/12) - 1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>
        <f>(1 + ([eq_growth_f1] + [eq_income_f1]) / 100)^(1/12) - 1</f>
        <v/>
      </c>
      <c r="J423" s="21">
        <f>(1 + ([eq_growth_f2] + [eq_income_f2]) / 100)^(1/12) - 1</f>
        <v/>
      </c>
      <c r="K423" s="21">
        <f>(1 + ([eq_growth_f3] + [eq_income_f3]) / 100)^(1/12) - 1</f>
        <v/>
      </c>
      <c r="L423" s="21">
        <f>(1 + ([eq_growth_f4] + [eq_income_f4]) / 100)^(1/12) - 1</f>
        <v/>
      </c>
      <c r="M423" s="21">
        <f>(1 + ([eq_growth_f5] + [eq_income_f5]) / 100)^(1/12) - 1</f>
        <v/>
      </c>
      <c r="N423" s="21">
        <f>(1 + ([eq_growth_f6] + [eq_income_f6]) / 100)^(1/12) - 1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>
        <f>(1 + ([eq_growth_f1] + [eq_income_f1]) / 100)^(1/12) - 1</f>
        <v/>
      </c>
      <c r="J424" s="19">
        <f>(1 + ([eq_growth_f2] + [eq_income_f2]) / 100)^(1/12) - 1</f>
        <v/>
      </c>
      <c r="K424" s="19">
        <f>(1 + ([eq_growth_f3] + [eq_income_f3]) / 100)^(1/12) - 1</f>
        <v/>
      </c>
      <c r="L424" s="19">
        <f>(1 + ([eq_growth_f4] + [eq_income_f4]) / 100)^(1/12) - 1</f>
        <v/>
      </c>
      <c r="M424" s="19">
        <f>(1 + ([eq_growth_f5] + [eq_income_f5]) / 100)^(1/12) - 1</f>
        <v/>
      </c>
      <c r="N424" s="19">
        <f>(1 + ([eq_growth_f6] + [eq_income_f6]) / 100)^(1/12) - 1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>
        <f>(1 + ([eq_growth_f1] + [eq_income_f1]) / 100)^(1/12) - 1</f>
        <v/>
      </c>
      <c r="J425" s="21">
        <f>(1 + ([eq_growth_f2] + [eq_income_f2]) / 100)^(1/12) - 1</f>
        <v/>
      </c>
      <c r="K425" s="21">
        <f>(1 + ([eq_growth_f3] + [eq_income_f3]) / 100)^(1/12) - 1</f>
        <v/>
      </c>
      <c r="L425" s="21">
        <f>(1 + ([eq_growth_f4] + [eq_income_f4]) / 100)^(1/12) - 1</f>
        <v/>
      </c>
      <c r="M425" s="21">
        <f>(1 + ([eq_growth_f5] + [eq_income_f5]) / 100)^(1/12) - 1</f>
        <v/>
      </c>
      <c r="N425" s="21">
        <f>(1 + ([eq_growth_f6] + [eq_income_f6]) / 100)^(1/12) - 1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>
        <f>(1 + ([eq_growth_f1] + [eq_income_f1]) / 100)^(1/12) - 1</f>
        <v/>
      </c>
      <c r="J426" s="19">
        <f>(1 + ([eq_growth_f2] + [eq_income_f2]) / 100)^(1/12) - 1</f>
        <v/>
      </c>
      <c r="K426" s="19">
        <f>(1 + ([eq_growth_f3] + [eq_income_f3]) / 100)^(1/12) - 1</f>
        <v/>
      </c>
      <c r="L426" s="19">
        <f>(1 + ([eq_growth_f4] + [eq_income_f4]) / 100)^(1/12) - 1</f>
        <v/>
      </c>
      <c r="M426" s="19">
        <f>(1 + ([eq_growth_f5] + [eq_income_f5]) / 100)^(1/12) - 1</f>
        <v/>
      </c>
      <c r="N426" s="19">
        <f>(1 + ([eq_growth_f6] + [eq_income_f6]) / 100)^(1/12) - 1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>
        <f>(1 + ([eq_growth_f1] + [eq_income_f1]) / 100)^(1/12) - 1</f>
        <v/>
      </c>
      <c r="J427" s="21">
        <f>(1 + ([eq_growth_f2] + [eq_income_f2]) / 100)^(1/12) - 1</f>
        <v/>
      </c>
      <c r="K427" s="21">
        <f>(1 + ([eq_growth_f3] + [eq_income_f3]) / 100)^(1/12) - 1</f>
        <v/>
      </c>
      <c r="L427" s="21">
        <f>(1 + ([eq_growth_f4] + [eq_income_f4]) / 100)^(1/12) - 1</f>
        <v/>
      </c>
      <c r="M427" s="21">
        <f>(1 + ([eq_growth_f5] + [eq_income_f5]) / 100)^(1/12) - 1</f>
        <v/>
      </c>
      <c r="N427" s="21">
        <f>(1 + ([eq_growth_f6] + [eq_income_f6]) / 100)^(1/12) - 1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>
        <f>(1 + ([eq_growth_f1] + [eq_income_f1]) / 100)^(1/12) - 1</f>
        <v/>
      </c>
      <c r="J428" s="19">
        <f>(1 + ([eq_growth_f2] + [eq_income_f2]) / 100)^(1/12) - 1</f>
        <v/>
      </c>
      <c r="K428" s="19">
        <f>(1 + ([eq_growth_f3] + [eq_income_f3]) / 100)^(1/12) - 1</f>
        <v/>
      </c>
      <c r="L428" s="19">
        <f>(1 + ([eq_growth_f4] + [eq_income_f4]) / 100)^(1/12) - 1</f>
        <v/>
      </c>
      <c r="M428" s="19">
        <f>(1 + ([eq_growth_f5] + [eq_income_f5]) / 100)^(1/12) - 1</f>
        <v/>
      </c>
      <c r="N428" s="19">
        <f>(1 + ([eq_growth_f6] + [eq_income_f6]) / 100)^(1/12) - 1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>
        <f>(1 + ([eq_growth_f1] + [eq_income_f1]) / 100)^(1/12) - 1</f>
        <v/>
      </c>
      <c r="J429" s="21">
        <f>(1 + ([eq_growth_f2] + [eq_income_f2]) / 100)^(1/12) - 1</f>
        <v/>
      </c>
      <c r="K429" s="21">
        <f>(1 + ([eq_growth_f3] + [eq_income_f3]) / 100)^(1/12) - 1</f>
        <v/>
      </c>
      <c r="L429" s="21">
        <f>(1 + ([eq_growth_f4] + [eq_income_f4]) / 100)^(1/12) - 1</f>
        <v/>
      </c>
      <c r="M429" s="21">
        <f>(1 + ([eq_growth_f5] + [eq_income_f5]) / 100)^(1/12) - 1</f>
        <v/>
      </c>
      <c r="N429" s="21">
        <f>(1 + ([eq_growth_f6] + [eq_income_f6]) / 100)^(1/12) - 1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>
        <f>(1 + ([eq_growth_f1] + [eq_income_f1]) / 100)^(1/12) - 1</f>
        <v/>
      </c>
      <c r="J430" s="19">
        <f>(1 + ([eq_growth_f2] + [eq_income_f2]) / 100)^(1/12) - 1</f>
        <v/>
      </c>
      <c r="K430" s="19">
        <f>(1 + ([eq_growth_f3] + [eq_income_f3]) / 100)^(1/12) - 1</f>
        <v/>
      </c>
      <c r="L430" s="19">
        <f>(1 + ([eq_growth_f4] + [eq_income_f4]) / 100)^(1/12) - 1</f>
        <v/>
      </c>
      <c r="M430" s="19">
        <f>(1 + ([eq_growth_f5] + [eq_income_f5]) / 100)^(1/12) - 1</f>
        <v/>
      </c>
      <c r="N430" s="19">
        <f>(1 + ([eq_growth_f6] + [eq_income_f6]) / 100)^(1/12) - 1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>
        <f>(1 + ([eq_growth_f1] + [eq_income_f1]) / 100)^(1/12) - 1</f>
        <v/>
      </c>
      <c r="J431" s="21">
        <f>(1 + ([eq_growth_f2] + [eq_income_f2]) / 100)^(1/12) - 1</f>
        <v/>
      </c>
      <c r="K431" s="21">
        <f>(1 + ([eq_growth_f3] + [eq_income_f3]) / 100)^(1/12) - 1</f>
        <v/>
      </c>
      <c r="L431" s="21">
        <f>(1 + ([eq_growth_f4] + [eq_income_f4]) / 100)^(1/12) - 1</f>
        <v/>
      </c>
      <c r="M431" s="21">
        <f>(1 + ([eq_growth_f5] + [eq_income_f5]) / 100)^(1/12) - 1</f>
        <v/>
      </c>
      <c r="N431" s="21">
        <f>(1 + ([eq_growth_f6] + [eq_income_f6]) / 100)^(1/12) - 1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>
        <f>(1 + ([eq_growth_f1] + [eq_income_f1]) / 100)^(1/12) - 1</f>
        <v/>
      </c>
      <c r="J432" s="19">
        <f>(1 + ([eq_growth_f2] + [eq_income_f2]) / 100)^(1/12) - 1</f>
        <v/>
      </c>
      <c r="K432" s="19">
        <f>(1 + ([eq_growth_f3] + [eq_income_f3]) / 100)^(1/12) - 1</f>
        <v/>
      </c>
      <c r="L432" s="19">
        <f>(1 + ([eq_growth_f4] + [eq_income_f4]) / 100)^(1/12) - 1</f>
        <v/>
      </c>
      <c r="M432" s="19">
        <f>(1 + ([eq_growth_f5] + [eq_income_f5]) / 100)^(1/12) - 1</f>
        <v/>
      </c>
      <c r="N432" s="19">
        <f>(1 + ([eq_growth_f6] + [eq_income_f6]) / 100)^(1/12) - 1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>
        <f>(1 + ([eq_growth_f1] + [eq_income_f1]) / 100)^(1/12) - 1</f>
        <v/>
      </c>
      <c r="J433" s="21">
        <f>(1 + ([eq_growth_f2] + [eq_income_f2]) / 100)^(1/12) - 1</f>
        <v/>
      </c>
      <c r="K433" s="21">
        <f>(1 + ([eq_growth_f3] + [eq_income_f3]) / 100)^(1/12) - 1</f>
        <v/>
      </c>
      <c r="L433" s="21">
        <f>(1 + ([eq_growth_f4] + [eq_income_f4]) / 100)^(1/12) - 1</f>
        <v/>
      </c>
      <c r="M433" s="21">
        <f>(1 + ([eq_growth_f5] + [eq_income_f5]) / 100)^(1/12) - 1</f>
        <v/>
      </c>
      <c r="N433" s="21">
        <f>(1 + ([eq_growth_f6] + [eq_income_f6]) / 100)^(1/12) - 1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>
        <f>(1 + ([eq_growth_f1] + [eq_income_f1]) / 100)^(1/12) - 1</f>
        <v/>
      </c>
      <c r="J434" s="19">
        <f>(1 + ([eq_growth_f2] + [eq_income_f2]) / 100)^(1/12) - 1</f>
        <v/>
      </c>
      <c r="K434" s="19">
        <f>(1 + ([eq_growth_f3] + [eq_income_f3]) / 100)^(1/12) - 1</f>
        <v/>
      </c>
      <c r="L434" s="19">
        <f>(1 + ([eq_growth_f4] + [eq_income_f4]) / 100)^(1/12) - 1</f>
        <v/>
      </c>
      <c r="M434" s="19">
        <f>(1 + ([eq_growth_f5] + [eq_income_f5]) / 100)^(1/12) - 1</f>
        <v/>
      </c>
      <c r="N434" s="19">
        <f>(1 + ([eq_growth_f6] + [eq_income_f6]) / 100)^(1/12) - 1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>
        <f>(1 + ([eq_growth_f1] + [eq_income_f1]) / 100)^(1/12) - 1</f>
        <v/>
      </c>
      <c r="J435" s="21">
        <f>(1 + ([eq_growth_f2] + [eq_income_f2]) / 100)^(1/12) - 1</f>
        <v/>
      </c>
      <c r="K435" s="21">
        <f>(1 + ([eq_growth_f3] + [eq_income_f3]) / 100)^(1/12) - 1</f>
        <v/>
      </c>
      <c r="L435" s="21">
        <f>(1 + ([eq_growth_f4] + [eq_income_f4]) / 100)^(1/12) - 1</f>
        <v/>
      </c>
      <c r="M435" s="21">
        <f>(1 + ([eq_growth_f5] + [eq_income_f5]) / 100)^(1/12) - 1</f>
        <v/>
      </c>
      <c r="N435" s="21">
        <f>(1 + ([eq_growth_f6] + [eq_income_f6]) / 100)^(1/12) - 1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>
        <f>(1 + ([eq_growth_f1] + [eq_income_f1]) / 100)^(1/12) - 1</f>
        <v/>
      </c>
      <c r="J436" s="19">
        <f>(1 + ([eq_growth_f2] + [eq_income_f2]) / 100)^(1/12) - 1</f>
        <v/>
      </c>
      <c r="K436" s="19">
        <f>(1 + ([eq_growth_f3] + [eq_income_f3]) / 100)^(1/12) - 1</f>
        <v/>
      </c>
      <c r="L436" s="19">
        <f>(1 + ([eq_growth_f4] + [eq_income_f4]) / 100)^(1/12) - 1</f>
        <v/>
      </c>
      <c r="M436" s="19">
        <f>(1 + ([eq_growth_f5] + [eq_income_f5]) / 100)^(1/12) - 1</f>
        <v/>
      </c>
      <c r="N436" s="19">
        <f>(1 + ([eq_growth_f6] + [eq_income_f6]) / 100)^(1/12) - 1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>
        <f>(1 + ([eq_growth_f1] + [eq_income_f1]) / 100)^(1/12) - 1</f>
        <v/>
      </c>
      <c r="J437" s="21">
        <f>(1 + ([eq_growth_f2] + [eq_income_f2]) / 100)^(1/12) - 1</f>
        <v/>
      </c>
      <c r="K437" s="21">
        <f>(1 + ([eq_growth_f3] + [eq_income_f3]) / 100)^(1/12) - 1</f>
        <v/>
      </c>
      <c r="L437" s="21">
        <f>(1 + ([eq_growth_f4] + [eq_income_f4]) / 100)^(1/12) - 1</f>
        <v/>
      </c>
      <c r="M437" s="21">
        <f>(1 + ([eq_growth_f5] + [eq_income_f5]) / 100)^(1/12) - 1</f>
        <v/>
      </c>
      <c r="N437" s="21">
        <f>(1 + ([eq_growth_f6] + [eq_income_f6]) / 100)^(1/12) - 1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>
        <f>(1 + ([eq_growth_f1] + [eq_income_f1]) / 100)^(1/12) - 1</f>
        <v/>
      </c>
      <c r="J438" s="19">
        <f>(1 + ([eq_growth_f2] + [eq_income_f2]) / 100)^(1/12) - 1</f>
        <v/>
      </c>
      <c r="K438" s="19">
        <f>(1 + ([eq_growth_f3] + [eq_income_f3]) / 100)^(1/12) - 1</f>
        <v/>
      </c>
      <c r="L438" s="19">
        <f>(1 + ([eq_growth_f4] + [eq_income_f4]) / 100)^(1/12) - 1</f>
        <v/>
      </c>
      <c r="M438" s="19">
        <f>(1 + ([eq_growth_f5] + [eq_income_f5]) / 100)^(1/12) - 1</f>
        <v/>
      </c>
      <c r="N438" s="19">
        <f>(1 + ([eq_growth_f6] + [eq_income_f6]) / 100)^(1/12) - 1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>
        <f>(1 + ([eq_growth_f1] + [eq_income_f1]) / 100)^(1/12) - 1</f>
        <v/>
      </c>
      <c r="J439" s="21">
        <f>(1 + ([eq_growth_f2] + [eq_income_f2]) / 100)^(1/12) - 1</f>
        <v/>
      </c>
      <c r="K439" s="21">
        <f>(1 + ([eq_growth_f3] + [eq_income_f3]) / 100)^(1/12) - 1</f>
        <v/>
      </c>
      <c r="L439" s="21">
        <f>(1 + ([eq_growth_f4] + [eq_income_f4]) / 100)^(1/12) - 1</f>
        <v/>
      </c>
      <c r="M439" s="21">
        <f>(1 + ([eq_growth_f5] + [eq_income_f5]) / 100)^(1/12) - 1</f>
        <v/>
      </c>
      <c r="N439" s="21">
        <f>(1 + ([eq_growth_f6] + [eq_income_f6]) / 100)^(1/12) - 1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>
        <f>(1 + ([eq_growth_f1] + [eq_income_f1]) / 100)^(1/12) - 1</f>
        <v/>
      </c>
      <c r="J440" s="19">
        <f>(1 + ([eq_growth_f2] + [eq_income_f2]) / 100)^(1/12) - 1</f>
        <v/>
      </c>
      <c r="K440" s="19">
        <f>(1 + ([eq_growth_f3] + [eq_income_f3]) / 100)^(1/12) - 1</f>
        <v/>
      </c>
      <c r="L440" s="19">
        <f>(1 + ([eq_growth_f4] + [eq_income_f4]) / 100)^(1/12) - 1</f>
        <v/>
      </c>
      <c r="M440" s="19">
        <f>(1 + ([eq_growth_f5] + [eq_income_f5]) / 100)^(1/12) - 1</f>
        <v/>
      </c>
      <c r="N440" s="19">
        <f>(1 + ([eq_growth_f6] + [eq_income_f6]) / 100)^(1/12) - 1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>
        <f>(1 + ([eq_growth_f1] + [eq_income_f1]) / 100)^(1/12) - 1</f>
        <v/>
      </c>
      <c r="J441" s="21">
        <f>(1 + ([eq_growth_f2] + [eq_income_f2]) / 100)^(1/12) - 1</f>
        <v/>
      </c>
      <c r="K441" s="21">
        <f>(1 + ([eq_growth_f3] + [eq_income_f3]) / 100)^(1/12) - 1</f>
        <v/>
      </c>
      <c r="L441" s="21">
        <f>(1 + ([eq_growth_f4] + [eq_income_f4]) / 100)^(1/12) - 1</f>
        <v/>
      </c>
      <c r="M441" s="21">
        <f>(1 + ([eq_growth_f5] + [eq_income_f5]) / 100)^(1/12) - 1</f>
        <v/>
      </c>
      <c r="N441" s="21">
        <f>(1 + ([eq_growth_f6] + [eq_income_f6]) / 100)^(1/12) - 1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>
        <f>(1 + ([eq_growth_f1] + [eq_income_f1]) / 100)^(1/12) - 1</f>
        <v/>
      </c>
      <c r="J442" s="19">
        <f>(1 + ([eq_growth_f2] + [eq_income_f2]) / 100)^(1/12) - 1</f>
        <v/>
      </c>
      <c r="K442" s="19">
        <f>(1 + ([eq_growth_f3] + [eq_income_f3]) / 100)^(1/12) - 1</f>
        <v/>
      </c>
      <c r="L442" s="19">
        <f>(1 + ([eq_growth_f4] + [eq_income_f4]) / 100)^(1/12) - 1</f>
        <v/>
      </c>
      <c r="M442" s="19">
        <f>(1 + ([eq_growth_f5] + [eq_income_f5]) / 100)^(1/12) - 1</f>
        <v/>
      </c>
      <c r="N442" s="19">
        <f>(1 + ([eq_growth_f6] + [eq_income_f6]) / 100)^(1/12) - 1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>
        <f>(1 + ([eq_growth_f1] + [eq_income_f1]) / 100)^(1/12) - 1</f>
        <v/>
      </c>
      <c r="J443" s="21">
        <f>(1 + ([eq_growth_f2] + [eq_income_f2]) / 100)^(1/12) - 1</f>
        <v/>
      </c>
      <c r="K443" s="21">
        <f>(1 + ([eq_growth_f3] + [eq_income_f3]) / 100)^(1/12) - 1</f>
        <v/>
      </c>
      <c r="L443" s="21">
        <f>(1 + ([eq_growth_f4] + [eq_income_f4]) / 100)^(1/12) - 1</f>
        <v/>
      </c>
      <c r="M443" s="21">
        <f>(1 + ([eq_growth_f5] + [eq_income_f5]) / 100)^(1/12) - 1</f>
        <v/>
      </c>
      <c r="N443" s="21">
        <f>(1 + ([eq_growth_f6] + [eq_income_f6]) / 100)^(1/12) - 1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>
        <f>(1 + ([eq_growth_f1] + [eq_income_f1]) / 100)^(1/12) - 1</f>
        <v/>
      </c>
      <c r="J444" s="19">
        <f>(1 + ([eq_growth_f2] + [eq_income_f2]) / 100)^(1/12) - 1</f>
        <v/>
      </c>
      <c r="K444" s="19">
        <f>(1 + ([eq_growth_f3] + [eq_income_f3]) / 100)^(1/12) - 1</f>
        <v/>
      </c>
      <c r="L444" s="19">
        <f>(1 + ([eq_growth_f4] + [eq_income_f4]) / 100)^(1/12) - 1</f>
        <v/>
      </c>
      <c r="M444" s="19">
        <f>(1 + ([eq_growth_f5] + [eq_income_f5]) / 100)^(1/12) - 1</f>
        <v/>
      </c>
      <c r="N444" s="19">
        <f>(1 + ([eq_growth_f6] + [eq_income_f6]) / 100)^(1/12) - 1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>
        <f>(1 + ([eq_growth_f1] + [eq_income_f1]) / 100)^(1/12) - 1</f>
        <v/>
      </c>
      <c r="J445" s="21">
        <f>(1 + ([eq_growth_f2] + [eq_income_f2]) / 100)^(1/12) - 1</f>
        <v/>
      </c>
      <c r="K445" s="21">
        <f>(1 + ([eq_growth_f3] + [eq_income_f3]) / 100)^(1/12) - 1</f>
        <v/>
      </c>
      <c r="L445" s="21">
        <f>(1 + ([eq_growth_f4] + [eq_income_f4]) / 100)^(1/12) - 1</f>
        <v/>
      </c>
      <c r="M445" s="21">
        <f>(1 + ([eq_growth_f5] + [eq_income_f5]) / 100)^(1/12) - 1</f>
        <v/>
      </c>
      <c r="N445" s="21">
        <f>(1 + ([eq_growth_f6] + [eq_income_f6]) / 100)^(1/12) - 1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>
        <f>(1 + ([eq_growth_f1] + [eq_income_f1]) / 100)^(1/12) - 1</f>
        <v/>
      </c>
      <c r="J446" s="19">
        <f>(1 + ([eq_growth_f2] + [eq_income_f2]) / 100)^(1/12) - 1</f>
        <v/>
      </c>
      <c r="K446" s="19">
        <f>(1 + ([eq_growth_f3] + [eq_income_f3]) / 100)^(1/12) - 1</f>
        <v/>
      </c>
      <c r="L446" s="19">
        <f>(1 + ([eq_growth_f4] + [eq_income_f4]) / 100)^(1/12) - 1</f>
        <v/>
      </c>
      <c r="M446" s="19">
        <f>(1 + ([eq_growth_f5] + [eq_income_f5]) / 100)^(1/12) - 1</f>
        <v/>
      </c>
      <c r="N446" s="19">
        <f>(1 + ([eq_growth_f6] + [eq_income_f6]) / 100)^(1/12) - 1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>
        <f>(1 + ([eq_growth_f1] + [eq_income_f1]) / 100)^(1/12) - 1</f>
        <v/>
      </c>
      <c r="J447" s="21">
        <f>(1 + ([eq_growth_f2] + [eq_income_f2]) / 100)^(1/12) - 1</f>
        <v/>
      </c>
      <c r="K447" s="21">
        <f>(1 + ([eq_growth_f3] + [eq_income_f3]) / 100)^(1/12) - 1</f>
        <v/>
      </c>
      <c r="L447" s="21">
        <f>(1 + ([eq_growth_f4] + [eq_income_f4]) / 100)^(1/12) - 1</f>
        <v/>
      </c>
      <c r="M447" s="21">
        <f>(1 + ([eq_growth_f5] + [eq_income_f5]) / 100)^(1/12) - 1</f>
        <v/>
      </c>
      <c r="N447" s="21">
        <f>(1 + ([eq_growth_f6] + [eq_income_f6]) / 100)^(1/12) - 1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>
        <f>(1 + ([eq_growth_f1] + [eq_income_f1]) / 100)^(1/12) - 1</f>
        <v/>
      </c>
      <c r="J448" s="19">
        <f>(1 + ([eq_growth_f2] + [eq_income_f2]) / 100)^(1/12) - 1</f>
        <v/>
      </c>
      <c r="K448" s="19">
        <f>(1 + ([eq_growth_f3] + [eq_income_f3]) / 100)^(1/12) - 1</f>
        <v/>
      </c>
      <c r="L448" s="19">
        <f>(1 + ([eq_growth_f4] + [eq_income_f4]) / 100)^(1/12) - 1</f>
        <v/>
      </c>
      <c r="M448" s="19">
        <f>(1 + ([eq_growth_f5] + [eq_income_f5]) / 100)^(1/12) - 1</f>
        <v/>
      </c>
      <c r="N448" s="19">
        <f>(1 + ([eq_growth_f6] + [eq_income_f6]) / 100)^(1/12) - 1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>
        <f>(1 + ([eq_growth_f1] + [eq_income_f1]) / 100)^(1/12) - 1</f>
        <v/>
      </c>
      <c r="J449" s="21">
        <f>(1 + ([eq_growth_f2] + [eq_income_f2]) / 100)^(1/12) - 1</f>
        <v/>
      </c>
      <c r="K449" s="21">
        <f>(1 + ([eq_growth_f3] + [eq_income_f3]) / 100)^(1/12) - 1</f>
        <v/>
      </c>
      <c r="L449" s="21">
        <f>(1 + ([eq_growth_f4] + [eq_income_f4]) / 100)^(1/12) - 1</f>
        <v/>
      </c>
      <c r="M449" s="21">
        <f>(1 + ([eq_growth_f5] + [eq_income_f5]) / 100)^(1/12) - 1</f>
        <v/>
      </c>
      <c r="N449" s="21">
        <f>(1 + ([eq_growth_f6] + [eq_income_f6]) / 100)^(1/12) - 1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>
        <f>(1 + ([eq_growth_f1] + [eq_income_f1]) / 100)^(1/12) - 1</f>
        <v/>
      </c>
      <c r="J450" s="19">
        <f>(1 + ([eq_growth_f2] + [eq_income_f2]) / 100)^(1/12) - 1</f>
        <v/>
      </c>
      <c r="K450" s="19">
        <f>(1 + ([eq_growth_f3] + [eq_income_f3]) / 100)^(1/12) - 1</f>
        <v/>
      </c>
      <c r="L450" s="19">
        <f>(1 + ([eq_growth_f4] + [eq_income_f4]) / 100)^(1/12) - 1</f>
        <v/>
      </c>
      <c r="M450" s="19">
        <f>(1 + ([eq_growth_f5] + [eq_income_f5]) / 100)^(1/12) - 1</f>
        <v/>
      </c>
      <c r="N450" s="19">
        <f>(1 + ([eq_growth_f6] + [eq_income_f6]) / 100)^(1/12) - 1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>
        <f>(1 + ([eq_growth_f1] + [eq_income_f1]) / 100)^(1/12) - 1</f>
        <v/>
      </c>
      <c r="J451" s="21">
        <f>(1 + ([eq_growth_f2] + [eq_income_f2]) / 100)^(1/12) - 1</f>
        <v/>
      </c>
      <c r="K451" s="21">
        <f>(1 + ([eq_growth_f3] + [eq_income_f3]) / 100)^(1/12) - 1</f>
        <v/>
      </c>
      <c r="L451" s="21">
        <f>(1 + ([eq_growth_f4] + [eq_income_f4]) / 100)^(1/12) - 1</f>
        <v/>
      </c>
      <c r="M451" s="21">
        <f>(1 + ([eq_growth_f5] + [eq_income_f5]) / 100)^(1/12) - 1</f>
        <v/>
      </c>
      <c r="N451" s="21">
        <f>(1 + ([eq_growth_f6] + [eq_income_f6]) / 100)^(1/12) - 1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>
        <f>(1 + ([eq_growth_f1] + [eq_income_f1]) / 100)^(1/12) - 1</f>
        <v/>
      </c>
      <c r="J452" s="19">
        <f>(1 + ([eq_growth_f2] + [eq_income_f2]) / 100)^(1/12) - 1</f>
        <v/>
      </c>
      <c r="K452" s="19">
        <f>(1 + ([eq_growth_f3] + [eq_income_f3]) / 100)^(1/12) - 1</f>
        <v/>
      </c>
      <c r="L452" s="19">
        <f>(1 + ([eq_growth_f4] + [eq_income_f4]) / 100)^(1/12) - 1</f>
        <v/>
      </c>
      <c r="M452" s="19">
        <f>(1 + ([eq_growth_f5] + [eq_income_f5]) / 100)^(1/12) - 1</f>
        <v/>
      </c>
      <c r="N452" s="19">
        <f>(1 + ([eq_growth_f6] + [eq_income_f6]) / 100)^(1/12) - 1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>
        <f>(1 + ([eq_growth_f1] + [eq_income_f1]) / 100)^(1/12) - 1</f>
        <v/>
      </c>
      <c r="J453" s="21">
        <f>(1 + ([eq_growth_f2] + [eq_income_f2]) / 100)^(1/12) - 1</f>
        <v/>
      </c>
      <c r="K453" s="21">
        <f>(1 + ([eq_growth_f3] + [eq_income_f3]) / 100)^(1/12) - 1</f>
        <v/>
      </c>
      <c r="L453" s="21">
        <f>(1 + ([eq_growth_f4] + [eq_income_f4]) / 100)^(1/12) - 1</f>
        <v/>
      </c>
      <c r="M453" s="21">
        <f>(1 + ([eq_growth_f5] + [eq_income_f5]) / 100)^(1/12) - 1</f>
        <v/>
      </c>
      <c r="N453" s="21">
        <f>(1 + ([eq_growth_f6] + [eq_income_f6]) / 100)^(1/12) - 1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>
        <f>(1 + ([eq_growth_f1] + [eq_income_f1]) / 100)^(1/12) - 1</f>
        <v/>
      </c>
      <c r="J454" s="19">
        <f>(1 + ([eq_growth_f2] + [eq_income_f2]) / 100)^(1/12) - 1</f>
        <v/>
      </c>
      <c r="K454" s="19">
        <f>(1 + ([eq_growth_f3] + [eq_income_f3]) / 100)^(1/12) - 1</f>
        <v/>
      </c>
      <c r="L454" s="19">
        <f>(1 + ([eq_growth_f4] + [eq_income_f4]) / 100)^(1/12) - 1</f>
        <v/>
      </c>
      <c r="M454" s="19">
        <f>(1 + ([eq_growth_f5] + [eq_income_f5]) / 100)^(1/12) - 1</f>
        <v/>
      </c>
      <c r="N454" s="19">
        <f>(1 + ([eq_growth_f6] + [eq_income_f6]) / 100)^(1/12) - 1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>
        <f>(1 + ([eq_growth_f1] + [eq_income_f1]) / 100)^(1/12) - 1</f>
        <v/>
      </c>
      <c r="J455" s="21">
        <f>(1 + ([eq_growth_f2] + [eq_income_f2]) / 100)^(1/12) - 1</f>
        <v/>
      </c>
      <c r="K455" s="21">
        <f>(1 + ([eq_growth_f3] + [eq_income_f3]) / 100)^(1/12) - 1</f>
        <v/>
      </c>
      <c r="L455" s="21">
        <f>(1 + ([eq_growth_f4] + [eq_income_f4]) / 100)^(1/12) - 1</f>
        <v/>
      </c>
      <c r="M455" s="21">
        <f>(1 + ([eq_growth_f5] + [eq_income_f5]) / 100)^(1/12) - 1</f>
        <v/>
      </c>
      <c r="N455" s="21">
        <f>(1 + ([eq_growth_f6] + [eq_income_f6]) / 100)^(1/12) - 1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>
        <f>(1 + ([eq_growth_f1] + [eq_income_f1]) / 100)^(1/12) - 1</f>
        <v/>
      </c>
      <c r="J456" s="19">
        <f>(1 + ([eq_growth_f2] + [eq_income_f2]) / 100)^(1/12) - 1</f>
        <v/>
      </c>
      <c r="K456" s="19">
        <f>(1 + ([eq_growth_f3] + [eq_income_f3]) / 100)^(1/12) - 1</f>
        <v/>
      </c>
      <c r="L456" s="19">
        <f>(1 + ([eq_growth_f4] + [eq_income_f4]) / 100)^(1/12) - 1</f>
        <v/>
      </c>
      <c r="M456" s="19">
        <f>(1 + ([eq_growth_f5] + [eq_income_f5]) / 100)^(1/12) - 1</f>
        <v/>
      </c>
      <c r="N456" s="19">
        <f>(1 + ([eq_growth_f6] + [eq_income_f6]) / 100)^(1/12) - 1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>
        <f>(1 + ([eq_growth_f1] + [eq_income_f1]) / 100)^(1/12) - 1</f>
        <v/>
      </c>
      <c r="J457" s="21">
        <f>(1 + ([eq_growth_f2] + [eq_income_f2]) / 100)^(1/12) - 1</f>
        <v/>
      </c>
      <c r="K457" s="21">
        <f>(1 + ([eq_growth_f3] + [eq_income_f3]) / 100)^(1/12) - 1</f>
        <v/>
      </c>
      <c r="L457" s="21">
        <f>(1 + ([eq_growth_f4] + [eq_income_f4]) / 100)^(1/12) - 1</f>
        <v/>
      </c>
      <c r="M457" s="21">
        <f>(1 + ([eq_growth_f5] + [eq_income_f5]) / 100)^(1/12) - 1</f>
        <v/>
      </c>
      <c r="N457" s="21">
        <f>(1 + ([eq_growth_f6] + [eq_income_f6]) / 100)^(1/12) - 1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>
        <f>(1 + ([eq_growth_f1] + [eq_income_f1]) / 100)^(1/12) - 1</f>
        <v/>
      </c>
      <c r="J458" s="19">
        <f>(1 + ([eq_growth_f2] + [eq_income_f2]) / 100)^(1/12) - 1</f>
        <v/>
      </c>
      <c r="K458" s="19">
        <f>(1 + ([eq_growth_f3] + [eq_income_f3]) / 100)^(1/12) - 1</f>
        <v/>
      </c>
      <c r="L458" s="19">
        <f>(1 + ([eq_growth_f4] + [eq_income_f4]) / 100)^(1/12) - 1</f>
        <v/>
      </c>
      <c r="M458" s="19">
        <f>(1 + ([eq_growth_f5] + [eq_income_f5]) / 100)^(1/12) - 1</f>
        <v/>
      </c>
      <c r="N458" s="19">
        <f>(1 + ([eq_growth_f6] + [eq_income_f6]) / 100)^(1/12) - 1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>
        <f>(1 + ([eq_growth_f1] + [eq_income_f1]) / 100)^(1/12) - 1</f>
        <v/>
      </c>
      <c r="J459" s="21">
        <f>(1 + ([eq_growth_f2] + [eq_income_f2]) / 100)^(1/12) - 1</f>
        <v/>
      </c>
      <c r="K459" s="21">
        <f>(1 + ([eq_growth_f3] + [eq_income_f3]) / 100)^(1/12) - 1</f>
        <v/>
      </c>
      <c r="L459" s="21">
        <f>(1 + ([eq_growth_f4] + [eq_income_f4]) / 100)^(1/12) - 1</f>
        <v/>
      </c>
      <c r="M459" s="21">
        <f>(1 + ([eq_growth_f5] + [eq_income_f5]) / 100)^(1/12) - 1</f>
        <v/>
      </c>
      <c r="N459" s="21">
        <f>(1 + ([eq_growth_f6] + [eq_income_f6]) / 100)^(1/12) - 1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>
        <f>(1 + ([eq_growth_f1] + [eq_income_f1]) / 100)^(1/12) - 1</f>
        <v/>
      </c>
      <c r="J460" s="19">
        <f>(1 + ([eq_growth_f2] + [eq_income_f2]) / 100)^(1/12) - 1</f>
        <v/>
      </c>
      <c r="K460" s="19">
        <f>(1 + ([eq_growth_f3] + [eq_income_f3]) / 100)^(1/12) - 1</f>
        <v/>
      </c>
      <c r="L460" s="19">
        <f>(1 + ([eq_growth_f4] + [eq_income_f4]) / 100)^(1/12) - 1</f>
        <v/>
      </c>
      <c r="M460" s="19">
        <f>(1 + ([eq_growth_f5] + [eq_income_f5]) / 100)^(1/12) - 1</f>
        <v/>
      </c>
      <c r="N460" s="19">
        <f>(1 + ([eq_growth_f6] + [eq_income_f6]) / 100)^(1/12) - 1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>
        <f>(1 + ([eq_growth_f1] + [eq_income_f1]) / 100)^(1/12) - 1</f>
        <v/>
      </c>
      <c r="J461" s="21">
        <f>(1 + ([eq_growth_f2] + [eq_income_f2]) / 100)^(1/12) - 1</f>
        <v/>
      </c>
      <c r="K461" s="21">
        <f>(1 + ([eq_growth_f3] + [eq_income_f3]) / 100)^(1/12) - 1</f>
        <v/>
      </c>
      <c r="L461" s="21">
        <f>(1 + ([eq_growth_f4] + [eq_income_f4]) / 100)^(1/12) - 1</f>
        <v/>
      </c>
      <c r="M461" s="21">
        <f>(1 + ([eq_growth_f5] + [eq_income_f5]) / 100)^(1/12) - 1</f>
        <v/>
      </c>
      <c r="N461" s="21">
        <f>(1 + ([eq_growth_f6] + [eq_income_f6]) / 100)^(1/12) - 1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>
        <f>(1 + ([eq_growth_f1] + [eq_income_f1]) / 100)^(1/12) - 1</f>
        <v/>
      </c>
      <c r="J462" s="19">
        <f>(1 + ([eq_growth_f2] + [eq_income_f2]) / 100)^(1/12) - 1</f>
        <v/>
      </c>
      <c r="K462" s="19">
        <f>(1 + ([eq_growth_f3] + [eq_income_f3]) / 100)^(1/12) - 1</f>
        <v/>
      </c>
      <c r="L462" s="19">
        <f>(1 + ([eq_growth_f4] + [eq_income_f4]) / 100)^(1/12) - 1</f>
        <v/>
      </c>
      <c r="M462" s="19">
        <f>(1 + ([eq_growth_f5] + [eq_income_f5]) / 100)^(1/12) - 1</f>
        <v/>
      </c>
      <c r="N462" s="19">
        <f>(1 + ([eq_growth_f6] + [eq_income_f6]) / 100)^(1/12) - 1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>
        <f>(1 + ([eq_growth_f1] + [eq_income_f1]) / 100)^(1/12) - 1</f>
        <v/>
      </c>
      <c r="J463" s="21">
        <f>(1 + ([eq_growth_f2] + [eq_income_f2]) / 100)^(1/12) - 1</f>
        <v/>
      </c>
      <c r="K463" s="21">
        <f>(1 + ([eq_growth_f3] + [eq_income_f3]) / 100)^(1/12) - 1</f>
        <v/>
      </c>
      <c r="L463" s="21">
        <f>(1 + ([eq_growth_f4] + [eq_income_f4]) / 100)^(1/12) - 1</f>
        <v/>
      </c>
      <c r="M463" s="21">
        <f>(1 + ([eq_growth_f5] + [eq_income_f5]) / 100)^(1/12) - 1</f>
        <v/>
      </c>
      <c r="N463" s="21">
        <f>(1 + ([eq_growth_f6] + [eq_income_f6]) / 100)^(1/12) - 1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>
        <f>(1 + ([eq_growth_f1] + [eq_income_f1]) / 100)^(1/12) - 1</f>
        <v/>
      </c>
      <c r="J464" s="19">
        <f>(1 + ([eq_growth_f2] + [eq_income_f2]) / 100)^(1/12) - 1</f>
        <v/>
      </c>
      <c r="K464" s="19">
        <f>(1 + ([eq_growth_f3] + [eq_income_f3]) / 100)^(1/12) - 1</f>
        <v/>
      </c>
      <c r="L464" s="19">
        <f>(1 + ([eq_growth_f4] + [eq_income_f4]) / 100)^(1/12) - 1</f>
        <v/>
      </c>
      <c r="M464" s="19">
        <f>(1 + ([eq_growth_f5] + [eq_income_f5]) / 100)^(1/12) - 1</f>
        <v/>
      </c>
      <c r="N464" s="19">
        <f>(1 + ([eq_growth_f6] + [eq_income_f6]) / 100)^(1/12) - 1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>
        <f>(1 + ([eq_growth_f1] + [eq_income_f1]) / 100)^(1/12) - 1</f>
        <v/>
      </c>
      <c r="J465" s="21">
        <f>(1 + ([eq_growth_f2] + [eq_income_f2]) / 100)^(1/12) - 1</f>
        <v/>
      </c>
      <c r="K465" s="21">
        <f>(1 + ([eq_growth_f3] + [eq_income_f3]) / 100)^(1/12) - 1</f>
        <v/>
      </c>
      <c r="L465" s="21">
        <f>(1 + ([eq_growth_f4] + [eq_income_f4]) / 100)^(1/12) - 1</f>
        <v/>
      </c>
      <c r="M465" s="21">
        <f>(1 + ([eq_growth_f5] + [eq_income_f5]) / 100)^(1/12) - 1</f>
        <v/>
      </c>
      <c r="N465" s="21">
        <f>(1 + ([eq_growth_f6] + [eq_income_f6]) / 100)^(1/12) - 1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>
        <f>(1 + ([eq_growth_f1] + [eq_income_f1]) / 100)^(1/12) - 1</f>
        <v/>
      </c>
      <c r="J466" s="19">
        <f>(1 + ([eq_growth_f2] + [eq_income_f2]) / 100)^(1/12) - 1</f>
        <v/>
      </c>
      <c r="K466" s="19">
        <f>(1 + ([eq_growth_f3] + [eq_income_f3]) / 100)^(1/12) - 1</f>
        <v/>
      </c>
      <c r="L466" s="19">
        <f>(1 + ([eq_growth_f4] + [eq_income_f4]) / 100)^(1/12) - 1</f>
        <v/>
      </c>
      <c r="M466" s="19">
        <f>(1 + ([eq_growth_f5] + [eq_income_f5]) / 100)^(1/12) - 1</f>
        <v/>
      </c>
      <c r="N466" s="19">
        <f>(1 + ([eq_growth_f6] + [eq_income_f6]) / 100)^(1/12) - 1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>
        <f>(1 + ([eq_growth_f1] + [eq_income_f1]) / 100)^(1/12) - 1</f>
        <v/>
      </c>
      <c r="J467" s="21">
        <f>(1 + ([eq_growth_f2] + [eq_income_f2]) / 100)^(1/12) - 1</f>
        <v/>
      </c>
      <c r="K467" s="21">
        <f>(1 + ([eq_growth_f3] + [eq_income_f3]) / 100)^(1/12) - 1</f>
        <v/>
      </c>
      <c r="L467" s="21">
        <f>(1 + ([eq_growth_f4] + [eq_income_f4]) / 100)^(1/12) - 1</f>
        <v/>
      </c>
      <c r="M467" s="21">
        <f>(1 + ([eq_growth_f5] + [eq_income_f5]) / 100)^(1/12) - 1</f>
        <v/>
      </c>
      <c r="N467" s="21">
        <f>(1 + ([eq_growth_f6] + [eq_income_f6]) / 100)^(1/12) - 1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>
        <f>(1 + ([eq_growth_f1] + [eq_income_f1]) / 100)^(1/12) - 1</f>
        <v/>
      </c>
      <c r="J468" s="19">
        <f>(1 + ([eq_growth_f2] + [eq_income_f2]) / 100)^(1/12) - 1</f>
        <v/>
      </c>
      <c r="K468" s="19">
        <f>(1 + ([eq_growth_f3] + [eq_income_f3]) / 100)^(1/12) - 1</f>
        <v/>
      </c>
      <c r="L468" s="19">
        <f>(1 + ([eq_growth_f4] + [eq_income_f4]) / 100)^(1/12) - 1</f>
        <v/>
      </c>
      <c r="M468" s="19">
        <f>(1 + ([eq_growth_f5] + [eq_income_f5]) / 100)^(1/12) - 1</f>
        <v/>
      </c>
      <c r="N468" s="19">
        <f>(1 + ([eq_growth_f6] + [eq_income_f6]) / 100)^(1/12) - 1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>
        <f>(1 + ([eq_growth_f1] + [eq_income_f1]) / 100)^(1/12) - 1</f>
        <v/>
      </c>
      <c r="J469" s="21">
        <f>(1 + ([eq_growth_f2] + [eq_income_f2]) / 100)^(1/12) - 1</f>
        <v/>
      </c>
      <c r="K469" s="21">
        <f>(1 + ([eq_growth_f3] + [eq_income_f3]) / 100)^(1/12) - 1</f>
        <v/>
      </c>
      <c r="L469" s="21">
        <f>(1 + ([eq_growth_f4] + [eq_income_f4]) / 100)^(1/12) - 1</f>
        <v/>
      </c>
      <c r="M469" s="21">
        <f>(1 + ([eq_growth_f5] + [eq_income_f5]) / 100)^(1/12) - 1</f>
        <v/>
      </c>
      <c r="N469" s="21">
        <f>(1 + ([eq_growth_f6] + [eq_income_f6]) / 100)^(1/12) - 1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>
        <f>(1 + ([eq_growth_f1] + [eq_income_f1]) / 100)^(1/12) - 1</f>
        <v/>
      </c>
      <c r="J470" s="19">
        <f>(1 + ([eq_growth_f2] + [eq_income_f2]) / 100)^(1/12) - 1</f>
        <v/>
      </c>
      <c r="K470" s="19">
        <f>(1 + ([eq_growth_f3] + [eq_income_f3]) / 100)^(1/12) - 1</f>
        <v/>
      </c>
      <c r="L470" s="19">
        <f>(1 + ([eq_growth_f4] + [eq_income_f4]) / 100)^(1/12) - 1</f>
        <v/>
      </c>
      <c r="M470" s="19">
        <f>(1 + ([eq_growth_f5] + [eq_income_f5]) / 100)^(1/12) - 1</f>
        <v/>
      </c>
      <c r="N470" s="19">
        <f>(1 + ([eq_growth_f6] + [eq_income_f6]) / 100)^(1/12) - 1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>
        <f>(1 + ([eq_growth_f1] + [eq_income_f1]) / 100)^(1/12) - 1</f>
        <v/>
      </c>
      <c r="J471" s="21">
        <f>(1 + ([eq_growth_f2] + [eq_income_f2]) / 100)^(1/12) - 1</f>
        <v/>
      </c>
      <c r="K471" s="21">
        <f>(1 + ([eq_growth_f3] + [eq_income_f3]) / 100)^(1/12) - 1</f>
        <v/>
      </c>
      <c r="L471" s="21">
        <f>(1 + ([eq_growth_f4] + [eq_income_f4]) / 100)^(1/12) - 1</f>
        <v/>
      </c>
      <c r="M471" s="21">
        <f>(1 + ([eq_growth_f5] + [eq_income_f5]) / 100)^(1/12) - 1</f>
        <v/>
      </c>
      <c r="N471" s="21">
        <f>(1 + ([eq_growth_f6] + [eq_income_f6]) / 100)^(1/12) - 1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>
        <f>(1 + ([eq_growth_f1] + [eq_income_f1]) / 100)^(1/12) - 1</f>
        <v/>
      </c>
      <c r="J472" s="19">
        <f>(1 + ([eq_growth_f2] + [eq_income_f2]) / 100)^(1/12) - 1</f>
        <v/>
      </c>
      <c r="K472" s="19">
        <f>(1 + ([eq_growth_f3] + [eq_income_f3]) / 100)^(1/12) - 1</f>
        <v/>
      </c>
      <c r="L472" s="19">
        <f>(1 + ([eq_growth_f4] + [eq_income_f4]) / 100)^(1/12) - 1</f>
        <v/>
      </c>
      <c r="M472" s="19">
        <f>(1 + ([eq_growth_f5] + [eq_income_f5]) / 100)^(1/12) - 1</f>
        <v/>
      </c>
      <c r="N472" s="19">
        <f>(1 + ([eq_growth_f6] + [eq_income_f6]) / 100)^(1/12) - 1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>
        <f>(1 + ([eq_growth_f1] + [eq_income_f1]) / 100)^(1/12) - 1</f>
        <v/>
      </c>
      <c r="J473" s="21">
        <f>(1 + ([eq_growth_f2] + [eq_income_f2]) / 100)^(1/12) - 1</f>
        <v/>
      </c>
      <c r="K473" s="21">
        <f>(1 + ([eq_growth_f3] + [eq_income_f3]) / 100)^(1/12) - 1</f>
        <v/>
      </c>
      <c r="L473" s="21">
        <f>(1 + ([eq_growth_f4] + [eq_income_f4]) / 100)^(1/12) - 1</f>
        <v/>
      </c>
      <c r="M473" s="21">
        <f>(1 + ([eq_growth_f5] + [eq_income_f5]) / 100)^(1/12) - 1</f>
        <v/>
      </c>
      <c r="N473" s="21">
        <f>(1 + ([eq_growth_f6] + [eq_income_f6]) / 100)^(1/12) - 1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>
        <f>(1 + ([eq_growth_f1] + [eq_income_f1]) / 100)^(1/12) - 1</f>
        <v/>
      </c>
      <c r="J474" s="19">
        <f>(1 + ([eq_growth_f2] + [eq_income_f2]) / 100)^(1/12) - 1</f>
        <v/>
      </c>
      <c r="K474" s="19">
        <f>(1 + ([eq_growth_f3] + [eq_income_f3]) / 100)^(1/12) - 1</f>
        <v/>
      </c>
      <c r="L474" s="19">
        <f>(1 + ([eq_growth_f4] + [eq_income_f4]) / 100)^(1/12) - 1</f>
        <v/>
      </c>
      <c r="M474" s="19">
        <f>(1 + ([eq_growth_f5] + [eq_income_f5]) / 100)^(1/12) - 1</f>
        <v/>
      </c>
      <c r="N474" s="19">
        <f>(1 + ([eq_growth_f6] + [eq_income_f6]) / 100)^(1/12) - 1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>
        <f>(1 + ([eq_growth_f1] + [eq_income_f1]) / 100)^(1/12) - 1</f>
        <v/>
      </c>
      <c r="J475" s="21">
        <f>(1 + ([eq_growth_f2] + [eq_income_f2]) / 100)^(1/12) - 1</f>
        <v/>
      </c>
      <c r="K475" s="21">
        <f>(1 + ([eq_growth_f3] + [eq_income_f3]) / 100)^(1/12) - 1</f>
        <v/>
      </c>
      <c r="L475" s="21">
        <f>(1 + ([eq_growth_f4] + [eq_income_f4]) / 100)^(1/12) - 1</f>
        <v/>
      </c>
      <c r="M475" s="21">
        <f>(1 + ([eq_growth_f5] + [eq_income_f5]) / 100)^(1/12) - 1</f>
        <v/>
      </c>
      <c r="N475" s="21">
        <f>(1 + ([eq_growth_f6] + [eq_income_f6]) / 100)^(1/12) - 1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>
        <f>(1 + ([eq_growth_f1] + [eq_income_f1]) / 100)^(1/12) - 1</f>
        <v/>
      </c>
      <c r="J476" s="19">
        <f>(1 + ([eq_growth_f2] + [eq_income_f2]) / 100)^(1/12) - 1</f>
        <v/>
      </c>
      <c r="K476" s="19">
        <f>(1 + ([eq_growth_f3] + [eq_income_f3]) / 100)^(1/12) - 1</f>
        <v/>
      </c>
      <c r="L476" s="19">
        <f>(1 + ([eq_growth_f4] + [eq_income_f4]) / 100)^(1/12) - 1</f>
        <v/>
      </c>
      <c r="M476" s="19">
        <f>(1 + ([eq_growth_f5] + [eq_income_f5]) / 100)^(1/12) - 1</f>
        <v/>
      </c>
      <c r="N476" s="19">
        <f>(1 + ([eq_growth_f6] + [eq_income_f6]) / 100)^(1/12) - 1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>
        <f>(1 + ([eq_growth_f1] + [eq_income_f1]) / 100)^(1/12) - 1</f>
        <v/>
      </c>
      <c r="J477" s="21">
        <f>(1 + ([eq_growth_f2] + [eq_income_f2]) / 100)^(1/12) - 1</f>
        <v/>
      </c>
      <c r="K477" s="21">
        <f>(1 + ([eq_growth_f3] + [eq_income_f3]) / 100)^(1/12) - 1</f>
        <v/>
      </c>
      <c r="L477" s="21">
        <f>(1 + ([eq_growth_f4] + [eq_income_f4]) / 100)^(1/12) - 1</f>
        <v/>
      </c>
      <c r="M477" s="21">
        <f>(1 + ([eq_growth_f5] + [eq_income_f5]) / 100)^(1/12) - 1</f>
        <v/>
      </c>
      <c r="N477" s="21">
        <f>(1 + ([eq_growth_f6] + [eq_income_f6]) / 100)^(1/12) - 1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>
        <f>(1 + ([eq_growth_f1] + [eq_income_f1]) / 100)^(1/12) - 1</f>
        <v/>
      </c>
      <c r="J478" s="19">
        <f>(1 + ([eq_growth_f2] + [eq_income_f2]) / 100)^(1/12) - 1</f>
        <v/>
      </c>
      <c r="K478" s="19">
        <f>(1 + ([eq_growth_f3] + [eq_income_f3]) / 100)^(1/12) - 1</f>
        <v/>
      </c>
      <c r="L478" s="19">
        <f>(1 + ([eq_growth_f4] + [eq_income_f4]) / 100)^(1/12) - 1</f>
        <v/>
      </c>
      <c r="M478" s="19">
        <f>(1 + ([eq_growth_f5] + [eq_income_f5]) / 100)^(1/12) - 1</f>
        <v/>
      </c>
      <c r="N478" s="19">
        <f>(1 + ([eq_growth_f6] + [eq_income_f6]) / 100)^(1/12) - 1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>
        <f>(1 + ([eq_growth_f1] + [eq_income_f1]) / 100)^(1/12) - 1</f>
        <v/>
      </c>
      <c r="J479" s="21">
        <f>(1 + ([eq_growth_f2] + [eq_income_f2]) / 100)^(1/12) - 1</f>
        <v/>
      </c>
      <c r="K479" s="21">
        <f>(1 + ([eq_growth_f3] + [eq_income_f3]) / 100)^(1/12) - 1</f>
        <v/>
      </c>
      <c r="L479" s="21">
        <f>(1 + ([eq_growth_f4] + [eq_income_f4]) / 100)^(1/12) - 1</f>
        <v/>
      </c>
      <c r="M479" s="21">
        <f>(1 + ([eq_growth_f5] + [eq_income_f5]) / 100)^(1/12) - 1</f>
        <v/>
      </c>
      <c r="N479" s="21">
        <f>(1 + ([eq_growth_f6] + [eq_income_f6]) / 100)^(1/12) - 1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>
        <f>(1 + ([eq_growth_f1] + [eq_income_f1]) / 100)^(1/12) - 1</f>
        <v/>
      </c>
      <c r="J480" s="19">
        <f>(1 + ([eq_growth_f2] + [eq_income_f2]) / 100)^(1/12) - 1</f>
        <v/>
      </c>
      <c r="K480" s="19">
        <f>(1 + ([eq_growth_f3] + [eq_income_f3]) / 100)^(1/12) - 1</f>
        <v/>
      </c>
      <c r="L480" s="19">
        <f>(1 + ([eq_growth_f4] + [eq_income_f4]) / 100)^(1/12) - 1</f>
        <v/>
      </c>
      <c r="M480" s="19">
        <f>(1 + ([eq_growth_f5] + [eq_income_f5]) / 100)^(1/12) - 1</f>
        <v/>
      </c>
      <c r="N480" s="19">
        <f>(1 + ([eq_growth_f6] + [eq_income_f6]) / 100)^(1/12) - 1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>
        <f>(1 + ([eq_growth_f1] + [eq_income_f1]) / 100)^(1/12) - 1</f>
        <v/>
      </c>
      <c r="J481" s="21">
        <f>(1 + ([eq_growth_f2] + [eq_income_f2]) / 100)^(1/12) - 1</f>
        <v/>
      </c>
      <c r="K481" s="21">
        <f>(1 + ([eq_growth_f3] + [eq_income_f3]) / 100)^(1/12) - 1</f>
        <v/>
      </c>
      <c r="L481" s="21">
        <f>(1 + ([eq_growth_f4] + [eq_income_f4]) / 100)^(1/12) - 1</f>
        <v/>
      </c>
      <c r="M481" s="21">
        <f>(1 + ([eq_growth_f5] + [eq_income_f5]) / 100)^(1/12) - 1</f>
        <v/>
      </c>
      <c r="N481" s="21">
        <f>(1 + ([eq_growth_f6] + [eq_income_f6]) / 100)^(1/12) - 1</f>
        <v/>
      </c>
    </row>
  </sheetData>
  <autoFilter ref="A1:N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/>
  </sheetPr>
  <dimension ref="A1:AQ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av_bop_f1</t>
        </is>
      </c>
      <c r="J1" s="23" t="inlineStr">
        <is>
          <t>me_f1</t>
        </is>
      </c>
      <c r="K1" s="23" t="inlineStr">
        <is>
          <t>imf_f1</t>
        </is>
      </c>
      <c r="L1" s="23" t="inlineStr">
        <is>
          <t>growth_f1</t>
        </is>
      </c>
      <c r="M1" s="23" t="inlineStr">
        <is>
          <t>av_eop_f1</t>
        </is>
      </c>
      <c r="N1" s="23" t="inlineStr">
        <is>
          <t>av_bop_f2</t>
        </is>
      </c>
      <c r="O1" s="23" t="inlineStr">
        <is>
          <t>me_f2</t>
        </is>
      </c>
      <c r="P1" s="23" t="inlineStr">
        <is>
          <t>imf_f2</t>
        </is>
      </c>
      <c r="Q1" s="23" t="inlineStr">
        <is>
          <t>growth_f2</t>
        </is>
      </c>
      <c r="R1" s="23" t="inlineStr">
        <is>
          <t>av_eop_f2</t>
        </is>
      </c>
      <c r="S1" s="23" t="inlineStr">
        <is>
          <t>av_bop_f3</t>
        </is>
      </c>
      <c r="T1" s="23" t="inlineStr">
        <is>
          <t>me_f3</t>
        </is>
      </c>
      <c r="U1" s="23" t="inlineStr">
        <is>
          <t>imf_f3</t>
        </is>
      </c>
      <c r="V1" s="23" t="inlineStr">
        <is>
          <t>growth_f3</t>
        </is>
      </c>
      <c r="W1" s="23" t="inlineStr">
        <is>
          <t>av_eop_f3</t>
        </is>
      </c>
      <c r="X1" s="23" t="inlineStr">
        <is>
          <t>av_bop_f4</t>
        </is>
      </c>
      <c r="Y1" s="23" t="inlineStr">
        <is>
          <t>me_f4</t>
        </is>
      </c>
      <c r="Z1" s="23" t="inlineStr">
        <is>
          <t>imf_f4</t>
        </is>
      </c>
      <c r="AA1" s="23" t="inlineStr">
        <is>
          <t>growth_f4</t>
        </is>
      </c>
      <c r="AB1" s="23" t="inlineStr">
        <is>
          <t>av_eop_f4</t>
        </is>
      </c>
      <c r="AC1" s="23" t="inlineStr">
        <is>
          <t>av_bop_f5</t>
        </is>
      </c>
      <c r="AD1" s="23" t="inlineStr">
        <is>
          <t>me_f5</t>
        </is>
      </c>
      <c r="AE1" s="23" t="inlineStr">
        <is>
          <t>imf_f5</t>
        </is>
      </c>
      <c r="AF1" s="23" t="inlineStr">
        <is>
          <t>growth_f5</t>
        </is>
      </c>
      <c r="AG1" s="23" t="inlineStr">
        <is>
          <t>av_eop_f5</t>
        </is>
      </c>
      <c r="AH1" s="23" t="inlineStr">
        <is>
          <t>av_bop_f6</t>
        </is>
      </c>
      <c r="AI1" s="23" t="inlineStr">
        <is>
          <t>me_f6</t>
        </is>
      </c>
      <c r="AJ1" s="23" t="inlineStr">
        <is>
          <t>imf_f6</t>
        </is>
      </c>
      <c r="AK1" s="23" t="inlineStr">
        <is>
          <t>growth_f6</t>
        </is>
      </c>
      <c r="AL1" s="23" t="inlineStr">
        <is>
          <t>av_eop_f6</t>
        </is>
      </c>
      <c r="AM1" s="23" t="inlineStr">
        <is>
          <t>av_bop_sa</t>
        </is>
      </c>
      <c r="AN1" s="23" t="inlineStr">
        <is>
          <t>me_sa</t>
        </is>
      </c>
      <c r="AO1" s="23" t="inlineStr">
        <is>
          <t>imf_sa</t>
        </is>
      </c>
      <c r="AP1" s="23" t="inlineStr">
        <is>
          <t>growth_sa</t>
        </is>
      </c>
      <c r="AQ1" s="23" t="inlineStr">
        <is>
          <t>av_eop_sa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 t="n">
        <v>787421.48</v>
      </c>
      <c r="J2" s="19" t="n">
        <v>656.1845666666667</v>
      </c>
      <c r="K2" s="19" t="n">
        <v>435.871514113896</v>
      </c>
      <c r="L2" s="19" t="n">
        <v>7216.828253985381</v>
      </c>
      <c r="M2" s="24" t="n">
        <v>793546.2521732048</v>
      </c>
      <c r="N2" s="24" t="n">
        <v>96845.91</v>
      </c>
      <c r="O2" s="19" t="n">
        <v>80.704925</v>
      </c>
      <c r="P2" s="19" t="n">
        <v>53.60835905497284</v>
      </c>
      <c r="Q2" s="19" t="n">
        <v>887.606342121789</v>
      </c>
      <c r="R2" s="24" t="n">
        <v>97599.20305806682</v>
      </c>
      <c r="S2" s="24" t="n">
        <v>243546.13</v>
      </c>
      <c r="T2" s="19" t="n">
        <v>202.9551083333334</v>
      </c>
      <c r="U2" s="19" t="n">
        <v>134.8132139342704</v>
      </c>
      <c r="V2" s="19" t="n">
        <v>2232.134424543253</v>
      </c>
      <c r="W2" s="24" t="n">
        <v>245440.4961022756</v>
      </c>
      <c r="X2" s="24" t="n">
        <v>225032.69</v>
      </c>
      <c r="Y2" s="19" t="n">
        <v>187.5272416666667</v>
      </c>
      <c r="Z2" s="19" t="n">
        <v>124.5652319713491</v>
      </c>
      <c r="AA2" s="19" t="n">
        <v>2062.456151516636</v>
      </c>
      <c r="AB2" s="24" t="n">
        <v>226783.0536778786</v>
      </c>
      <c r="AC2" s="24" t="n">
        <v>52779.74</v>
      </c>
      <c r="AD2" s="19" t="n">
        <v>43.98311666666667</v>
      </c>
      <c r="AE2" s="19" t="n">
        <v>29.21584662427264</v>
      </c>
      <c r="AF2" s="19" t="n">
        <v>483.7337163700466</v>
      </c>
      <c r="AG2" s="24" t="n">
        <v>53190.2747530791</v>
      </c>
      <c r="AH2" s="24" t="n">
        <v>174281.9</v>
      </c>
      <c r="AI2" s="19" t="n">
        <v>145.2349166666667</v>
      </c>
      <c r="AJ2" s="19" t="n">
        <v>96.47249607115953</v>
      </c>
      <c r="AK2" s="19" t="n">
        <v>1597.318046338099</v>
      </c>
      <c r="AL2" s="24" t="n">
        <v>175637.5106336003</v>
      </c>
      <c r="AM2" s="24" t="n">
        <v>1579907.85</v>
      </c>
      <c r="AN2" s="19" t="n">
        <v>1316.589875</v>
      </c>
      <c r="AO2" s="19" t="n">
        <v>874.5466617699204</v>
      </c>
      <c r="AP2" s="19" t="n">
        <v>14480.0769348752</v>
      </c>
      <c r="AQ2" s="24" t="n">
        <v>1592196.790398105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 t="n">
        <v>793546.2521732048</v>
      </c>
      <c r="J3" s="21" t="n">
        <v>661.2885434776707</v>
      </c>
      <c r="K3" s="21" t="n">
        <v>439.2618378332051</v>
      </c>
      <c r="L3" s="21" t="n">
        <v>7511.609425321273</v>
      </c>
      <c r="M3" s="25" t="n">
        <v>799957.3112172151</v>
      </c>
      <c r="N3" s="25" t="n">
        <v>97599.20305806682</v>
      </c>
      <c r="O3" s="21" t="n">
        <v>81.33266921505569</v>
      </c>
      <c r="P3" s="21" t="n">
        <v>54.02533902584062</v>
      </c>
      <c r="Q3" s="21" t="n">
        <v>923.8618310994206</v>
      </c>
      <c r="R3" s="25" t="n">
        <v>98387.70688092534</v>
      </c>
      <c r="S3" s="25" t="n">
        <v>245440.4961022756</v>
      </c>
      <c r="T3" s="21" t="n">
        <v>204.5337467518964</v>
      </c>
      <c r="U3" s="21" t="n">
        <v>135.8618267067907</v>
      </c>
      <c r="V3" s="21" t="n">
        <v>2323.308992800806</v>
      </c>
      <c r="W3" s="25" t="n">
        <v>247423.4095216178</v>
      </c>
      <c r="X3" s="25" t="n">
        <v>226783.0536778786</v>
      </c>
      <c r="Y3" s="21" t="n">
        <v>188.9858780648989</v>
      </c>
      <c r="Z3" s="21" t="n">
        <v>125.5341332344019</v>
      </c>
      <c r="AA3" s="21" t="n">
        <v>2146.699979799129</v>
      </c>
      <c r="AB3" s="25" t="n">
        <v>228615.2336463784</v>
      </c>
      <c r="AC3" s="25" t="n">
        <v>53190.2747530791</v>
      </c>
      <c r="AD3" s="21" t="n">
        <v>44.32522896089925</v>
      </c>
      <c r="AE3" s="21" t="n">
        <v>29.44309519313434</v>
      </c>
      <c r="AF3" s="21" t="n">
        <v>503.4924783230528</v>
      </c>
      <c r="AG3" s="25" t="n">
        <v>53619.99890724812</v>
      </c>
      <c r="AH3" s="25" t="n">
        <v>175637.5106336003</v>
      </c>
      <c r="AI3" s="21" t="n">
        <v>146.3645921946669</v>
      </c>
      <c r="AJ3" s="21" t="n">
        <v>97.22288461709587</v>
      </c>
      <c r="AK3" s="21" t="n">
        <v>1662.562675713265</v>
      </c>
      <c r="AL3" s="25" t="n">
        <v>177056.4858325018</v>
      </c>
      <c r="AM3" s="25" t="n">
        <v>1592196.790398105</v>
      </c>
      <c r="AN3" s="21" t="n">
        <v>1326.830658665088</v>
      </c>
      <c r="AO3" s="21" t="n">
        <v>881.3491166104686</v>
      </c>
      <c r="AP3" s="21" t="n">
        <v>15071.53538305695</v>
      </c>
      <c r="AQ3" s="25" t="n">
        <v>1605060.146005886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 t="n">
        <v>799957.3112172151</v>
      </c>
      <c r="J4" s="19" t="n">
        <v>666.6310926810127</v>
      </c>
      <c r="K4" s="19" t="n">
        <v>442.8106335970525</v>
      </c>
      <c r="L4" s="19" t="n">
        <v>39575.80549890423</v>
      </c>
      <c r="M4" s="24" t="n">
        <v>838423.6749898413</v>
      </c>
      <c r="N4" s="24" t="n">
        <v>98387.70688092534</v>
      </c>
      <c r="O4" s="19" t="n">
        <v>81.98975573410445</v>
      </c>
      <c r="P4" s="19" t="n">
        <v>54.461809663083</v>
      </c>
      <c r="Q4" s="19" t="n">
        <v>4867.475672017969</v>
      </c>
      <c r="R4" s="24" t="n">
        <v>103118.7309875461</v>
      </c>
      <c r="S4" s="24" t="n">
        <v>247423.4095216178</v>
      </c>
      <c r="T4" s="19" t="n">
        <v>206.1861746013481</v>
      </c>
      <c r="U4" s="19" t="n">
        <v>136.9594542117521</v>
      </c>
      <c r="V4" s="19" t="n">
        <v>12240.62908582433</v>
      </c>
      <c r="W4" s="24" t="n">
        <v>259320.892978629</v>
      </c>
      <c r="X4" s="24" t="n">
        <v>228615.2336463784</v>
      </c>
      <c r="Y4" s="19" t="n">
        <v>190.5126947053154</v>
      </c>
      <c r="Z4" s="19" t="n">
        <v>126.5483233184712</v>
      </c>
      <c r="AA4" s="19" t="n">
        <v>11310.14354642092</v>
      </c>
      <c r="AB4" s="24" t="n">
        <v>239608.3161747756</v>
      </c>
      <c r="AC4" s="24" t="n">
        <v>53619.99890724812</v>
      </c>
      <c r="AD4" s="19" t="n">
        <v>44.68333242270677</v>
      </c>
      <c r="AE4" s="19" t="n">
        <v>29.68096591737336</v>
      </c>
      <c r="AF4" s="19" t="n">
        <v>2652.709860699679</v>
      </c>
      <c r="AG4" s="24" t="n">
        <v>56198.34446960772</v>
      </c>
      <c r="AH4" s="24" t="n">
        <v>177056.4858325018</v>
      </c>
      <c r="AI4" s="19" t="n">
        <v>147.5470715270848</v>
      </c>
      <c r="AJ4" s="19" t="n">
        <v>98.00834816380438</v>
      </c>
      <c r="AK4" s="19" t="n">
        <v>8759.408717653318</v>
      </c>
      <c r="AL4" s="24" t="n">
        <v>185570.3391304642</v>
      </c>
      <c r="AM4" s="24" t="n">
        <v>1605060.146005886</v>
      </c>
      <c r="AN4" s="19" t="n">
        <v>1337.550121671572</v>
      </c>
      <c r="AO4" s="19" t="n">
        <v>888.4695348715364</v>
      </c>
      <c r="AP4" s="19" t="n">
        <v>79406.17238152045</v>
      </c>
      <c r="AQ4" s="24" t="n">
        <v>1682240.298730864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 t="n">
        <v>838423.6749898413</v>
      </c>
      <c r="J5" s="21" t="n">
        <v>698.6863958248678</v>
      </c>
      <c r="K5" s="21" t="n">
        <v>464.1034134435337</v>
      </c>
      <c r="L5" s="21" t="n">
        <v>30395.1646192431</v>
      </c>
      <c r="M5" s="25" t="n">
        <v>867656.049799816</v>
      </c>
      <c r="N5" s="25" t="n">
        <v>103118.7309875461</v>
      </c>
      <c r="O5" s="21" t="n">
        <v>85.93227582295511</v>
      </c>
      <c r="P5" s="21" t="n">
        <v>57.08063413388883</v>
      </c>
      <c r="Q5" s="21" t="n">
        <v>3738.337665300166</v>
      </c>
      <c r="R5" s="25" t="n">
        <v>106714.0557428894</v>
      </c>
      <c r="S5" s="25" t="n">
        <v>259320.892978629</v>
      </c>
      <c r="T5" s="21" t="n">
        <v>216.1007441488575</v>
      </c>
      <c r="U5" s="21" t="n">
        <v>143.545220869467</v>
      </c>
      <c r="V5" s="21" t="n">
        <v>9401.095730496938</v>
      </c>
      <c r="W5" s="25" t="n">
        <v>268362.3427441076</v>
      </c>
      <c r="X5" s="25" t="n">
        <v>239608.3161747756</v>
      </c>
      <c r="Y5" s="21" t="n">
        <v>199.673596812313</v>
      </c>
      <c r="Z5" s="21" t="n">
        <v>132.6334653270832</v>
      </c>
      <c r="AA5" s="21" t="n">
        <v>8686.460594472353</v>
      </c>
      <c r="AB5" s="25" t="n">
        <v>247962.4697071085</v>
      </c>
      <c r="AC5" s="25" t="n">
        <v>56198.34446960772</v>
      </c>
      <c r="AD5" s="21" t="n">
        <v>46.83195372467311</v>
      </c>
      <c r="AE5" s="21" t="n">
        <v>31.10819061560553</v>
      </c>
      <c r="AF5" s="21" t="n">
        <v>2037.344581787189</v>
      </c>
      <c r="AG5" s="25" t="n">
        <v>58157.74890705464</v>
      </c>
      <c r="AH5" s="25" t="n">
        <v>185570.3391304642</v>
      </c>
      <c r="AI5" s="21" t="n">
        <v>154.6419492753868</v>
      </c>
      <c r="AJ5" s="21" t="n">
        <v>102.7211306090159</v>
      </c>
      <c r="AK5" s="21" t="n">
        <v>6727.435274758396</v>
      </c>
      <c r="AL5" s="25" t="n">
        <v>192040.4113253382</v>
      </c>
      <c r="AM5" s="25" t="n">
        <v>1682240.298730864</v>
      </c>
      <c r="AN5" s="21" t="n">
        <v>1401.866915609054</v>
      </c>
      <c r="AO5" s="21" t="n">
        <v>931.1920549985942</v>
      </c>
      <c r="AP5" s="21" t="n">
        <v>60985.83846605814</v>
      </c>
      <c r="AQ5" s="25" t="n">
        <v>1740893.078226314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 t="n">
        <v>867656.049799816</v>
      </c>
      <c r="J6" s="19" t="n">
        <v>723.0467081665133</v>
      </c>
      <c r="K6" s="19" t="n">
        <v>480.2847849112877</v>
      </c>
      <c r="L6" s="19" t="n">
        <v>33174.47028917366</v>
      </c>
      <c r="M6" s="24" t="n">
        <v>899627.1885959118</v>
      </c>
      <c r="N6" s="24" t="n">
        <v>106714.0557428894</v>
      </c>
      <c r="O6" s="19" t="n">
        <v>88.9283797857412</v>
      </c>
      <c r="P6" s="19" t="n">
        <v>59.07080037223258</v>
      </c>
      <c r="Q6" s="19" t="n">
        <v>4080.167795172398</v>
      </c>
      <c r="R6" s="24" t="n">
        <v>110646.2243579039</v>
      </c>
      <c r="S6" s="24" t="n">
        <v>268362.3427441076</v>
      </c>
      <c r="T6" s="19" t="n">
        <v>223.6352856200897</v>
      </c>
      <c r="U6" s="19" t="n">
        <v>148.5500505561856</v>
      </c>
      <c r="V6" s="19" t="n">
        <v>10260.72320725645</v>
      </c>
      <c r="W6" s="24" t="n">
        <v>278250.8806151878</v>
      </c>
      <c r="X6" s="24" t="n">
        <v>247962.4697071085</v>
      </c>
      <c r="Y6" s="19" t="n">
        <v>206.6353914225905</v>
      </c>
      <c r="Z6" s="19" t="n">
        <v>137.2578471121444</v>
      </c>
      <c r="AA6" s="19" t="n">
        <v>9480.742497014213</v>
      </c>
      <c r="AB6" s="24" t="n">
        <v>257099.318965588</v>
      </c>
      <c r="AC6" s="24" t="n">
        <v>58157.74890705464</v>
      </c>
      <c r="AD6" s="19" t="n">
        <v>48.46479075587887</v>
      </c>
      <c r="AE6" s="19" t="n">
        <v>32.19280489220803</v>
      </c>
      <c r="AF6" s="19" t="n">
        <v>2223.637481289323</v>
      </c>
      <c r="AG6" s="24" t="n">
        <v>60300.72879269588</v>
      </c>
      <c r="AH6" s="24" t="n">
        <v>192040.4113253382</v>
      </c>
      <c r="AI6" s="19" t="n">
        <v>160.0336761044485</v>
      </c>
      <c r="AJ6" s="19" t="n">
        <v>106.3025926793749</v>
      </c>
      <c r="AK6" s="19" t="n">
        <v>7342.585718503304</v>
      </c>
      <c r="AL6" s="24" t="n">
        <v>199116.6607750577</v>
      </c>
      <c r="AM6" s="24" t="n">
        <v>1740893.078226314</v>
      </c>
      <c r="AN6" s="19" t="n">
        <v>1450.744231855262</v>
      </c>
      <c r="AO6" s="19" t="n">
        <v>963.6588805234333</v>
      </c>
      <c r="AP6" s="19" t="n">
        <v>66562.32698840936</v>
      </c>
      <c r="AQ6" s="24" t="n">
        <v>1805041.002102345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 t="n">
        <v>899627.1885959118</v>
      </c>
      <c r="J7" s="21" t="n">
        <v>749.6893238299266</v>
      </c>
      <c r="K7" s="21" t="n">
        <v>497.9821795454801</v>
      </c>
      <c r="L7" s="21" t="n">
        <v>15641.22513740778</v>
      </c>
      <c r="M7" s="25" t="n">
        <v>914020.7422299442</v>
      </c>
      <c r="N7" s="25" t="n">
        <v>110646.2243579039</v>
      </c>
      <c r="O7" s="21" t="n">
        <v>92.20518696491989</v>
      </c>
      <c r="P7" s="21" t="n">
        <v>61.24742411378644</v>
      </c>
      <c r="Q7" s="21" t="n">
        <v>1923.732994872239</v>
      </c>
      <c r="R7" s="25" t="n">
        <v>112416.5047416974</v>
      </c>
      <c r="S7" s="25" t="n">
        <v>278250.8806151878</v>
      </c>
      <c r="T7" s="21" t="n">
        <v>231.8757338459898</v>
      </c>
      <c r="U7" s="21" t="n">
        <v>154.0237797897853</v>
      </c>
      <c r="V7" s="21" t="n">
        <v>4837.764713599611</v>
      </c>
      <c r="W7" s="25" t="n">
        <v>282702.7458151516</v>
      </c>
      <c r="X7" s="25" t="n">
        <v>257099.318965588</v>
      </c>
      <c r="Y7" s="21" t="n">
        <v>214.2494324713234</v>
      </c>
      <c r="Z7" s="21" t="n">
        <v>142.3154845041595</v>
      </c>
      <c r="AA7" s="21" t="n">
        <v>4470.016448581631</v>
      </c>
      <c r="AB7" s="25" t="n">
        <v>261212.7704971942</v>
      </c>
      <c r="AC7" s="25" t="n">
        <v>60300.72879269588</v>
      </c>
      <c r="AD7" s="21" t="n">
        <v>50.25060732724657</v>
      </c>
      <c r="AE7" s="21" t="n">
        <v>33.37903604184606</v>
      </c>
      <c r="AF7" s="21" t="n">
        <v>1048.409037601879</v>
      </c>
      <c r="AG7" s="25" t="n">
        <v>61265.50818692867</v>
      </c>
      <c r="AH7" s="25" t="n">
        <v>199116.6607750577</v>
      </c>
      <c r="AI7" s="21" t="n">
        <v>165.9305506458814</v>
      </c>
      <c r="AJ7" s="21" t="n">
        <v>110.2195998226101</v>
      </c>
      <c r="AK7" s="21" t="n">
        <v>3461.910177094976</v>
      </c>
      <c r="AL7" s="25" t="n">
        <v>202302.4208016841</v>
      </c>
      <c r="AM7" s="25" t="n">
        <v>1805041.002102345</v>
      </c>
      <c r="AN7" s="21" t="n">
        <v>1504.200835085288</v>
      </c>
      <c r="AO7" s="21" t="n">
        <v>999.1675038176675</v>
      </c>
      <c r="AP7" s="21" t="n">
        <v>31383.05850915812</v>
      </c>
      <c r="AQ7" s="25" t="n">
        <v>1833920.6922726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 t="n">
        <v>914020.7422299442</v>
      </c>
      <c r="J8" s="19" t="n">
        <v>761.6839518582869</v>
      </c>
      <c r="K8" s="19" t="n">
        <v>505.9496279518218</v>
      </c>
      <c r="L8" s="19" t="n">
        <v>12264.18563247344</v>
      </c>
      <c r="M8" s="24" t="n">
        <v>925017.2942826075</v>
      </c>
      <c r="N8" s="24" t="n">
        <v>112416.5047416974</v>
      </c>
      <c r="O8" s="19" t="n">
        <v>93.68042061808117</v>
      </c>
      <c r="P8" s="19" t="n">
        <v>62.22735012658737</v>
      </c>
      <c r="Q8" s="19" t="n">
        <v>1508.386865425383</v>
      </c>
      <c r="R8" s="24" t="n">
        <v>113768.9838363781</v>
      </c>
      <c r="S8" s="24" t="n">
        <v>282702.7458151516</v>
      </c>
      <c r="T8" s="19" t="n">
        <v>235.5856215126263</v>
      </c>
      <c r="U8" s="19" t="n">
        <v>156.4880778494968</v>
      </c>
      <c r="V8" s="19" t="n">
        <v>3793.260692342949</v>
      </c>
      <c r="W8" s="24" t="n">
        <v>286103.9328081324</v>
      </c>
      <c r="X8" s="24" t="n">
        <v>261212.7704971942</v>
      </c>
      <c r="Y8" s="19" t="n">
        <v>217.6773087476618</v>
      </c>
      <c r="Z8" s="19" t="n">
        <v>144.5924561043187</v>
      </c>
      <c r="AA8" s="19" t="n">
        <v>3504.911605325842</v>
      </c>
      <c r="AB8" s="24" t="n">
        <v>264355.412337668</v>
      </c>
      <c r="AC8" s="24" t="n">
        <v>61265.50818692867</v>
      </c>
      <c r="AD8" s="19" t="n">
        <v>51.05459015577389</v>
      </c>
      <c r="AE8" s="19" t="n">
        <v>33.91308275765337</v>
      </c>
      <c r="AF8" s="19" t="n">
        <v>822.0508907042822</v>
      </c>
      <c r="AG8" s="24" t="n">
        <v>62002.59140471953</v>
      </c>
      <c r="AH8" s="24" t="n">
        <v>202302.4208016841</v>
      </c>
      <c r="AI8" s="19" t="n">
        <v>168.5853506680701</v>
      </c>
      <c r="AJ8" s="19" t="n">
        <v>111.9830544421224</v>
      </c>
      <c r="AK8" s="19" t="n">
        <v>2714.461858444824</v>
      </c>
      <c r="AL8" s="24" t="n">
        <v>204736.3142550188</v>
      </c>
      <c r="AM8" s="24" t="n">
        <v>1833920.6922726</v>
      </c>
      <c r="AN8" s="19" t="n">
        <v>1528.2672435605</v>
      </c>
      <c r="AO8" s="19" t="n">
        <v>1015.153649232</v>
      </c>
      <c r="AP8" s="19" t="n">
        <v>24607.25754471673</v>
      </c>
      <c r="AQ8" s="24" t="n">
        <v>1855984.528924524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 t="n">
        <v>925017.2942826075</v>
      </c>
      <c r="J9" s="21" t="n">
        <v>770.8477452355063</v>
      </c>
      <c r="K9" s="21" t="n">
        <v>512.0366904907135</v>
      </c>
      <c r="L9" s="21" t="n">
        <v>48871.28718220715</v>
      </c>
      <c r="M9" s="25" t="n">
        <v>972605.6970290884</v>
      </c>
      <c r="N9" s="25" t="n">
        <v>113768.9838363781</v>
      </c>
      <c r="O9" s="21" t="n">
        <v>94.8074865303151</v>
      </c>
      <c r="P9" s="21" t="n">
        <v>62.97600523160924</v>
      </c>
      <c r="Q9" s="21" t="n">
        <v>6010.738086586345</v>
      </c>
      <c r="R9" s="25" t="n">
        <v>119621.9384312025</v>
      </c>
      <c r="S9" s="25" t="n">
        <v>286103.9328081324</v>
      </c>
      <c r="T9" s="21" t="n">
        <v>238.4199440067771</v>
      </c>
      <c r="U9" s="21" t="n">
        <v>158.3707805215335</v>
      </c>
      <c r="V9" s="21" t="n">
        <v>15115.68221550822</v>
      </c>
      <c r="W9" s="25" t="n">
        <v>300822.8242991123</v>
      </c>
      <c r="X9" s="25" t="n">
        <v>264355.412337668</v>
      </c>
      <c r="Y9" s="21" t="n">
        <v>220.2961769480567</v>
      </c>
      <c r="Z9" s="21" t="n">
        <v>146.3320429610615</v>
      </c>
      <c r="AA9" s="21" t="n">
        <v>13966.64619610656</v>
      </c>
      <c r="AB9" s="25" t="n">
        <v>277955.4303138654</v>
      </c>
      <c r="AC9" s="25" t="n">
        <v>62002.59140471953</v>
      </c>
      <c r="AD9" s="21" t="n">
        <v>51.66882617059962</v>
      </c>
      <c r="AE9" s="21" t="n">
        <v>34.32108988766771</v>
      </c>
      <c r="AF9" s="21" t="n">
        <v>3275.77275507169</v>
      </c>
      <c r="AG9" s="25" t="n">
        <v>65192.37424373296</v>
      </c>
      <c r="AH9" s="25" t="n">
        <v>204736.3142550188</v>
      </c>
      <c r="AI9" s="21" t="n">
        <v>170.6135952125157</v>
      </c>
      <c r="AJ9" s="21" t="n">
        <v>113.3303187111856</v>
      </c>
      <c r="AK9" s="21" t="n">
        <v>10816.80015328094</v>
      </c>
      <c r="AL9" s="25" t="n">
        <v>215269.170494376</v>
      </c>
      <c r="AM9" s="25" t="n">
        <v>1855984.528924524</v>
      </c>
      <c r="AN9" s="21" t="n">
        <v>1546.653774103771</v>
      </c>
      <c r="AO9" s="21" t="n">
        <v>1027.366927803771</v>
      </c>
      <c r="AP9" s="21" t="n">
        <v>98056.92658876091</v>
      </c>
      <c r="AQ9" s="25" t="n">
        <v>1951467.434811377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 t="n">
        <v>972605.6970290884</v>
      </c>
      <c r="J10" s="19" t="n">
        <v>810.5047475242404</v>
      </c>
      <c r="K10" s="19" t="n">
        <v>538.3789096023518</v>
      </c>
      <c r="L10" s="19" t="n">
        <v>34379.92730343032</v>
      </c>
      <c r="M10" s="24" t="n">
        <v>1005636.740675392</v>
      </c>
      <c r="N10" s="24" t="n">
        <v>119621.9384312025</v>
      </c>
      <c r="O10" s="19" t="n">
        <v>99.68494869266877</v>
      </c>
      <c r="P10" s="19" t="n">
        <v>66.21586627945112</v>
      </c>
      <c r="Q10" s="19" t="n">
        <v>4228.428395723414</v>
      </c>
      <c r="R10" s="24" t="n">
        <v>123684.4660119538</v>
      </c>
      <c r="S10" s="24" t="n">
        <v>300822.8242991123</v>
      </c>
      <c r="T10" s="19" t="n">
        <v>250.6856869159269</v>
      </c>
      <c r="U10" s="19" t="n">
        <v>166.5183173657805</v>
      </c>
      <c r="V10" s="19" t="n">
        <v>10633.56595813438</v>
      </c>
      <c r="W10" s="24" t="n">
        <v>311039.186252965</v>
      </c>
      <c r="X10" s="24" t="n">
        <v>277955.4303138654</v>
      </c>
      <c r="Y10" s="19" t="n">
        <v>231.6295252615545</v>
      </c>
      <c r="Z10" s="19" t="n">
        <v>153.8602353939901</v>
      </c>
      <c r="AA10" s="19" t="n">
        <v>9825.243176113727</v>
      </c>
      <c r="AB10" s="24" t="n">
        <v>287395.1837293236</v>
      </c>
      <c r="AC10" s="24" t="n">
        <v>65192.37424373296</v>
      </c>
      <c r="AD10" s="19" t="n">
        <v>54.32697853644413</v>
      </c>
      <c r="AE10" s="19" t="n">
        <v>36.08677130613155</v>
      </c>
      <c r="AF10" s="19" t="n">
        <v>2304.437547593894</v>
      </c>
      <c r="AG10" s="24" t="n">
        <v>67406.39804148427</v>
      </c>
      <c r="AH10" s="24" t="n">
        <v>215269.170494376</v>
      </c>
      <c r="AI10" s="19" t="n">
        <v>179.39097541198</v>
      </c>
      <c r="AJ10" s="19" t="n">
        <v>119.1607057575139</v>
      </c>
      <c r="AK10" s="19" t="n">
        <v>7609.392434028742</v>
      </c>
      <c r="AL10" s="24" t="n">
        <v>222580.0112472353</v>
      </c>
      <c r="AM10" s="24" t="n">
        <v>1951467.434811377</v>
      </c>
      <c r="AN10" s="19" t="n">
        <v>1626.222862342815</v>
      </c>
      <c r="AO10" s="19" t="n">
        <v>1080.220805705219</v>
      </c>
      <c r="AP10" s="19" t="n">
        <v>68980.99481502447</v>
      </c>
      <c r="AQ10" s="24" t="n">
        <v>2017741.985958354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 t="n">
        <v>1005636.740675392</v>
      </c>
      <c r="J11" s="21" t="n">
        <v>838.0306172294935</v>
      </c>
      <c r="K11" s="21" t="n">
        <v>556.6630069664172</v>
      </c>
      <c r="L11" s="21" t="n">
        <v>14005.42533314802</v>
      </c>
      <c r="M11" s="25" t="n">
        <v>1018247.472384344</v>
      </c>
      <c r="N11" s="25" t="n">
        <v>123684.4660119538</v>
      </c>
      <c r="O11" s="21" t="n">
        <v>103.0703883432949</v>
      </c>
      <c r="P11" s="21" t="n">
        <v>68.46464929176052</v>
      </c>
      <c r="Q11" s="21" t="n">
        <v>1722.544019659932</v>
      </c>
      <c r="R11" s="25" t="n">
        <v>125235.4749939787</v>
      </c>
      <c r="S11" s="25" t="n">
        <v>311039.186252965</v>
      </c>
      <c r="T11" s="21" t="n">
        <v>259.1993218774708</v>
      </c>
      <c r="U11" s="21" t="n">
        <v>172.1735112697637</v>
      </c>
      <c r="V11" s="21" t="n">
        <v>4331.818759747525</v>
      </c>
      <c r="W11" s="25" t="n">
        <v>314939.6321795653</v>
      </c>
      <c r="X11" s="25" t="n">
        <v>287395.1837293236</v>
      </c>
      <c r="Y11" s="21" t="n">
        <v>239.495986441103</v>
      </c>
      <c r="Z11" s="21" t="n">
        <v>159.0855432101517</v>
      </c>
      <c r="AA11" s="21" t="n">
        <v>4002.53056001526</v>
      </c>
      <c r="AB11" s="25" t="n">
        <v>290999.1327596875</v>
      </c>
      <c r="AC11" s="25" t="n">
        <v>67406.39804148427</v>
      </c>
      <c r="AD11" s="21" t="n">
        <v>56.17199836790356</v>
      </c>
      <c r="AE11" s="21" t="n">
        <v>37.31232830390366</v>
      </c>
      <c r="AF11" s="21" t="n">
        <v>938.763707173655</v>
      </c>
      <c r="AG11" s="25" t="n">
        <v>68251.67742198611</v>
      </c>
      <c r="AH11" s="25" t="n">
        <v>222580.0112472353</v>
      </c>
      <c r="AI11" s="21" t="n">
        <v>185.4833427060294</v>
      </c>
      <c r="AJ11" s="21" t="n">
        <v>123.2075692344848</v>
      </c>
      <c r="AK11" s="21" t="n">
        <v>3099.854651373201</v>
      </c>
      <c r="AL11" s="25" t="n">
        <v>225371.174986668</v>
      </c>
      <c r="AM11" s="25" t="n">
        <v>2017741.985958354</v>
      </c>
      <c r="AN11" s="21" t="n">
        <v>1681.451654965295</v>
      </c>
      <c r="AO11" s="21" t="n">
        <v>1116.906608276482</v>
      </c>
      <c r="AP11" s="21" t="n">
        <v>28100.93703111759</v>
      </c>
      <c r="AQ11" s="25" t="n">
        <v>2043044.56472623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 t="n">
        <v>1018247.472384344</v>
      </c>
      <c r="J12" s="19" t="n">
        <v>848.5395603202868</v>
      </c>
      <c r="K12" s="19" t="n">
        <v>563.6435870797068</v>
      </c>
      <c r="L12" s="19" t="n">
        <v>57728.21420223168</v>
      </c>
      <c r="M12" s="24" t="n">
        <v>1074563.503439176</v>
      </c>
      <c r="N12" s="24" t="n">
        <v>125235.4749939787</v>
      </c>
      <c r="O12" s="19" t="n">
        <v>104.3628958283156</v>
      </c>
      <c r="P12" s="19" t="n">
        <v>69.32319919237973</v>
      </c>
      <c r="Q12" s="19" t="n">
        <v>7100.062138373532</v>
      </c>
      <c r="R12" s="24" t="n">
        <v>132161.8510373315</v>
      </c>
      <c r="S12" s="24" t="n">
        <v>314939.6321795653</v>
      </c>
      <c r="T12" s="19" t="n">
        <v>262.4496934829711</v>
      </c>
      <c r="U12" s="19" t="n">
        <v>174.3325751446108</v>
      </c>
      <c r="V12" s="19" t="n">
        <v>17855.09224458109</v>
      </c>
      <c r="W12" s="24" t="n">
        <v>332357.9421555189</v>
      </c>
      <c r="X12" s="24" t="n">
        <v>290999.1327596875</v>
      </c>
      <c r="Y12" s="19" t="n">
        <v>242.4992772997396</v>
      </c>
      <c r="Z12" s="19" t="n">
        <v>161.0804833540935</v>
      </c>
      <c r="AA12" s="19" t="n">
        <v>16497.81681193711</v>
      </c>
      <c r="AB12" s="24" t="n">
        <v>307093.3698109708</v>
      </c>
      <c r="AC12" s="24" t="n">
        <v>68251.67742198611</v>
      </c>
      <c r="AD12" s="19" t="n">
        <v>56.8763978516551</v>
      </c>
      <c r="AE12" s="19" t="n">
        <v>37.7802266439751</v>
      </c>
      <c r="AF12" s="19" t="n">
        <v>3869.439955153493</v>
      </c>
      <c r="AG12" s="24" t="n">
        <v>72026.46075264398</v>
      </c>
      <c r="AH12" s="24" t="n">
        <v>225371.174986668</v>
      </c>
      <c r="AI12" s="19" t="n">
        <v>187.80931248889</v>
      </c>
      <c r="AJ12" s="19" t="n">
        <v>124.7525979086407</v>
      </c>
      <c r="AK12" s="19" t="n">
        <v>12777.12522494551</v>
      </c>
      <c r="AL12" s="24" t="n">
        <v>237835.738301216</v>
      </c>
      <c r="AM12" s="24" t="n">
        <v>2043044.56472623</v>
      </c>
      <c r="AN12" s="19" t="n">
        <v>1702.537137271858</v>
      </c>
      <c r="AO12" s="19" t="n">
        <v>1130.912669323407</v>
      </c>
      <c r="AP12" s="19" t="n">
        <v>115827.7505772224</v>
      </c>
      <c r="AQ12" s="24" t="n">
        <v>2156038.865496857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 t="n">
        <v>1074563.503439176</v>
      </c>
      <c r="J13" s="21" t="n">
        <v>895.4695861993131</v>
      </c>
      <c r="K13" s="21" t="n">
        <v>594.8169222607012</v>
      </c>
      <c r="L13" s="21" t="n">
        <v>52077.63126159317</v>
      </c>
      <c r="M13" s="25" t="n">
        <v>1125150.848192309</v>
      </c>
      <c r="N13" s="25" t="n">
        <v>132161.8510373315</v>
      </c>
      <c r="O13" s="21" t="n">
        <v>110.1348758644429</v>
      </c>
      <c r="P13" s="21" t="n">
        <v>73.15724498617548</v>
      </c>
      <c r="Q13" s="21" t="n">
        <v>6405.090181402518</v>
      </c>
      <c r="R13" s="25" t="n">
        <v>138383.6490978834</v>
      </c>
      <c r="S13" s="25" t="n">
        <v>332357.9421555189</v>
      </c>
      <c r="T13" s="21" t="n">
        <v>276.9649517962657</v>
      </c>
      <c r="U13" s="21" t="n">
        <v>183.9743557352597</v>
      </c>
      <c r="V13" s="21" t="n">
        <v>16107.39086432852</v>
      </c>
      <c r="W13" s="25" t="n">
        <v>348004.3937123159</v>
      </c>
      <c r="X13" s="25" t="n">
        <v>307093.3698109708</v>
      </c>
      <c r="Y13" s="21" t="n">
        <v>255.9111415091423</v>
      </c>
      <c r="Z13" s="21" t="n">
        <v>169.9893328714458</v>
      </c>
      <c r="AA13" s="21" t="n">
        <v>14882.96896806067</v>
      </c>
      <c r="AB13" s="25" t="n">
        <v>321550.4383046509</v>
      </c>
      <c r="AC13" s="25" t="n">
        <v>72026.46075264398</v>
      </c>
      <c r="AD13" s="21" t="n">
        <v>60.02205062720332</v>
      </c>
      <c r="AE13" s="21" t="n">
        <v>39.86973088989145</v>
      </c>
      <c r="AF13" s="21" t="n">
        <v>3490.689430776973</v>
      </c>
      <c r="AG13" s="25" t="n">
        <v>75417.25840190386</v>
      </c>
      <c r="AH13" s="25" t="n">
        <v>237835.738301216</v>
      </c>
      <c r="AI13" s="21" t="n">
        <v>198.1964485843467</v>
      </c>
      <c r="AJ13" s="21" t="n">
        <v>131.6522675552962</v>
      </c>
      <c r="AK13" s="21" t="n">
        <v>11526.46804068624</v>
      </c>
      <c r="AL13" s="25" t="n">
        <v>249032.3576257626</v>
      </c>
      <c r="AM13" s="25" t="n">
        <v>2156038.865496857</v>
      </c>
      <c r="AN13" s="21" t="n">
        <v>1796.699054580714</v>
      </c>
      <c r="AO13" s="21" t="n">
        <v>1193.45985429877</v>
      </c>
      <c r="AP13" s="21" t="n">
        <v>104490.2387468481</v>
      </c>
      <c r="AQ13" s="25" t="n">
        <v>2257538.945334825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 t="n">
        <v>1125150.848192309</v>
      </c>
      <c r="J14" s="19" t="n">
        <v>937.6257068269241</v>
      </c>
      <c r="K14" s="19" t="n">
        <v>622.819184216458</v>
      </c>
      <c r="L14" s="19" t="n">
        <v>35174.15857610713</v>
      </c>
      <c r="M14" s="24" t="n">
        <v>1158764.561877372</v>
      </c>
      <c r="N14" s="24" t="n">
        <v>138383.6490978834</v>
      </c>
      <c r="O14" s="19" t="n">
        <v>115.3197075815695</v>
      </c>
      <c r="P14" s="19" t="n">
        <v>76.60127668970947</v>
      </c>
      <c r="Q14" s="19" t="n">
        <v>4326.111850272868</v>
      </c>
      <c r="R14" s="24" t="n">
        <v>142517.839963885</v>
      </c>
      <c r="S14" s="24" t="n">
        <v>348004.3937123159</v>
      </c>
      <c r="T14" s="19" t="n">
        <v>290.0036614269299</v>
      </c>
      <c r="U14" s="19" t="n">
        <v>192.6353368029477</v>
      </c>
      <c r="V14" s="19" t="n">
        <v>10879.2183281782</v>
      </c>
      <c r="W14" s="24" t="n">
        <v>358400.9730422642</v>
      </c>
      <c r="X14" s="24" t="n">
        <v>321550.4383046509</v>
      </c>
      <c r="Y14" s="19" t="n">
        <v>267.9586985872091</v>
      </c>
      <c r="Z14" s="19" t="n">
        <v>177.9919394729175</v>
      </c>
      <c r="AA14" s="19" t="n">
        <v>10052.22199789109</v>
      </c>
      <c r="AB14" s="24" t="n">
        <v>331156.7096644819</v>
      </c>
      <c r="AC14" s="24" t="n">
        <v>75417.25840190386</v>
      </c>
      <c r="AD14" s="19" t="n">
        <v>62.84771533491989</v>
      </c>
      <c r="AE14" s="19" t="n">
        <v>41.74668261520728</v>
      </c>
      <c r="AF14" s="19" t="n">
        <v>2357.673738295412</v>
      </c>
      <c r="AG14" s="24" t="n">
        <v>77670.33774224915</v>
      </c>
      <c r="AH14" s="24" t="n">
        <v>249032.3576257626</v>
      </c>
      <c r="AI14" s="19" t="n">
        <v>207.5269646881355</v>
      </c>
      <c r="AJ14" s="19" t="n">
        <v>137.8500758979732</v>
      </c>
      <c r="AK14" s="19" t="n">
        <v>7785.181561906654</v>
      </c>
      <c r="AL14" s="24" t="n">
        <v>256472.1621470831</v>
      </c>
      <c r="AM14" s="24" t="n">
        <v>2257538.945334825</v>
      </c>
      <c r="AN14" s="19" t="n">
        <v>1881.282454445688</v>
      </c>
      <c r="AO14" s="19" t="n">
        <v>1249.644495695213</v>
      </c>
      <c r="AP14" s="19" t="n">
        <v>70574.56605265135</v>
      </c>
      <c r="AQ14" s="24" t="n">
        <v>2324982.584437336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 t="n">
        <v>1158764.561877372</v>
      </c>
      <c r="J15" s="21" t="n">
        <v>965.6371348978105</v>
      </c>
      <c r="K15" s="21" t="n">
        <v>641.4258144024923</v>
      </c>
      <c r="L15" s="21" t="n">
        <v>53355.27907508897</v>
      </c>
      <c r="M15" s="25" t="n">
        <v>1210512.778003161</v>
      </c>
      <c r="N15" s="25" t="n">
        <v>142517.839963885</v>
      </c>
      <c r="O15" s="21" t="n">
        <v>118.7648666365708</v>
      </c>
      <c r="P15" s="21" t="n">
        <v>78.88972839971355</v>
      </c>
      <c r="Q15" s="21" t="n">
        <v>6562.229614730539</v>
      </c>
      <c r="R15" s="25" t="n">
        <v>148882.4149835792</v>
      </c>
      <c r="S15" s="25" t="n">
        <v>358400.9730422642</v>
      </c>
      <c r="T15" s="21" t="n">
        <v>298.6674775352202</v>
      </c>
      <c r="U15" s="21" t="n">
        <v>198.3902887432349</v>
      </c>
      <c r="V15" s="21" t="n">
        <v>16502.56192377163</v>
      </c>
      <c r="W15" s="25" t="n">
        <v>374406.4771997574</v>
      </c>
      <c r="X15" s="25" t="n">
        <v>331156.7096644819</v>
      </c>
      <c r="Y15" s="21" t="n">
        <v>275.9639247204016</v>
      </c>
      <c r="Z15" s="21" t="n">
        <v>183.3094221031836</v>
      </c>
      <c r="AA15" s="21" t="n">
        <v>15248.10064359431</v>
      </c>
      <c r="AB15" s="25" t="n">
        <v>345945.5369612526</v>
      </c>
      <c r="AC15" s="25" t="n">
        <v>77670.33774224915</v>
      </c>
      <c r="AD15" s="21" t="n">
        <v>64.7252814518743</v>
      </c>
      <c r="AE15" s="21" t="n">
        <v>42.99385852853776</v>
      </c>
      <c r="AF15" s="21" t="n">
        <v>3576.328343507519</v>
      </c>
      <c r="AG15" s="25" t="n">
        <v>81138.94694577625</v>
      </c>
      <c r="AH15" s="25" t="n">
        <v>256472.1621470831</v>
      </c>
      <c r="AI15" s="21" t="n">
        <v>213.7268017892359</v>
      </c>
      <c r="AJ15" s="21" t="n">
        <v>141.9683263442518</v>
      </c>
      <c r="AK15" s="21" t="n">
        <v>11809.25292035055</v>
      </c>
      <c r="AL15" s="25" t="n">
        <v>267925.7199393002</v>
      </c>
      <c r="AM15" s="25" t="n">
        <v>2324982.584437336</v>
      </c>
      <c r="AN15" s="21" t="n">
        <v>1937.485487031113</v>
      </c>
      <c r="AO15" s="21" t="n">
        <v>1286.977438521414</v>
      </c>
      <c r="AP15" s="21" t="n">
        <v>107053.7525210435</v>
      </c>
      <c r="AQ15" s="25" t="n">
        <v>2428811.874032827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 t="n">
        <v>1210512.778003161</v>
      </c>
      <c r="J16" s="19" t="n">
        <v>1008.760648335968</v>
      </c>
      <c r="K16" s="19" t="n">
        <v>670.0706683826511</v>
      </c>
      <c r="L16" s="19" t="n">
        <v>51573.96311813164</v>
      </c>
      <c r="M16" s="24" t="n">
        <v>1260407.909804574</v>
      </c>
      <c r="N16" s="24" t="n">
        <v>148882.4149835792</v>
      </c>
      <c r="O16" s="19" t="n">
        <v>124.0686791529827</v>
      </c>
      <c r="P16" s="19" t="n">
        <v>82.41279326521051</v>
      </c>
      <c r="Q16" s="19" t="n">
        <v>6343.143433783261</v>
      </c>
      <c r="R16" s="24" t="n">
        <v>155019.0769449443</v>
      </c>
      <c r="S16" s="24" t="n">
        <v>374406.4771997574</v>
      </c>
      <c r="T16" s="19" t="n">
        <v>312.0053976664645</v>
      </c>
      <c r="U16" s="19" t="n">
        <v>207.2500208034814</v>
      </c>
      <c r="V16" s="19" t="n">
        <v>15951.60843997258</v>
      </c>
      <c r="W16" s="24" t="n">
        <v>389838.83022126</v>
      </c>
      <c r="X16" s="24" t="n">
        <v>345945.5369612526</v>
      </c>
      <c r="Y16" s="19" t="n">
        <v>288.2879474677105</v>
      </c>
      <c r="Z16" s="19" t="n">
        <v>191.4956714112573</v>
      </c>
      <c r="AA16" s="19" t="n">
        <v>14739.02852438563</v>
      </c>
      <c r="AB16" s="24" t="n">
        <v>360204.7818667592</v>
      </c>
      <c r="AC16" s="24" t="n">
        <v>81138.94694577625</v>
      </c>
      <c r="AD16" s="19" t="n">
        <v>67.6157891214802</v>
      </c>
      <c r="AE16" s="19" t="n">
        <v>44.91388228177694</v>
      </c>
      <c r="AF16" s="19" t="n">
        <v>3456.929272674374</v>
      </c>
      <c r="AG16" s="24" t="n">
        <v>84483.34654704736</v>
      </c>
      <c r="AH16" s="24" t="n">
        <v>267925.7199393002</v>
      </c>
      <c r="AI16" s="19" t="n">
        <v>223.2714332827501</v>
      </c>
      <c r="AJ16" s="19" t="n">
        <v>148.3083611333519</v>
      </c>
      <c r="AK16" s="19" t="n">
        <v>11414.98995272254</v>
      </c>
      <c r="AL16" s="24" t="n">
        <v>278969.1300976066</v>
      </c>
      <c r="AM16" s="24" t="n">
        <v>2428811.874032827</v>
      </c>
      <c r="AN16" s="19" t="n">
        <v>2024.009895027356</v>
      </c>
      <c r="AO16" s="19" t="n">
        <v>1344.451397277729</v>
      </c>
      <c r="AP16" s="19" t="n">
        <v>103479.66274167</v>
      </c>
      <c r="AQ16" s="24" t="n">
        <v>2528923.075482192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 t="n">
        <v>1260407.909804574</v>
      </c>
      <c r="J17" s="21" t="n">
        <v>1050.339924837145</v>
      </c>
      <c r="K17" s="21" t="n">
        <v>697.6897608224386</v>
      </c>
      <c r="L17" s="21" t="n">
        <v>52567.36126290019</v>
      </c>
      <c r="M17" s="25" t="n">
        <v>1311227.241381815</v>
      </c>
      <c r="N17" s="25" t="n">
        <v>155019.0769449443</v>
      </c>
      <c r="O17" s="21" t="n">
        <v>129.1825641207869</v>
      </c>
      <c r="P17" s="21" t="n">
        <v>85.80969849150092</v>
      </c>
      <c r="Q17" s="21" t="n">
        <v>6465.322660240762</v>
      </c>
      <c r="R17" s="25" t="n">
        <v>161269.4073425728</v>
      </c>
      <c r="S17" s="25" t="n">
        <v>389838.83022126</v>
      </c>
      <c r="T17" s="21" t="n">
        <v>324.86569185105</v>
      </c>
      <c r="U17" s="21" t="n">
        <v>215.7924891621329</v>
      </c>
      <c r="V17" s="21" t="n">
        <v>16258.862280327</v>
      </c>
      <c r="W17" s="25" t="n">
        <v>405557.0343205738</v>
      </c>
      <c r="X17" s="25" t="n">
        <v>360204.7818667592</v>
      </c>
      <c r="Y17" s="21" t="n">
        <v>300.1706515556327</v>
      </c>
      <c r="Z17" s="21" t="n">
        <v>199.3887741839732</v>
      </c>
      <c r="AA17" s="21" t="n">
        <v>15022.92610965125</v>
      </c>
      <c r="AB17" s="25" t="n">
        <v>374728.1485506708</v>
      </c>
      <c r="AC17" s="25" t="n">
        <v>84483.34654704736</v>
      </c>
      <c r="AD17" s="21" t="n">
        <v>70.40278878920614</v>
      </c>
      <c r="AE17" s="21" t="n">
        <v>46.76515070032193</v>
      </c>
      <c r="AF17" s="21" t="n">
        <v>3523.515335068007</v>
      </c>
      <c r="AG17" s="25" t="n">
        <v>87889.69394262585</v>
      </c>
      <c r="AH17" s="25" t="n">
        <v>278969.1300976066</v>
      </c>
      <c r="AI17" s="21" t="n">
        <v>232.4742750813389</v>
      </c>
      <c r="AJ17" s="21" t="n">
        <v>154.4213616406302</v>
      </c>
      <c r="AK17" s="21" t="n">
        <v>11634.86116594717</v>
      </c>
      <c r="AL17" s="25" t="n">
        <v>290217.0956268318</v>
      </c>
      <c r="AM17" s="25" t="n">
        <v>2528923.075482192</v>
      </c>
      <c r="AN17" s="21" t="n">
        <v>2107.43589623516</v>
      </c>
      <c r="AO17" s="21" t="n">
        <v>1399.867235000998</v>
      </c>
      <c r="AP17" s="21" t="n">
        <v>105472.8488141344</v>
      </c>
      <c r="AQ17" s="25" t="n">
        <v>2630888.62116509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 t="n">
        <v>1311227.241381815</v>
      </c>
      <c r="J18" s="19" t="n">
        <v>1092.689367818179</v>
      </c>
      <c r="K18" s="19" t="n">
        <v>725.8204374212381</v>
      </c>
      <c r="L18" s="19" t="n">
        <v>47047.75763692326</v>
      </c>
      <c r="M18" s="24" t="n">
        <v>1356456.489213499</v>
      </c>
      <c r="N18" s="24" t="n">
        <v>161269.4073425728</v>
      </c>
      <c r="O18" s="19" t="n">
        <v>134.3911727854773</v>
      </c>
      <c r="P18" s="19" t="n">
        <v>89.2695240656349</v>
      </c>
      <c r="Q18" s="19" t="n">
        <v>5786.460005900883</v>
      </c>
      <c r="R18" s="24" t="n">
        <v>166832.2066516225</v>
      </c>
      <c r="S18" s="24" t="n">
        <v>405557.0343205738</v>
      </c>
      <c r="T18" s="19" t="n">
        <v>337.9641952671449</v>
      </c>
      <c r="U18" s="19" t="n">
        <v>224.4931883352355</v>
      </c>
      <c r="V18" s="19" t="n">
        <v>14551.67224756253</v>
      </c>
      <c r="W18" s="24" t="n">
        <v>419546.249184534</v>
      </c>
      <c r="X18" s="24" t="n">
        <v>374728.1485506708</v>
      </c>
      <c r="Y18" s="19" t="n">
        <v>312.273457125559</v>
      </c>
      <c r="Z18" s="19" t="n">
        <v>207.4280796732619</v>
      </c>
      <c r="AA18" s="19" t="n">
        <v>13445.51009645417</v>
      </c>
      <c r="AB18" s="24" t="n">
        <v>387653.9571103262</v>
      </c>
      <c r="AC18" s="24" t="n">
        <v>87889.69394262585</v>
      </c>
      <c r="AD18" s="19" t="n">
        <v>73.24141161885488</v>
      </c>
      <c r="AE18" s="19" t="n">
        <v>48.65070987621426</v>
      </c>
      <c r="AF18" s="19" t="n">
        <v>3153.54416755284</v>
      </c>
      <c r="AG18" s="24" t="n">
        <v>90921.34598868362</v>
      </c>
      <c r="AH18" s="24" t="n">
        <v>290217.0956268318</v>
      </c>
      <c r="AI18" s="19" t="n">
        <v>241.8475796890265</v>
      </c>
      <c r="AJ18" s="19" t="n">
        <v>160.6475923067333</v>
      </c>
      <c r="AK18" s="19" t="n">
        <v>10413.19395008439</v>
      </c>
      <c r="AL18" s="24" t="n">
        <v>300227.7944049205</v>
      </c>
      <c r="AM18" s="24" t="n">
        <v>2630888.62116509</v>
      </c>
      <c r="AN18" s="19" t="n">
        <v>2192.407184304242</v>
      </c>
      <c r="AO18" s="19" t="n">
        <v>1456.309531678318</v>
      </c>
      <c r="AP18" s="19" t="n">
        <v>94398.13810447807</v>
      </c>
      <c r="AQ18" s="24" t="n">
        <v>2721638.042553585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 t="n">
        <v>1356456.489213499</v>
      </c>
      <c r="J19" s="21" t="n">
        <v>1130.380407677916</v>
      </c>
      <c r="K19" s="21" t="n">
        <v>750.8567632459143</v>
      </c>
      <c r="L19" s="21" t="n">
        <v>32820.87997556965</v>
      </c>
      <c r="M19" s="25" t="n">
        <v>1387396.132018144</v>
      </c>
      <c r="N19" s="25" t="n">
        <v>166832.2066516225</v>
      </c>
      <c r="O19" s="21" t="n">
        <v>139.0268388763521</v>
      </c>
      <c r="P19" s="21" t="n">
        <v>92.34877173557051</v>
      </c>
      <c r="Q19" s="21" t="n">
        <v>4036.679299420204</v>
      </c>
      <c r="R19" s="25" t="n">
        <v>170637.5103404308</v>
      </c>
      <c r="S19" s="25" t="n">
        <v>419546.249184534</v>
      </c>
      <c r="T19" s="21" t="n">
        <v>349.621874320445</v>
      </c>
      <c r="U19" s="21" t="n">
        <v>232.2368179146812</v>
      </c>
      <c r="V19" s="21" t="n">
        <v>10151.35922027996</v>
      </c>
      <c r="W19" s="25" t="n">
        <v>429115.7497125788</v>
      </c>
      <c r="X19" s="25" t="n">
        <v>387653.9571103262</v>
      </c>
      <c r="Y19" s="21" t="n">
        <v>323.0449642586051</v>
      </c>
      <c r="Z19" s="21" t="n">
        <v>214.5830683180261</v>
      </c>
      <c r="AA19" s="21" t="n">
        <v>9379.691939657998</v>
      </c>
      <c r="AB19" s="25" t="n">
        <v>396496.0210174075</v>
      </c>
      <c r="AC19" s="25" t="n">
        <v>90921.34598868362</v>
      </c>
      <c r="AD19" s="21" t="n">
        <v>75.76778832390302</v>
      </c>
      <c r="AE19" s="21" t="n">
        <v>50.32885912810118</v>
      </c>
      <c r="AF19" s="21" t="n">
        <v>2199.936826312858</v>
      </c>
      <c r="AG19" s="25" t="n">
        <v>92995.18616754447</v>
      </c>
      <c r="AH19" s="25" t="n">
        <v>300227.7944049205</v>
      </c>
      <c r="AI19" s="21" t="n">
        <v>250.1898286707671</v>
      </c>
      <c r="AJ19" s="21" t="n">
        <v>166.1889428344629</v>
      </c>
      <c r="AK19" s="21" t="n">
        <v>7264.324719480901</v>
      </c>
      <c r="AL19" s="25" t="n">
        <v>307075.7403528962</v>
      </c>
      <c r="AM19" s="25" t="n">
        <v>2721638.042553585</v>
      </c>
      <c r="AN19" s="21" t="n">
        <v>2268.031702127988</v>
      </c>
      <c r="AO19" s="21" t="n">
        <v>1506.543223176756</v>
      </c>
      <c r="AP19" s="21" t="n">
        <v>65852.87198072157</v>
      </c>
      <c r="AQ19" s="25" t="n">
        <v>2783716.339609002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 t="n">
        <v>1387396.132018144</v>
      </c>
      <c r="J20" s="19" t="n">
        <v>1156.163443348454</v>
      </c>
      <c r="K20" s="19" t="n">
        <v>767.9831806702955</v>
      </c>
      <c r="L20" s="19" t="n">
        <v>53724.97666251249</v>
      </c>
      <c r="M20" s="24" t="n">
        <v>1439196.962056638</v>
      </c>
      <c r="N20" s="24" t="n">
        <v>170637.5103404308</v>
      </c>
      <c r="O20" s="19" t="n">
        <v>142.1979252836923</v>
      </c>
      <c r="P20" s="19" t="n">
        <v>94.45517030689736</v>
      </c>
      <c r="Q20" s="19" t="n">
        <v>6607.699163362656</v>
      </c>
      <c r="R20" s="24" t="n">
        <v>177008.5564082029</v>
      </c>
      <c r="S20" s="24" t="n">
        <v>429115.7497125788</v>
      </c>
      <c r="T20" s="19" t="n">
        <v>357.5964580938157</v>
      </c>
      <c r="U20" s="19" t="n">
        <v>237.5339463146743</v>
      </c>
      <c r="V20" s="19" t="n">
        <v>16616.90782234597</v>
      </c>
      <c r="W20" s="24" t="n">
        <v>445137.5271305164</v>
      </c>
      <c r="X20" s="24" t="n">
        <v>396496.0210174075</v>
      </c>
      <c r="Y20" s="19" t="n">
        <v>330.4133508478396</v>
      </c>
      <c r="Z20" s="19" t="n">
        <v>219.4775293925085</v>
      </c>
      <c r="AA20" s="19" t="n">
        <v>15353.75440679165</v>
      </c>
      <c r="AB20" s="24" t="n">
        <v>411299.8845439588</v>
      </c>
      <c r="AC20" s="24" t="n">
        <v>92995.18616754447</v>
      </c>
      <c r="AD20" s="19" t="n">
        <v>77.49598847295373</v>
      </c>
      <c r="AE20" s="19" t="n">
        <v>51.47681848881142</v>
      </c>
      <c r="AF20" s="19" t="n">
        <v>3601.108646100788</v>
      </c>
      <c r="AG20" s="24" t="n">
        <v>96467.32200668351</v>
      </c>
      <c r="AH20" s="24" t="n">
        <v>307075.7403528962</v>
      </c>
      <c r="AI20" s="19" t="n">
        <v>255.8964502940802</v>
      </c>
      <c r="AJ20" s="19" t="n">
        <v>169.9795742113391</v>
      </c>
      <c r="AK20" s="19" t="n">
        <v>11891.07898123168</v>
      </c>
      <c r="AL20" s="24" t="n">
        <v>318540.9433096224</v>
      </c>
      <c r="AM20" s="24" t="n">
        <v>2783716.339609002</v>
      </c>
      <c r="AN20" s="19" t="n">
        <v>2319.763616340835</v>
      </c>
      <c r="AO20" s="19" t="n">
        <v>1540.906219384526</v>
      </c>
      <c r="AP20" s="19" t="n">
        <v>107795.5256823453</v>
      </c>
      <c r="AQ20" s="24" t="n">
        <v>2887651.195455622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 t="n">
        <v>1439196.962056638</v>
      </c>
      <c r="J21" s="21" t="n">
        <v>1199.330801713865</v>
      </c>
      <c r="K21" s="21" t="n">
        <v>796.6571587045686</v>
      </c>
      <c r="L21" s="21" t="n">
        <v>32575.23543221989</v>
      </c>
      <c r="M21" s="25" t="n">
        <v>1469776.20952844</v>
      </c>
      <c r="N21" s="25" t="n">
        <v>177008.5564082029</v>
      </c>
      <c r="O21" s="21" t="n">
        <v>147.5071303401691</v>
      </c>
      <c r="P21" s="21" t="n">
        <v>97.98181717465766</v>
      </c>
      <c r="Q21" s="21" t="n">
        <v>4006.467183112122</v>
      </c>
      <c r="R21" s="25" t="n">
        <v>180769.5346438001</v>
      </c>
      <c r="S21" s="25" t="n">
        <v>445137.5271305164</v>
      </c>
      <c r="T21" s="21" t="n">
        <v>370.9479392754303</v>
      </c>
      <c r="U21" s="21" t="n">
        <v>246.4026863215538</v>
      </c>
      <c r="V21" s="21" t="n">
        <v>10075.38240302517</v>
      </c>
      <c r="W21" s="25" t="n">
        <v>454595.5589079446</v>
      </c>
      <c r="X21" s="25" t="n">
        <v>411299.8845439588</v>
      </c>
      <c r="Y21" s="21" t="n">
        <v>342.7499037866324</v>
      </c>
      <c r="Z21" s="21" t="n">
        <v>227.6721018977613</v>
      </c>
      <c r="AA21" s="21" t="n">
        <v>9309.490587805345</v>
      </c>
      <c r="AB21" s="25" t="n">
        <v>420038.9531260798</v>
      </c>
      <c r="AC21" s="25" t="n">
        <v>96467.32200668351</v>
      </c>
      <c r="AD21" s="21" t="n">
        <v>80.3894350055696</v>
      </c>
      <c r="AE21" s="21" t="n">
        <v>53.39879438590614</v>
      </c>
      <c r="AF21" s="21" t="n">
        <v>2183.471622530992</v>
      </c>
      <c r="AG21" s="25" t="n">
        <v>98517.00539982303</v>
      </c>
      <c r="AH21" s="25" t="n">
        <v>318540.9433096224</v>
      </c>
      <c r="AI21" s="21" t="n">
        <v>265.450786091352</v>
      </c>
      <c r="AJ21" s="21" t="n">
        <v>176.3260550977525</v>
      </c>
      <c r="AK21" s="21" t="n">
        <v>7209.955618780692</v>
      </c>
      <c r="AL21" s="25" t="n">
        <v>325309.122087214</v>
      </c>
      <c r="AM21" s="25" t="n">
        <v>2887651.195455622</v>
      </c>
      <c r="AN21" s="21" t="n">
        <v>2406.375996213019</v>
      </c>
      <c r="AO21" s="21" t="n">
        <v>1598.4386135822</v>
      </c>
      <c r="AP21" s="21" t="n">
        <v>65360.00284747421</v>
      </c>
      <c r="AQ21" s="25" t="n">
        <v>2949006.383693302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 t="n">
        <v>1469776.20952844</v>
      </c>
      <c r="J22" s="19" t="n">
        <v>1224.813507940366</v>
      </c>
      <c r="K22" s="19" t="n">
        <v>813.5840818766386</v>
      </c>
      <c r="L22" s="19" t="n">
        <v>65383.13850777877</v>
      </c>
      <c r="M22" s="24" t="n">
        <v>1533120.950446401</v>
      </c>
      <c r="N22" s="24" t="n">
        <v>180769.5346438001</v>
      </c>
      <c r="O22" s="19" t="n">
        <v>150.6412788698335</v>
      </c>
      <c r="P22" s="19" t="n">
        <v>100.0636797091915</v>
      </c>
      <c r="Q22" s="19" t="n">
        <v>8041.550438072729</v>
      </c>
      <c r="R22" s="24" t="n">
        <v>188560.3801232939</v>
      </c>
      <c r="S22" s="24" t="n">
        <v>454595.5589079446</v>
      </c>
      <c r="T22" s="19" t="n">
        <v>378.8296324232872</v>
      </c>
      <c r="U22" s="19" t="n">
        <v>251.6381119939205</v>
      </c>
      <c r="V22" s="19" t="n">
        <v>20222.72792307305</v>
      </c>
      <c r="W22" s="24" t="n">
        <v>474187.8190866004</v>
      </c>
      <c r="X22" s="24" t="n">
        <v>420038.9531260798</v>
      </c>
      <c r="Y22" s="19" t="n">
        <v>350.0324609383998</v>
      </c>
      <c r="Z22" s="19" t="n">
        <v>232.5095506486313</v>
      </c>
      <c r="AA22" s="19" t="n">
        <v>18685.47393328417</v>
      </c>
      <c r="AB22" s="24" t="n">
        <v>438141.8850477769</v>
      </c>
      <c r="AC22" s="24" t="n">
        <v>98517.00539982303</v>
      </c>
      <c r="AD22" s="19" t="n">
        <v>82.09750449985253</v>
      </c>
      <c r="AE22" s="19" t="n">
        <v>54.53338193109457</v>
      </c>
      <c r="AF22" s="19" t="n">
        <v>4382.538625723741</v>
      </c>
      <c r="AG22" s="24" t="n">
        <v>102762.9131391158</v>
      </c>
      <c r="AH22" s="24" t="n">
        <v>325309.122087214</v>
      </c>
      <c r="AI22" s="19" t="n">
        <v>271.0909350726783</v>
      </c>
      <c r="AJ22" s="19" t="n">
        <v>180.0725319294265</v>
      </c>
      <c r="AK22" s="19" t="n">
        <v>14471.4081296066</v>
      </c>
      <c r="AL22" s="24" t="n">
        <v>339329.3667498185</v>
      </c>
      <c r="AM22" s="24" t="n">
        <v>2949006.383693302</v>
      </c>
      <c r="AN22" s="19" t="n">
        <v>2457.505319744418</v>
      </c>
      <c r="AO22" s="19" t="n">
        <v>1632.401338088903</v>
      </c>
      <c r="AP22" s="19" t="n">
        <v>131186.8375575391</v>
      </c>
      <c r="AQ22" s="24" t="n">
        <v>3076103.314593007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 t="n">
        <v>1533120.950446401</v>
      </c>
      <c r="J23" s="21" t="n">
        <v>1277.600792038668</v>
      </c>
      <c r="K23" s="21" t="n">
        <v>848.6481090035903</v>
      </c>
      <c r="L23" s="21" t="n">
        <v>84087.83941179419</v>
      </c>
      <c r="M23" s="25" t="n">
        <v>1615082.540957153</v>
      </c>
      <c r="N23" s="25" t="n">
        <v>188560.3801232939</v>
      </c>
      <c r="O23" s="21" t="n">
        <v>157.1336501027449</v>
      </c>
      <c r="P23" s="21" t="n">
        <v>104.376246360757</v>
      </c>
      <c r="Q23" s="21" t="n">
        <v>10342.06398302606</v>
      </c>
      <c r="R23" s="25" t="n">
        <v>198640.9342098564</v>
      </c>
      <c r="S23" s="25" t="n">
        <v>474187.8190866004</v>
      </c>
      <c r="T23" s="21" t="n">
        <v>395.1565159055004</v>
      </c>
      <c r="U23" s="21" t="n">
        <v>262.4832671311465</v>
      </c>
      <c r="V23" s="21" t="n">
        <v>26008.01272122265</v>
      </c>
      <c r="W23" s="25" t="n">
        <v>499538.1920247864</v>
      </c>
      <c r="X23" s="25" t="n">
        <v>438141.8850477769</v>
      </c>
      <c r="Y23" s="21" t="n">
        <v>365.1182375398141</v>
      </c>
      <c r="Z23" s="21" t="n">
        <v>242.530298808322</v>
      </c>
      <c r="AA23" s="21" t="n">
        <v>24030.98363423368</v>
      </c>
      <c r="AB23" s="25" t="n">
        <v>461565.2201456624</v>
      </c>
      <c r="AC23" s="25" t="n">
        <v>102762.9131391158</v>
      </c>
      <c r="AD23" s="21" t="n">
        <v>85.6357609492632</v>
      </c>
      <c r="AE23" s="21" t="n">
        <v>56.88367371525247</v>
      </c>
      <c r="AF23" s="21" t="n">
        <v>5636.288079563507</v>
      </c>
      <c r="AG23" s="25" t="n">
        <v>108256.6817840148</v>
      </c>
      <c r="AH23" s="25" t="n">
        <v>339329.3667498185</v>
      </c>
      <c r="AI23" s="21" t="n">
        <v>282.7744722915155</v>
      </c>
      <c r="AJ23" s="21" t="n">
        <v>187.8333378314152</v>
      </c>
      <c r="AK23" s="21" t="n">
        <v>18611.3648050119</v>
      </c>
      <c r="AL23" s="25" t="n">
        <v>357470.1237447074</v>
      </c>
      <c r="AM23" s="25" t="n">
        <v>3076103.314593007</v>
      </c>
      <c r="AN23" s="21" t="n">
        <v>2563.419428827506</v>
      </c>
      <c r="AO23" s="21" t="n">
        <v>1702.754932850483</v>
      </c>
      <c r="AP23" s="21" t="n">
        <v>168716.552634852</v>
      </c>
      <c r="AQ23" s="25" t="n">
        <v>3240553.692866181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 t="n">
        <v>1615082.540957153</v>
      </c>
      <c r="J24" s="19" t="n">
        <v>1345.902117464294</v>
      </c>
      <c r="K24" s="19" t="n">
        <v>894.0173597320625</v>
      </c>
      <c r="L24" s="19" t="n">
        <v>43869.63382029944</v>
      </c>
      <c r="M24" s="24" t="n">
        <v>1656712.255300257</v>
      </c>
      <c r="N24" s="24" t="n">
        <v>198640.9342098564</v>
      </c>
      <c r="O24" s="19" t="n">
        <v>165.534111841547</v>
      </c>
      <c r="P24" s="19" t="n">
        <v>109.9562647936007</v>
      </c>
      <c r="Q24" s="19" t="n">
        <v>5395.578754968273</v>
      </c>
      <c r="R24" s="24" t="n">
        <v>203761.0225881895</v>
      </c>
      <c r="S24" s="24" t="n">
        <v>499538.1920247864</v>
      </c>
      <c r="T24" s="19" t="n">
        <v>416.2818266873221</v>
      </c>
      <c r="U24" s="19" t="n">
        <v>276.5157842983427</v>
      </c>
      <c r="V24" s="19" t="n">
        <v>13568.69200653639</v>
      </c>
      <c r="W24" s="24" t="n">
        <v>512414.0864203371</v>
      </c>
      <c r="X24" s="24" t="n">
        <v>461565.2201456624</v>
      </c>
      <c r="Y24" s="19" t="n">
        <v>384.6376834547187</v>
      </c>
      <c r="Z24" s="19" t="n">
        <v>255.4961179966841</v>
      </c>
      <c r="AA24" s="19" t="n">
        <v>12537.2522323076</v>
      </c>
      <c r="AB24" s="24" t="n">
        <v>473462.3385765186</v>
      </c>
      <c r="AC24" s="24" t="n">
        <v>108256.6817840148</v>
      </c>
      <c r="AD24" s="19" t="n">
        <v>90.21390148667902</v>
      </c>
      <c r="AE24" s="19" t="n">
        <v>59.92470995602605</v>
      </c>
      <c r="AF24" s="19" t="n">
        <v>2940.519055856354</v>
      </c>
      <c r="AG24" s="24" t="n">
        <v>111047.0622284284</v>
      </c>
      <c r="AH24" s="24" t="n">
        <v>357470.1237447074</v>
      </c>
      <c r="AI24" s="19" t="n">
        <v>297.8917697872562</v>
      </c>
      <c r="AJ24" s="19" t="n">
        <v>197.8750237891497</v>
      </c>
      <c r="AK24" s="19" t="n">
        <v>9709.772121667356</v>
      </c>
      <c r="AL24" s="24" t="n">
        <v>366684.1290727984</v>
      </c>
      <c r="AM24" s="24" t="n">
        <v>3240553.692866181</v>
      </c>
      <c r="AN24" s="19" t="n">
        <v>2700.461410721817</v>
      </c>
      <c r="AO24" s="19" t="n">
        <v>1793.785260565866</v>
      </c>
      <c r="AP24" s="19" t="n">
        <v>88021.4479916354</v>
      </c>
      <c r="AQ24" s="24" t="n">
        <v>3324080.894186529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 t="n">
        <v>1656712.255300257</v>
      </c>
      <c r="J25" s="21" t="n">
        <v>1380.593546083547</v>
      </c>
      <c r="K25" s="21" t="n">
        <v>917.0611896042897</v>
      </c>
      <c r="L25" s="21" t="n">
        <v>62813.4693343963</v>
      </c>
      <c r="M25" s="25" t="n">
        <v>1717228.069898965</v>
      </c>
      <c r="N25" s="25" t="n">
        <v>203761.0225881895</v>
      </c>
      <c r="O25" s="21" t="n">
        <v>169.8008521568246</v>
      </c>
      <c r="P25" s="21" t="n">
        <v>112.7904530022599</v>
      </c>
      <c r="Q25" s="21" t="n">
        <v>7725.503751747669</v>
      </c>
      <c r="R25" s="25" t="n">
        <v>211203.9350347781</v>
      </c>
      <c r="S25" s="25" t="n">
        <v>512414.0864203371</v>
      </c>
      <c r="T25" s="21" t="n">
        <v>427.0117386836143</v>
      </c>
      <c r="U25" s="21" t="n">
        <v>283.6431433154721</v>
      </c>
      <c r="V25" s="21" t="n">
        <v>19427.94012714246</v>
      </c>
      <c r="W25" s="25" t="n">
        <v>531131.3716654805</v>
      </c>
      <c r="X25" s="25" t="n">
        <v>473462.3385765186</v>
      </c>
      <c r="Y25" s="21" t="n">
        <v>394.5519488137655</v>
      </c>
      <c r="Z25" s="21" t="n">
        <v>262.0816825967883</v>
      </c>
      <c r="AA25" s="21" t="n">
        <v>17951.1028484411</v>
      </c>
      <c r="AB25" s="25" t="n">
        <v>490756.8077935492</v>
      </c>
      <c r="AC25" s="25" t="n">
        <v>111047.0622284284</v>
      </c>
      <c r="AD25" s="21" t="n">
        <v>92.53921852369038</v>
      </c>
      <c r="AE25" s="21" t="n">
        <v>61.46930504284077</v>
      </c>
      <c r="AF25" s="21" t="n">
        <v>4210.297361925424</v>
      </c>
      <c r="AG25" s="25" t="n">
        <v>115103.3510667873</v>
      </c>
      <c r="AH25" s="25" t="n">
        <v>366684.1290727984</v>
      </c>
      <c r="AI25" s="21" t="n">
        <v>305.5701075606653</v>
      </c>
      <c r="AJ25" s="21" t="n">
        <v>202.975370370257</v>
      </c>
      <c r="AK25" s="21" t="n">
        <v>13902.65703850285</v>
      </c>
      <c r="AL25" s="25" t="n">
        <v>380078.2406333704</v>
      </c>
      <c r="AM25" s="25" t="n">
        <v>3324080.894186529</v>
      </c>
      <c r="AN25" s="21" t="n">
        <v>2770.067411822108</v>
      </c>
      <c r="AO25" s="21" t="n">
        <v>1840.021143931908</v>
      </c>
      <c r="AP25" s="21" t="n">
        <v>126030.9704621558</v>
      </c>
      <c r="AQ25" s="25" t="n">
        <v>3445501.776092931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 t="n">
        <v>1717228.069898965</v>
      </c>
      <c r="J26" s="19" t="n">
        <v>1431.023391582471</v>
      </c>
      <c r="K26" s="19" t="n">
        <v>950.5592848517991</v>
      </c>
      <c r="L26" s="19" t="n">
        <v>34034.89619939745</v>
      </c>
      <c r="M26" s="24" t="n">
        <v>1748881.383421928</v>
      </c>
      <c r="N26" s="24" t="n">
        <v>211203.9350347781</v>
      </c>
      <c r="O26" s="19" t="n">
        <v>176.0032791956484</v>
      </c>
      <c r="P26" s="19" t="n">
        <v>116.9104238182856</v>
      </c>
      <c r="Q26" s="19" t="n">
        <v>4185.992607397739</v>
      </c>
      <c r="R26" s="24" t="n">
        <v>215097.0139391619</v>
      </c>
      <c r="S26" s="24" t="n">
        <v>531131.3716654805</v>
      </c>
      <c r="T26" s="19" t="n">
        <v>442.6094763879005</v>
      </c>
      <c r="U26" s="19" t="n">
        <v>294.0039623521872</v>
      </c>
      <c r="V26" s="19" t="n">
        <v>10526.84929844048</v>
      </c>
      <c r="W26" s="24" t="n">
        <v>540921.607525181</v>
      </c>
      <c r="X26" s="24" t="n">
        <v>490756.8077935492</v>
      </c>
      <c r="Y26" s="19" t="n">
        <v>408.9640064946244</v>
      </c>
      <c r="Z26" s="19" t="n">
        <v>271.6549120233253</v>
      </c>
      <c r="AA26" s="19" t="n">
        <v>9726.63870640306</v>
      </c>
      <c r="AB26" s="24" t="n">
        <v>499802.8275814343</v>
      </c>
      <c r="AC26" s="24" t="n">
        <v>115103.3510667873</v>
      </c>
      <c r="AD26" s="19" t="n">
        <v>95.91945922232279</v>
      </c>
      <c r="AE26" s="19" t="n">
        <v>63.71463464403325</v>
      </c>
      <c r="AF26" s="19" t="n">
        <v>2281.310604241056</v>
      </c>
      <c r="AG26" s="24" t="n">
        <v>117225.027577162</v>
      </c>
      <c r="AH26" s="24" t="n">
        <v>380078.2406333704</v>
      </c>
      <c r="AI26" s="19" t="n">
        <v>316.7318671944753</v>
      </c>
      <c r="AJ26" s="19" t="n">
        <v>210.3895847832509</v>
      </c>
      <c r="AK26" s="19" t="n">
        <v>7533.025865555218</v>
      </c>
      <c r="AL26" s="24" t="n">
        <v>387084.1450469479</v>
      </c>
      <c r="AM26" s="24" t="n">
        <v>3445501.776092931</v>
      </c>
      <c r="AN26" s="19" t="n">
        <v>2871.251480077443</v>
      </c>
      <c r="AO26" s="19" t="n">
        <v>1907.232802472881</v>
      </c>
      <c r="AP26" s="19" t="n">
        <v>68288.71328143502</v>
      </c>
      <c r="AQ26" s="24" t="n">
        <v>3509012.005091816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 t="n">
        <v>1748881.383421928</v>
      </c>
      <c r="J27" s="21" t="n">
        <v>1457.401152851607</v>
      </c>
      <c r="K27" s="21" t="n">
        <v>968.0807495849886</v>
      </c>
      <c r="L27" s="21" t="n">
        <v>18719.13793348026</v>
      </c>
      <c r="M27" s="25" t="n">
        <v>1765175.039452972</v>
      </c>
      <c r="N27" s="25" t="n">
        <v>215097.0139391619</v>
      </c>
      <c r="O27" s="21" t="n">
        <v>179.2475116159682</v>
      </c>
      <c r="P27" s="21" t="n">
        <v>119.0654097308093</v>
      </c>
      <c r="Q27" s="21" t="n">
        <v>2302.289172481572</v>
      </c>
      <c r="R27" s="25" t="n">
        <v>217100.9901902967</v>
      </c>
      <c r="S27" s="25" t="n">
        <v>540921.607525181</v>
      </c>
      <c r="T27" s="21" t="n">
        <v>450.7680062709842</v>
      </c>
      <c r="U27" s="21" t="n">
        <v>299.4232772122539</v>
      </c>
      <c r="V27" s="21" t="n">
        <v>5789.750110239969</v>
      </c>
      <c r="W27" s="25" t="n">
        <v>545961.1663519377</v>
      </c>
      <c r="X27" s="25" t="n">
        <v>499802.8275814343</v>
      </c>
      <c r="Y27" s="21" t="n">
        <v>416.502356317862</v>
      </c>
      <c r="Z27" s="21" t="n">
        <v>276.662271413178</v>
      </c>
      <c r="AA27" s="21" t="n">
        <v>5349.635577190635</v>
      </c>
      <c r="AB27" s="25" t="n">
        <v>504459.2985308939</v>
      </c>
      <c r="AC27" s="25" t="n">
        <v>117225.027577162</v>
      </c>
      <c r="AD27" s="21" t="n">
        <v>97.68752298096837</v>
      </c>
      <c r="AE27" s="21" t="n">
        <v>64.88907346304654</v>
      </c>
      <c r="AF27" s="21" t="n">
        <v>1254.717147356999</v>
      </c>
      <c r="AG27" s="25" t="n">
        <v>118317.168128075</v>
      </c>
      <c r="AH27" s="25" t="n">
        <v>387084.1450469479</v>
      </c>
      <c r="AI27" s="21" t="n">
        <v>322.5701208724566</v>
      </c>
      <c r="AJ27" s="21" t="n">
        <v>214.2676529361329</v>
      </c>
      <c r="AK27" s="21" t="n">
        <v>4143.152058042684</v>
      </c>
      <c r="AL27" s="25" t="n">
        <v>390690.459331182</v>
      </c>
      <c r="AM27" s="25" t="n">
        <v>3509012.005091816</v>
      </c>
      <c r="AN27" s="21" t="n">
        <v>2924.176670909847</v>
      </c>
      <c r="AO27" s="21" t="n">
        <v>1942.388434340409</v>
      </c>
      <c r="AP27" s="21" t="n">
        <v>37558.68199879212</v>
      </c>
      <c r="AQ27" s="25" t="n">
        <v>3541704.121985357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 t="n">
        <v>1765175.039452972</v>
      </c>
      <c r="J28" s="19" t="n">
        <v>1470.979199544143</v>
      </c>
      <c r="K28" s="19" t="n">
        <v>977.0999860486701</v>
      </c>
      <c r="L28" s="19" t="n">
        <v>87577.7339036523</v>
      </c>
      <c r="M28" s="24" t="n">
        <v>1850304.694171031</v>
      </c>
      <c r="N28" s="24" t="n">
        <v>217100.9901902967</v>
      </c>
      <c r="O28" s="19" t="n">
        <v>180.9174918252472</v>
      </c>
      <c r="P28" s="19" t="n">
        <v>120.1746964152803</v>
      </c>
      <c r="Q28" s="19" t="n">
        <v>10771.29028234924</v>
      </c>
      <c r="R28" s="24" t="n">
        <v>227571.1882844054</v>
      </c>
      <c r="S28" s="24" t="n">
        <v>545961.1663519377</v>
      </c>
      <c r="T28" s="19" t="n">
        <v>454.9676386266148</v>
      </c>
      <c r="U28" s="19" t="n">
        <v>302.2128888650685</v>
      </c>
      <c r="V28" s="19" t="n">
        <v>27087.42231213242</v>
      </c>
      <c r="W28" s="24" t="n">
        <v>572291.4081365785</v>
      </c>
      <c r="X28" s="24" t="n">
        <v>504459.2985308939</v>
      </c>
      <c r="Y28" s="19" t="n">
        <v>420.3827487757449</v>
      </c>
      <c r="Z28" s="19" t="n">
        <v>279.2398275184144</v>
      </c>
      <c r="AA28" s="19" t="n">
        <v>25028.34066000215</v>
      </c>
      <c r="AB28" s="24" t="n">
        <v>528788.0166146018</v>
      </c>
      <c r="AC28" s="24" t="n">
        <v>118317.168128075</v>
      </c>
      <c r="AD28" s="19" t="n">
        <v>98.5976401067292</v>
      </c>
      <c r="AE28" s="19" t="n">
        <v>65.49362003390162</v>
      </c>
      <c r="AF28" s="19" t="n">
        <v>5870.210735455118</v>
      </c>
      <c r="AG28" s="24" t="n">
        <v>124023.2876033895</v>
      </c>
      <c r="AH28" s="24" t="n">
        <v>390690.459331182</v>
      </c>
      <c r="AI28" s="19" t="n">
        <v>325.575382775985</v>
      </c>
      <c r="AJ28" s="19" t="n">
        <v>216.2639023493947</v>
      </c>
      <c r="AK28" s="19" t="n">
        <v>19383.79159077925</v>
      </c>
      <c r="AL28" s="24" t="n">
        <v>409532.4116368359</v>
      </c>
      <c r="AM28" s="24" t="n">
        <v>3541704.121985357</v>
      </c>
      <c r="AN28" s="19" t="n">
        <v>2951.420101654464</v>
      </c>
      <c r="AO28" s="19" t="n">
        <v>1960.484921230729</v>
      </c>
      <c r="AP28" s="19" t="n">
        <v>175718.7894843705</v>
      </c>
      <c r="AQ28" s="24" t="n">
        <v>3712511.006446843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 t="n">
        <v>1850304.694171031</v>
      </c>
      <c r="J29" s="21" t="n">
        <v>1541.92057847586</v>
      </c>
      <c r="K29" s="21" t="n">
        <v>1024.222896002757</v>
      </c>
      <c r="L29" s="21" t="n">
        <v>96775.16767437872</v>
      </c>
      <c r="M29" s="25" t="n">
        <v>1944513.718370932</v>
      </c>
      <c r="N29" s="25" t="n">
        <v>227571.1882844054</v>
      </c>
      <c r="O29" s="21" t="n">
        <v>189.6426569036712</v>
      </c>
      <c r="P29" s="21" t="n">
        <v>125.9703994945912</v>
      </c>
      <c r="Q29" s="21" t="n">
        <v>11902.49366683239</v>
      </c>
      <c r="R29" s="25" t="n">
        <v>239158.0688948395</v>
      </c>
      <c r="S29" s="25" t="n">
        <v>572291.4081365785</v>
      </c>
      <c r="T29" s="21" t="n">
        <v>476.9095067804821</v>
      </c>
      <c r="U29" s="21" t="n">
        <v>316.7878054061519</v>
      </c>
      <c r="V29" s="21" t="n">
        <v>29932.14963756902</v>
      </c>
      <c r="W29" s="25" t="n">
        <v>601429.8604619609</v>
      </c>
      <c r="X29" s="25" t="n">
        <v>528788.0166146018</v>
      </c>
      <c r="Y29" s="21" t="n">
        <v>440.6566805121682</v>
      </c>
      <c r="Z29" s="21" t="n">
        <v>292.7068149666054</v>
      </c>
      <c r="AA29" s="21" t="n">
        <v>27656.82275643088</v>
      </c>
      <c r="AB29" s="25" t="n">
        <v>555711.4758755539</v>
      </c>
      <c r="AC29" s="25" t="n">
        <v>124023.2876033895</v>
      </c>
      <c r="AD29" s="21" t="n">
        <v>103.3527396694913</v>
      </c>
      <c r="AE29" s="21" t="n">
        <v>68.65220155420778</v>
      </c>
      <c r="AF29" s="21" t="n">
        <v>6486.701617931628</v>
      </c>
      <c r="AG29" s="25" t="n">
        <v>130337.9842800974</v>
      </c>
      <c r="AH29" s="25" t="n">
        <v>409532.4116368359</v>
      </c>
      <c r="AI29" s="21" t="n">
        <v>341.2770096973633</v>
      </c>
      <c r="AJ29" s="21" t="n">
        <v>226.6937299435405</v>
      </c>
      <c r="AK29" s="21" t="n">
        <v>21419.48184485559</v>
      </c>
      <c r="AL29" s="25" t="n">
        <v>430383.9227420506</v>
      </c>
      <c r="AM29" s="25" t="n">
        <v>3712511.006446843</v>
      </c>
      <c r="AN29" s="21" t="n">
        <v>3093.759172039036</v>
      </c>
      <c r="AO29" s="21" t="n">
        <v>2055.033847367853</v>
      </c>
      <c r="AP29" s="21" t="n">
        <v>194172.8171979983</v>
      </c>
      <c r="AQ29" s="25" t="n">
        <v>3901535.030625434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 t="n">
        <v>1944513.718370932</v>
      </c>
      <c r="J30" s="19" t="n">
        <v>1620.428098642443</v>
      </c>
      <c r="K30" s="19" t="n">
        <v>1076.371625830654</v>
      </c>
      <c r="L30" s="19" t="n">
        <v>91526.63116920591</v>
      </c>
      <c r="M30" s="24" t="n">
        <v>2033343.549815665</v>
      </c>
      <c r="N30" s="24" t="n">
        <v>239158.0688948395</v>
      </c>
      <c r="O30" s="19" t="n">
        <v>199.2983907456996</v>
      </c>
      <c r="P30" s="19" t="n">
        <v>132.3842341737352</v>
      </c>
      <c r="Q30" s="19" t="n">
        <v>11256.96988202062</v>
      </c>
      <c r="R30" s="24" t="n">
        <v>250083.3561519407</v>
      </c>
      <c r="S30" s="24" t="n">
        <v>601429.8604619609</v>
      </c>
      <c r="T30" s="19" t="n">
        <v>501.1915503849675</v>
      </c>
      <c r="U30" s="19" t="n">
        <v>332.9171867560231</v>
      </c>
      <c r="V30" s="19" t="n">
        <v>28308.79951763253</v>
      </c>
      <c r="W30" s="24" t="n">
        <v>628904.5512424525</v>
      </c>
      <c r="X30" s="24" t="n">
        <v>555711.4758755539</v>
      </c>
      <c r="Y30" s="19" t="n">
        <v>463.0928965629616</v>
      </c>
      <c r="Z30" s="19" t="n">
        <v>307.6101027880843</v>
      </c>
      <c r="AA30" s="19" t="n">
        <v>26156.87346837965</v>
      </c>
      <c r="AB30" s="24" t="n">
        <v>581097.6463445824</v>
      </c>
      <c r="AC30" s="24" t="n">
        <v>130337.9842800974</v>
      </c>
      <c r="AD30" s="19" t="n">
        <v>108.6149869000812</v>
      </c>
      <c r="AE30" s="19" t="n">
        <v>72.14765662059315</v>
      </c>
      <c r="AF30" s="19" t="n">
        <v>6134.899693346678</v>
      </c>
      <c r="AG30" s="24" t="n">
        <v>136292.1213299235</v>
      </c>
      <c r="AH30" s="24" t="n">
        <v>430383.9227420506</v>
      </c>
      <c r="AI30" s="19" t="n">
        <v>358.6532689517089</v>
      </c>
      <c r="AJ30" s="19" t="n">
        <v>238.2359344018094</v>
      </c>
      <c r="AK30" s="19" t="n">
        <v>20257.81057022783</v>
      </c>
      <c r="AL30" s="24" t="n">
        <v>450044.844108925</v>
      </c>
      <c r="AM30" s="24" t="n">
        <v>3901535.030625434</v>
      </c>
      <c r="AN30" s="19" t="n">
        <v>3251.279192187862</v>
      </c>
      <c r="AO30" s="19" t="n">
        <v>2159.666740570899</v>
      </c>
      <c r="AP30" s="19" t="n">
        <v>183641.9843008132</v>
      </c>
      <c r="AQ30" s="24" t="n">
        <v>4079766.068993489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 t="n">
        <v>2033343.549815665</v>
      </c>
      <c r="J31" s="21" t="n">
        <v>1694.452958179721</v>
      </c>
      <c r="K31" s="21" t="n">
        <v>1125.542742079982</v>
      </c>
      <c r="L31" s="21" t="n">
        <v>80943.21711619431</v>
      </c>
      <c r="M31" s="25" t="n">
        <v>2111466.771231599</v>
      </c>
      <c r="N31" s="25" t="n">
        <v>250083.3561519407</v>
      </c>
      <c r="O31" s="21" t="n">
        <v>208.4027967932839</v>
      </c>
      <c r="P31" s="21" t="n">
        <v>138.4318485960417</v>
      </c>
      <c r="Q31" s="21" t="n">
        <v>9955.303124249807</v>
      </c>
      <c r="R31" s="25" t="n">
        <v>259691.8246308011</v>
      </c>
      <c r="S31" s="25" t="n">
        <v>628904.5512424525</v>
      </c>
      <c r="T31" s="21" t="n">
        <v>524.0871260353771</v>
      </c>
      <c r="U31" s="21" t="n">
        <v>348.1256048325836</v>
      </c>
      <c r="V31" s="21" t="n">
        <v>25035.39435881137</v>
      </c>
      <c r="W31" s="25" t="n">
        <v>653067.7328703959</v>
      </c>
      <c r="X31" s="25" t="n">
        <v>581097.6463445824</v>
      </c>
      <c r="Y31" s="21" t="n">
        <v>484.2480386204854</v>
      </c>
      <c r="Z31" s="21" t="n">
        <v>321.6624354217953</v>
      </c>
      <c r="AA31" s="21" t="n">
        <v>23132.29997854673</v>
      </c>
      <c r="AB31" s="25" t="n">
        <v>603424.0358490868</v>
      </c>
      <c r="AC31" s="25" t="n">
        <v>136292.1213299235</v>
      </c>
      <c r="AD31" s="21" t="n">
        <v>113.5767677749362</v>
      </c>
      <c r="AE31" s="21" t="n">
        <v>75.4435264908808</v>
      </c>
      <c r="AF31" s="21" t="n">
        <v>5425.508527093124</v>
      </c>
      <c r="AG31" s="25" t="n">
        <v>141528.6095627508</v>
      </c>
      <c r="AH31" s="25" t="n">
        <v>450044.844108925</v>
      </c>
      <c r="AI31" s="21" t="n">
        <v>375.0373700907708</v>
      </c>
      <c r="AJ31" s="21" t="n">
        <v>249.1190964474444</v>
      </c>
      <c r="AK31" s="21" t="n">
        <v>17915.35794924324</v>
      </c>
      <c r="AL31" s="25" t="n">
        <v>467336.04559163</v>
      </c>
      <c r="AM31" s="25" t="n">
        <v>4079766.068993489</v>
      </c>
      <c r="AN31" s="21" t="n">
        <v>3399.805057494574</v>
      </c>
      <c r="AO31" s="21" t="n">
        <v>2258.325253868728</v>
      </c>
      <c r="AP31" s="21" t="n">
        <v>162407.0810541386</v>
      </c>
      <c r="AQ31" s="25" t="n">
        <v>4236515.019736264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 t="n">
        <v>2111466.771231599</v>
      </c>
      <c r="J32" s="19" t="n">
        <v>1759.555642692999</v>
      </c>
      <c r="K32" s="19" t="n">
        <v>1168.787291118724</v>
      </c>
      <c r="L32" s="19" t="n">
        <v>117074.3602753727</v>
      </c>
      <c r="M32" s="24" t="n">
        <v>2225612.78857316</v>
      </c>
      <c r="N32" s="24" t="n">
        <v>259691.8246308011</v>
      </c>
      <c r="O32" s="19" t="n">
        <v>216.4098538590009</v>
      </c>
      <c r="P32" s="19" t="n">
        <v>143.7505474257924</v>
      </c>
      <c r="Q32" s="19" t="n">
        <v>14399.11565345704</v>
      </c>
      <c r="R32" s="24" t="n">
        <v>273730.7798829734</v>
      </c>
      <c r="S32" s="24" t="n">
        <v>653067.7328703959</v>
      </c>
      <c r="T32" s="19" t="n">
        <v>544.2231107253299</v>
      </c>
      <c r="U32" s="19" t="n">
        <v>361.5009607626514</v>
      </c>
      <c r="V32" s="19" t="n">
        <v>36210.6039668778</v>
      </c>
      <c r="W32" s="24" t="n">
        <v>688372.6127657858</v>
      </c>
      <c r="X32" s="24" t="n">
        <v>603424.0358490868</v>
      </c>
      <c r="Y32" s="19" t="n">
        <v>502.8533632075724</v>
      </c>
      <c r="Z32" s="19" t="n">
        <v>334.0210482424982</v>
      </c>
      <c r="AA32" s="19" t="n">
        <v>33458.01313776232</v>
      </c>
      <c r="AB32" s="24" t="n">
        <v>636045.1745753991</v>
      </c>
      <c r="AC32" s="24" t="n">
        <v>141528.6095627508</v>
      </c>
      <c r="AD32" s="19" t="n">
        <v>117.940507968959</v>
      </c>
      <c r="AE32" s="19" t="n">
        <v>78.34214700435986</v>
      </c>
      <c r="AF32" s="19" t="n">
        <v>7847.327578618386</v>
      </c>
      <c r="AG32" s="24" t="n">
        <v>149179.6544863959</v>
      </c>
      <c r="AH32" s="24" t="n">
        <v>467336.04559163</v>
      </c>
      <c r="AI32" s="19" t="n">
        <v>389.4467046596917</v>
      </c>
      <c r="AJ32" s="19" t="n">
        <v>258.6905170430765</v>
      </c>
      <c r="AK32" s="19" t="n">
        <v>25912.35122272319</v>
      </c>
      <c r="AL32" s="24" t="n">
        <v>492600.2595926505</v>
      </c>
      <c r="AM32" s="24" t="n">
        <v>4236515.019736264</v>
      </c>
      <c r="AN32" s="19" t="n">
        <v>3530.429183113553</v>
      </c>
      <c r="AO32" s="19" t="n">
        <v>2345.092511597102</v>
      </c>
      <c r="AP32" s="19" t="n">
        <v>234901.7718348115</v>
      </c>
      <c r="AQ32" s="24" t="n">
        <v>4465541.269876365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 t="n">
        <v>2225612.78857316</v>
      </c>
      <c r="J33" s="21" t="n">
        <v>1854.677323810967</v>
      </c>
      <c r="K33" s="21" t="n">
        <v>1231.97200054364</v>
      </c>
      <c r="L33" s="21" t="n">
        <v>114514.4250857172</v>
      </c>
      <c r="M33" s="25" t="n">
        <v>2337040.564334523</v>
      </c>
      <c r="N33" s="25" t="n">
        <v>273730.7798829734</v>
      </c>
      <c r="O33" s="21" t="n">
        <v>228.1089832358111</v>
      </c>
      <c r="P33" s="21" t="n">
        <v>151.5217104404736</v>
      </c>
      <c r="Q33" s="21" t="n">
        <v>14084.26616143758</v>
      </c>
      <c r="R33" s="25" t="n">
        <v>287435.4153507347</v>
      </c>
      <c r="S33" s="25" t="n">
        <v>688372.6127657858</v>
      </c>
      <c r="T33" s="21" t="n">
        <v>573.6438439714882</v>
      </c>
      <c r="U33" s="21" t="n">
        <v>381.0437238780452</v>
      </c>
      <c r="V33" s="21" t="n">
        <v>35418.82685090248</v>
      </c>
      <c r="W33" s="25" t="n">
        <v>722836.7520488387</v>
      </c>
      <c r="X33" s="25" t="n">
        <v>636045.1745753991</v>
      </c>
      <c r="Y33" s="21" t="n">
        <v>530.0376454794994</v>
      </c>
      <c r="Z33" s="21" t="n">
        <v>352.0782456772916</v>
      </c>
      <c r="AA33" s="21" t="n">
        <v>32726.42387256492</v>
      </c>
      <c r="AB33" s="25" t="n">
        <v>667889.4825568072</v>
      </c>
      <c r="AC33" s="25" t="n">
        <v>149179.6544863959</v>
      </c>
      <c r="AD33" s="21" t="n">
        <v>124.3163787386632</v>
      </c>
      <c r="AE33" s="21" t="n">
        <v>82.57732806066355</v>
      </c>
      <c r="AF33" s="21" t="n">
        <v>7675.738769881711</v>
      </c>
      <c r="AG33" s="25" t="n">
        <v>156648.4995494782</v>
      </c>
      <c r="AH33" s="25" t="n">
        <v>492600.2595926505</v>
      </c>
      <c r="AI33" s="21" t="n">
        <v>410.5002163272088</v>
      </c>
      <c r="AJ33" s="21" t="n">
        <v>272.6753415484002</v>
      </c>
      <c r="AK33" s="21" t="n">
        <v>25345.7545777726</v>
      </c>
      <c r="AL33" s="25" t="n">
        <v>517262.8386125474</v>
      </c>
      <c r="AM33" s="25" t="n">
        <v>4465541.269876365</v>
      </c>
      <c r="AN33" s="21" t="n">
        <v>3721.284391563639</v>
      </c>
      <c r="AO33" s="21" t="n">
        <v>2471.868350148515</v>
      </c>
      <c r="AP33" s="21" t="n">
        <v>229765.4353182765</v>
      </c>
      <c r="AQ33" s="25" t="n">
        <v>4689113.55245293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 t="n">
        <v>2337040.564334523</v>
      </c>
      <c r="J34" s="19" t="n">
        <v>1947.533803612103</v>
      </c>
      <c r="K34" s="19" t="n">
        <v>1293.652046832762</v>
      </c>
      <c r="L34" s="19" t="n">
        <v>44334.88882411486</v>
      </c>
      <c r="M34" s="24" t="n">
        <v>2378134.267308194</v>
      </c>
      <c r="N34" s="24" t="n">
        <v>287435.4153507347</v>
      </c>
      <c r="O34" s="19" t="n">
        <v>239.529512792279</v>
      </c>
      <c r="P34" s="19" t="n">
        <v>159.1078131357064</v>
      </c>
      <c r="Q34" s="19" t="n">
        <v>5452.801024579911</v>
      </c>
      <c r="R34" s="24" t="n">
        <v>292489.5790493866</v>
      </c>
      <c r="S34" s="24" t="n">
        <v>722836.7520488387</v>
      </c>
      <c r="T34" s="19" t="n">
        <v>602.3639600406989</v>
      </c>
      <c r="U34" s="19" t="n">
        <v>400.1211010559404</v>
      </c>
      <c r="V34" s="19" t="n">
        <v>13712.5934094323</v>
      </c>
      <c r="W34" s="24" t="n">
        <v>735546.8603971743</v>
      </c>
      <c r="X34" s="24" t="n">
        <v>667889.4825568072</v>
      </c>
      <c r="Y34" s="19" t="n">
        <v>556.5745687973393</v>
      </c>
      <c r="Z34" s="19" t="n">
        <v>369.7054340234434</v>
      </c>
      <c r="AA34" s="19" t="n">
        <v>12670.21480407354</v>
      </c>
      <c r="AB34" s="24" t="n">
        <v>679633.41735806</v>
      </c>
      <c r="AC34" s="24" t="n">
        <v>156648.4995494782</v>
      </c>
      <c r="AD34" s="19" t="n">
        <v>130.5404162912319</v>
      </c>
      <c r="AE34" s="19" t="n">
        <v>86.71165369060168</v>
      </c>
      <c r="AF34" s="19" t="n">
        <v>2971.704435933967</v>
      </c>
      <c r="AG34" s="24" t="n">
        <v>159402.9519154303</v>
      </c>
      <c r="AH34" s="24" t="n">
        <v>517262.8386125474</v>
      </c>
      <c r="AI34" s="19" t="n">
        <v>431.0523655104562</v>
      </c>
      <c r="AJ34" s="19" t="n">
        <v>286.3271353238966</v>
      </c>
      <c r="AK34" s="19" t="n">
        <v>9812.748136557704</v>
      </c>
      <c r="AL34" s="24" t="n">
        <v>526358.2072482709</v>
      </c>
      <c r="AM34" s="24" t="n">
        <v>4689113.55245293</v>
      </c>
      <c r="AN34" s="19" t="n">
        <v>3907.594627044108</v>
      </c>
      <c r="AO34" s="19" t="n">
        <v>2595.62518406235</v>
      </c>
      <c r="AP34" s="19" t="n">
        <v>88954.95063469227</v>
      </c>
      <c r="AQ34" s="24" t="n">
        <v>4771565.283276515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 t="n">
        <v>2378134.267308194</v>
      </c>
      <c r="J35" s="21" t="n">
        <v>1981.778556090162</v>
      </c>
      <c r="K35" s="21" t="n">
        <v>1316.399171454864</v>
      </c>
      <c r="L35" s="21" t="n">
        <v>99978.11622656314</v>
      </c>
      <c r="M35" s="25" t="n">
        <v>2474814.205807212</v>
      </c>
      <c r="N35" s="25" t="n">
        <v>292489.5790493866</v>
      </c>
      <c r="O35" s="21" t="n">
        <v>243.7413158744889</v>
      </c>
      <c r="P35" s="21" t="n">
        <v>161.9055092106355</v>
      </c>
      <c r="Q35" s="21" t="n">
        <v>12296.42814169517</v>
      </c>
      <c r="R35" s="25" t="n">
        <v>304380.3603659966</v>
      </c>
      <c r="S35" s="25" t="n">
        <v>735546.8603971743</v>
      </c>
      <c r="T35" s="21" t="n">
        <v>612.9557169976453</v>
      </c>
      <c r="U35" s="21" t="n">
        <v>407.1566903953889</v>
      </c>
      <c r="V35" s="21" t="n">
        <v>30922.80806420174</v>
      </c>
      <c r="W35" s="25" t="n">
        <v>765449.5560539829</v>
      </c>
      <c r="X35" s="25" t="n">
        <v>679633.41735806</v>
      </c>
      <c r="Y35" s="21" t="n">
        <v>566.3611811317168</v>
      </c>
      <c r="Z35" s="21" t="n">
        <v>376.2062049237711</v>
      </c>
      <c r="AA35" s="21" t="n">
        <v>28572.17514004841</v>
      </c>
      <c r="AB35" s="25" t="n">
        <v>707263.0251120529</v>
      </c>
      <c r="AC35" s="25" t="n">
        <v>159402.9519154303</v>
      </c>
      <c r="AD35" s="21" t="n">
        <v>132.8357932628586</v>
      </c>
      <c r="AE35" s="21" t="n">
        <v>88.23636104720332</v>
      </c>
      <c r="AF35" s="21" t="n">
        <v>6701.390696286041</v>
      </c>
      <c r="AG35" s="25" t="n">
        <v>165883.2704574063</v>
      </c>
      <c r="AH35" s="25" t="n">
        <v>526358.2072482709</v>
      </c>
      <c r="AI35" s="21" t="n">
        <v>438.6318393735591</v>
      </c>
      <c r="AJ35" s="21" t="n">
        <v>291.3618114146184</v>
      </c>
      <c r="AK35" s="21" t="n">
        <v>22128.39819201562</v>
      </c>
      <c r="AL35" s="25" t="n">
        <v>547756.6117894982</v>
      </c>
      <c r="AM35" s="25" t="n">
        <v>4771565.283276515</v>
      </c>
      <c r="AN35" s="21" t="n">
        <v>3976.30440273043</v>
      </c>
      <c r="AO35" s="21" t="n">
        <v>2641.265748446482</v>
      </c>
      <c r="AP35" s="21" t="n">
        <v>200599.3164608101</v>
      </c>
      <c r="AQ35" s="25" t="n">
        <v>4965547.029586149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 t="n">
        <v>2474814.205807212</v>
      </c>
      <c r="J36" s="19" t="n">
        <v>2062.34517150601</v>
      </c>
      <c r="K36" s="19" t="n">
        <v>1369.915658175554</v>
      </c>
      <c r="L36" s="19" t="n">
        <v>83967.71800268941</v>
      </c>
      <c r="M36" s="24" t="n">
        <v>2555349.66298022</v>
      </c>
      <c r="N36" s="24" t="n">
        <v>304380.3603659966</v>
      </c>
      <c r="O36" s="19" t="n">
        <v>253.6503003049972</v>
      </c>
      <c r="P36" s="19" t="n">
        <v>168.4875659465884</v>
      </c>
      <c r="Q36" s="19" t="n">
        <v>10327.29010719117</v>
      </c>
      <c r="R36" s="24" t="n">
        <v>314285.5126069362</v>
      </c>
      <c r="S36" s="24" t="n">
        <v>765449.5560539829</v>
      </c>
      <c r="T36" s="19" t="n">
        <v>637.8746300449858</v>
      </c>
      <c r="U36" s="19" t="n">
        <v>423.709113161428</v>
      </c>
      <c r="V36" s="19" t="n">
        <v>25970.85967795334</v>
      </c>
      <c r="W36" s="24" t="n">
        <v>790358.8319887298</v>
      </c>
      <c r="X36" s="24" t="n">
        <v>707263.0251120529</v>
      </c>
      <c r="Y36" s="19" t="n">
        <v>589.3858542600441</v>
      </c>
      <c r="Z36" s="19" t="n">
        <v>391.5003761801938</v>
      </c>
      <c r="AA36" s="19" t="n">
        <v>23996.65482240414</v>
      </c>
      <c r="AB36" s="24" t="n">
        <v>730278.7937040168</v>
      </c>
      <c r="AC36" s="24" t="n">
        <v>165883.2704574063</v>
      </c>
      <c r="AD36" s="19" t="n">
        <v>138.2360587145053</v>
      </c>
      <c r="AE36" s="19" t="n">
        <v>91.82349490953005</v>
      </c>
      <c r="AF36" s="19" t="n">
        <v>5628.236512642845</v>
      </c>
      <c r="AG36" s="24" t="n">
        <v>171281.4474164251</v>
      </c>
      <c r="AH36" s="24" t="n">
        <v>547756.6117894982</v>
      </c>
      <c r="AI36" s="19" t="n">
        <v>456.4638431579152</v>
      </c>
      <c r="AJ36" s="19" t="n">
        <v>303.2067448129383</v>
      </c>
      <c r="AK36" s="19" t="n">
        <v>18584.7780431046</v>
      </c>
      <c r="AL36" s="24" t="n">
        <v>565581.7192446321</v>
      </c>
      <c r="AM36" s="24" t="n">
        <v>4965547.029586149</v>
      </c>
      <c r="AN36" s="19" t="n">
        <v>4137.955857988458</v>
      </c>
      <c r="AO36" s="19" t="n">
        <v>2748.642953186232</v>
      </c>
      <c r="AP36" s="19" t="n">
        <v>168475.5371659855</v>
      </c>
      <c r="AQ36" s="24" t="n">
        <v>5127135.967940959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 t="n">
        <v>2555349.66298022</v>
      </c>
      <c r="J37" s="21" t="n">
        <v>2129.458052483516</v>
      </c>
      <c r="K37" s="21" t="n">
        <v>1414.495483020888</v>
      </c>
      <c r="L37" s="21" t="n">
        <v>67021.60302834264</v>
      </c>
      <c r="M37" s="25" t="n">
        <v>2618827.312473058</v>
      </c>
      <c r="N37" s="25" t="n">
        <v>314285.5126069362</v>
      </c>
      <c r="O37" s="21" t="n">
        <v>261.9045938391135</v>
      </c>
      <c r="P37" s="21" t="n">
        <v>173.9704919454918</v>
      </c>
      <c r="Q37" s="21" t="n">
        <v>8243.067149931685</v>
      </c>
      <c r="R37" s="25" t="n">
        <v>322092.7046710833</v>
      </c>
      <c r="S37" s="25" t="n">
        <v>790358.8319887298</v>
      </c>
      <c r="T37" s="21" t="n">
        <v>658.6323599906082</v>
      </c>
      <c r="U37" s="21" t="n">
        <v>437.4974642452198</v>
      </c>
      <c r="V37" s="21" t="n">
        <v>20729.49806239618</v>
      </c>
      <c r="W37" s="25" t="n">
        <v>809992.2002268902</v>
      </c>
      <c r="X37" s="25" t="n">
        <v>730278.7937040168</v>
      </c>
      <c r="Y37" s="21" t="n">
        <v>608.5656614200141</v>
      </c>
      <c r="Z37" s="21" t="n">
        <v>404.2405898516248</v>
      </c>
      <c r="AA37" s="21" t="n">
        <v>19153.7213559123</v>
      </c>
      <c r="AB37" s="25" t="n">
        <v>748419.7088086575</v>
      </c>
      <c r="AC37" s="25" t="n">
        <v>171281.4474164251</v>
      </c>
      <c r="AD37" s="21" t="n">
        <v>142.7345395136876</v>
      </c>
      <c r="AE37" s="21" t="n">
        <v>94.81161705801688</v>
      </c>
      <c r="AF37" s="21" t="n">
        <v>4492.362568289524</v>
      </c>
      <c r="AG37" s="25" t="n">
        <v>175536.263828143</v>
      </c>
      <c r="AH37" s="25" t="n">
        <v>565581.7192446321</v>
      </c>
      <c r="AI37" s="21" t="n">
        <v>471.3180993705267</v>
      </c>
      <c r="AJ37" s="21" t="n">
        <v>313.07370523128</v>
      </c>
      <c r="AK37" s="21" t="n">
        <v>14834.05344343072</v>
      </c>
      <c r="AL37" s="25" t="n">
        <v>579631.3808834609</v>
      </c>
      <c r="AM37" s="25" t="n">
        <v>5127135.967940959</v>
      </c>
      <c r="AN37" s="21" t="n">
        <v>4272.613306617467</v>
      </c>
      <c r="AO37" s="21" t="n">
        <v>2838.089351352522</v>
      </c>
      <c r="AP37" s="21" t="n">
        <v>134474.3056083031</v>
      </c>
      <c r="AQ37" s="25" t="n">
        <v>5254499.570891293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 t="n">
        <v>2618827.312473058</v>
      </c>
      <c r="J38" s="19" t="n">
        <v>2182.356093727549</v>
      </c>
      <c r="K38" s="19" t="n">
        <v>1449.633080736453</v>
      </c>
      <c r="L38" s="19" t="n">
        <v>71117.58815918707</v>
      </c>
      <c r="M38" s="24" t="n">
        <v>2686312.911457782</v>
      </c>
      <c r="N38" s="24" t="n">
        <v>322092.7046710833</v>
      </c>
      <c r="O38" s="19" t="n">
        <v>268.4105872259027</v>
      </c>
      <c r="P38" s="19" t="n">
        <v>178.2921071317803</v>
      </c>
      <c r="Q38" s="19" t="n">
        <v>8746.83726215049</v>
      </c>
      <c r="R38" s="24" t="n">
        <v>330392.839238876</v>
      </c>
      <c r="S38" s="24" t="n">
        <v>809992.2002268902</v>
      </c>
      <c r="T38" s="19" t="n">
        <v>674.9935001890751</v>
      </c>
      <c r="U38" s="19" t="n">
        <v>448.3653744540226</v>
      </c>
      <c r="V38" s="19" t="n">
        <v>21996.36892189408</v>
      </c>
      <c r="W38" s="24" t="n">
        <v>830865.2102741412</v>
      </c>
      <c r="X38" s="24" t="n">
        <v>748419.7088086575</v>
      </c>
      <c r="Y38" s="19" t="n">
        <v>623.6830906738812</v>
      </c>
      <c r="Z38" s="19" t="n">
        <v>414.2823633298786</v>
      </c>
      <c r="AA38" s="19" t="n">
        <v>20324.28956570247</v>
      </c>
      <c r="AB38" s="24" t="n">
        <v>767706.0329203561</v>
      </c>
      <c r="AC38" s="24" t="n">
        <v>175536.263828143</v>
      </c>
      <c r="AD38" s="19" t="n">
        <v>146.2802198567858</v>
      </c>
      <c r="AE38" s="19" t="n">
        <v>97.16684017391677</v>
      </c>
      <c r="AF38" s="19" t="n">
        <v>4766.910616241982</v>
      </c>
      <c r="AG38" s="24" t="n">
        <v>180059.7273843542</v>
      </c>
      <c r="AH38" s="24" t="n">
        <v>579631.3808834609</v>
      </c>
      <c r="AI38" s="19" t="n">
        <v>483.0261507362174</v>
      </c>
      <c r="AJ38" s="19" t="n">
        <v>320.8507946895257</v>
      </c>
      <c r="AK38" s="19" t="n">
        <v>15740.62773573389</v>
      </c>
      <c r="AL38" s="24" t="n">
        <v>594568.131673769</v>
      </c>
      <c r="AM38" s="24" t="n">
        <v>5254499.570891293</v>
      </c>
      <c r="AN38" s="19" t="n">
        <v>4378.749642409412</v>
      </c>
      <c r="AO38" s="19" t="n">
        <v>2908.590560515576</v>
      </c>
      <c r="AP38" s="19" t="n">
        <v>142692.62226091</v>
      </c>
      <c r="AQ38" s="24" t="n">
        <v>5389904.852949278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 t="n">
        <v>2686312.911457782</v>
      </c>
      <c r="J39" s="21" t="n">
        <v>2238.594092881485</v>
      </c>
      <c r="K39" s="21" t="n">
        <v>1486.989250154583</v>
      </c>
      <c r="L39" s="21" t="n">
        <v>148960.164600414</v>
      </c>
      <c r="M39" s="25" t="n">
        <v>2831547.49271516</v>
      </c>
      <c r="N39" s="25" t="n">
        <v>330392.839238876</v>
      </c>
      <c r="O39" s="21" t="n">
        <v>275.3273660323967</v>
      </c>
      <c r="P39" s="21" t="n">
        <v>182.8865871063588</v>
      </c>
      <c r="Q39" s="21" t="n">
        <v>18320.78887977104</v>
      </c>
      <c r="R39" s="25" t="n">
        <v>348255.4141655083</v>
      </c>
      <c r="S39" s="25" t="n">
        <v>830865.2102741412</v>
      </c>
      <c r="T39" s="21" t="n">
        <v>692.387675228451</v>
      </c>
      <c r="U39" s="21" t="n">
        <v>459.9194794974993</v>
      </c>
      <c r="V39" s="21" t="n">
        <v>46072.74824734758</v>
      </c>
      <c r="W39" s="25" t="n">
        <v>875785.6513667628</v>
      </c>
      <c r="X39" s="25" t="n">
        <v>767706.0329203561</v>
      </c>
      <c r="Y39" s="21" t="n">
        <v>639.7550274336302</v>
      </c>
      <c r="Z39" s="21" t="n">
        <v>424.9581697509295</v>
      </c>
      <c r="AA39" s="21" t="n">
        <v>42570.47514486637</v>
      </c>
      <c r="AB39" s="25" t="n">
        <v>809211.7948680379</v>
      </c>
      <c r="AC39" s="25" t="n">
        <v>180059.7273843542</v>
      </c>
      <c r="AD39" s="21" t="n">
        <v>150.0497728202952</v>
      </c>
      <c r="AE39" s="21" t="n">
        <v>99.67077099033905</v>
      </c>
      <c r="AF39" s="21" t="n">
        <v>9984.587616237057</v>
      </c>
      <c r="AG39" s="25" t="n">
        <v>189794.5944567807</v>
      </c>
      <c r="AH39" s="25" t="n">
        <v>594568.131673769</v>
      </c>
      <c r="AI39" s="21" t="n">
        <v>495.4734430614742</v>
      </c>
      <c r="AJ39" s="21" t="n">
        <v>329.1189259867739</v>
      </c>
      <c r="AK39" s="21" t="n">
        <v>32969.71338764203</v>
      </c>
      <c r="AL39" s="25" t="n">
        <v>626713.2526923628</v>
      </c>
      <c r="AM39" s="25" t="n">
        <v>5389904.852949278</v>
      </c>
      <c r="AN39" s="21" t="n">
        <v>4491.587377457732</v>
      </c>
      <c r="AO39" s="21" t="n">
        <v>2983.543183486483</v>
      </c>
      <c r="AP39" s="21" t="n">
        <v>298878.4778762781</v>
      </c>
      <c r="AQ39" s="25" t="n">
        <v>5681308.200264612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 t="n">
        <v>2831547.49271516</v>
      </c>
      <c r="J40" s="19" t="n">
        <v>2359.622910595967</v>
      </c>
      <c r="K40" s="19" t="n">
        <v>1567.382811217142</v>
      </c>
      <c r="L40" s="19" t="n">
        <v>46702.38548035375</v>
      </c>
      <c r="M40" s="24" t="n">
        <v>2874322.8724737</v>
      </c>
      <c r="N40" s="24" t="n">
        <v>348255.4141655083</v>
      </c>
      <c r="O40" s="19" t="n">
        <v>290.2128451379236</v>
      </c>
      <c r="P40" s="19" t="n">
        <v>192.7742873748911</v>
      </c>
      <c r="Q40" s="19" t="n">
        <v>5743.982271115639</v>
      </c>
      <c r="R40" s="24" t="n">
        <v>353516.4093041111</v>
      </c>
      <c r="S40" s="24" t="n">
        <v>875785.6513667628</v>
      </c>
      <c r="T40" s="19" t="n">
        <v>729.8213761389691</v>
      </c>
      <c r="U40" s="19" t="n">
        <v>484.7848675660405</v>
      </c>
      <c r="V40" s="19" t="n">
        <v>14444.85010176297</v>
      </c>
      <c r="W40" s="24" t="n">
        <v>889015.8952248207</v>
      </c>
      <c r="X40" s="24" t="n">
        <v>809211.7948680379</v>
      </c>
      <c r="Y40" s="19" t="n">
        <v>674.3431623900317</v>
      </c>
      <c r="Z40" s="19" t="n">
        <v>447.9333866634615</v>
      </c>
      <c r="AA40" s="19" t="n">
        <v>13346.80815928584</v>
      </c>
      <c r="AB40" s="24" t="n">
        <v>821436.3264782702</v>
      </c>
      <c r="AC40" s="24" t="n">
        <v>189794.5944567807</v>
      </c>
      <c r="AD40" s="19" t="n">
        <v>158.1621620473172</v>
      </c>
      <c r="AE40" s="19" t="n">
        <v>105.0594368552276</v>
      </c>
      <c r="AF40" s="19" t="n">
        <v>3130.394363934352</v>
      </c>
      <c r="AG40" s="24" t="n">
        <v>192661.7672218125</v>
      </c>
      <c r="AH40" s="24" t="n">
        <v>626713.2526923628</v>
      </c>
      <c r="AI40" s="19" t="n">
        <v>522.2610439103023</v>
      </c>
      <c r="AJ40" s="19" t="n">
        <v>346.9126272327051</v>
      </c>
      <c r="AK40" s="19" t="n">
        <v>10336.75189562833</v>
      </c>
      <c r="AL40" s="24" t="n">
        <v>636180.830916848</v>
      </c>
      <c r="AM40" s="24" t="n">
        <v>5681308.200264612</v>
      </c>
      <c r="AN40" s="19" t="n">
        <v>4734.42350022051</v>
      </c>
      <c r="AO40" s="19" t="n">
        <v>3144.847416909468</v>
      </c>
      <c r="AP40" s="19" t="n">
        <v>93705.17227208088</v>
      </c>
      <c r="AQ40" s="24" t="n">
        <v>5767134.101619563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 t="n">
        <v>2874322.8724737</v>
      </c>
      <c r="J41" s="21" t="n">
        <v>2395.26906039475</v>
      </c>
      <c r="K41" s="21" t="n">
        <v>1591.060815965187</v>
      </c>
      <c r="L41" s="21" t="n">
        <v>75207.58509318196</v>
      </c>
      <c r="M41" s="25" t="n">
        <v>2945544.127690522</v>
      </c>
      <c r="N41" s="25" t="n">
        <v>353516.4093041111</v>
      </c>
      <c r="O41" s="21" t="n">
        <v>294.597007753426</v>
      </c>
      <c r="P41" s="21" t="n">
        <v>195.6864735103375</v>
      </c>
      <c r="Q41" s="21" t="n">
        <v>9249.870878873699</v>
      </c>
      <c r="R41" s="25" t="n">
        <v>362275.996701721</v>
      </c>
      <c r="S41" s="25" t="n">
        <v>889015.8952248207</v>
      </c>
      <c r="T41" s="21" t="n">
        <v>740.8465793540173</v>
      </c>
      <c r="U41" s="21" t="n">
        <v>492.1083741873074</v>
      </c>
      <c r="V41" s="21" t="n">
        <v>23261.38765745907</v>
      </c>
      <c r="W41" s="25" t="n">
        <v>911044.3279287386</v>
      </c>
      <c r="X41" s="25" t="n">
        <v>821436.3264782702</v>
      </c>
      <c r="Y41" s="21" t="n">
        <v>684.5302720652253</v>
      </c>
      <c r="Z41" s="21" t="n">
        <v>454.7001884813205</v>
      </c>
      <c r="AA41" s="21" t="n">
        <v>21493.1464428969</v>
      </c>
      <c r="AB41" s="25" t="n">
        <v>841790.2424606206</v>
      </c>
      <c r="AC41" s="25" t="n">
        <v>192661.7672218125</v>
      </c>
      <c r="AD41" s="21" t="n">
        <v>160.5514726848437</v>
      </c>
      <c r="AE41" s="21" t="n">
        <v>106.6465397804876</v>
      </c>
      <c r="AF41" s="21" t="n">
        <v>5041.057283890732</v>
      </c>
      <c r="AG41" s="25" t="n">
        <v>197435.6264932379</v>
      </c>
      <c r="AH41" s="25" t="n">
        <v>636180.830916848</v>
      </c>
      <c r="AI41" s="21" t="n">
        <v>530.1506924307067</v>
      </c>
      <c r="AJ41" s="21" t="n">
        <v>352.1533372723882</v>
      </c>
      <c r="AK41" s="21" t="n">
        <v>16645.87664595006</v>
      </c>
      <c r="AL41" s="25" t="n">
        <v>651944.403533095</v>
      </c>
      <c r="AM41" s="25" t="n">
        <v>5767134.101619563</v>
      </c>
      <c r="AN41" s="21" t="n">
        <v>4805.94508468297</v>
      </c>
      <c r="AO41" s="21" t="n">
        <v>3192.355729197027</v>
      </c>
      <c r="AP41" s="21" t="n">
        <v>150898.9240022524</v>
      </c>
      <c r="AQ41" s="25" t="n">
        <v>5910034.724807935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 t="n">
        <v>2945544.127690522</v>
      </c>
      <c r="J42" s="19" t="n">
        <v>2454.620106408769</v>
      </c>
      <c r="K42" s="19" t="n">
        <v>1630.484831104383</v>
      </c>
      <c r="L42" s="19" t="n">
        <v>159902.2790351125</v>
      </c>
      <c r="M42" s="24" t="n">
        <v>3101361.301788121</v>
      </c>
      <c r="N42" s="24" t="n">
        <v>362275.996701721</v>
      </c>
      <c r="O42" s="19" t="n">
        <v>301.8966639181009</v>
      </c>
      <c r="P42" s="19" t="n">
        <v>200.535280304393</v>
      </c>
      <c r="Q42" s="19" t="n">
        <v>19666.57262668192</v>
      </c>
      <c r="R42" s="24" t="n">
        <v>381440.1373841805</v>
      </c>
      <c r="S42" s="24" t="n">
        <v>911044.3279287386</v>
      </c>
      <c r="T42" s="19" t="n">
        <v>759.2036066072822</v>
      </c>
      <c r="U42" s="19" t="n">
        <v>504.3020551575201</v>
      </c>
      <c r="V42" s="19" t="n">
        <v>49457.0979155684</v>
      </c>
      <c r="W42" s="24" t="n">
        <v>959237.9201825422</v>
      </c>
      <c r="X42" s="24" t="n">
        <v>841790.2424606206</v>
      </c>
      <c r="Y42" s="19" t="n">
        <v>701.4918687171838</v>
      </c>
      <c r="Z42" s="19" t="n">
        <v>465.9669527272921</v>
      </c>
      <c r="AA42" s="19" t="n">
        <v>45697.55956924355</v>
      </c>
      <c r="AB42" s="24" t="n">
        <v>886320.3432084197</v>
      </c>
      <c r="AC42" s="24" t="n">
        <v>197435.6264932379</v>
      </c>
      <c r="AD42" s="19" t="n">
        <v>164.5296887443649</v>
      </c>
      <c r="AE42" s="19" t="n">
        <v>109.289075349625</v>
      </c>
      <c r="AF42" s="19" t="n">
        <v>10718.02195805059</v>
      </c>
      <c r="AG42" s="24" t="n">
        <v>207879.8296871945</v>
      </c>
      <c r="AH42" s="24" t="n">
        <v>651944.403533095</v>
      </c>
      <c r="AI42" s="19" t="n">
        <v>543.2870029442458</v>
      </c>
      <c r="AJ42" s="19" t="n">
        <v>360.8791498627278</v>
      </c>
      <c r="AK42" s="19" t="n">
        <v>35391.55803137295</v>
      </c>
      <c r="AL42" s="24" t="n">
        <v>686431.795411661</v>
      </c>
      <c r="AM42" s="24" t="n">
        <v>5910034.724807935</v>
      </c>
      <c r="AN42" s="19" t="n">
        <v>4925.028937339946</v>
      </c>
      <c r="AO42" s="19" t="n">
        <v>3271.457344505941</v>
      </c>
      <c r="AP42" s="19" t="n">
        <v>320833.0891360299</v>
      </c>
      <c r="AQ42" s="24" t="n">
        <v>6222671.327662121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 t="n">
        <v>3101361.301788121</v>
      </c>
      <c r="J43" s="21" t="n">
        <v>2584.467751490101</v>
      </c>
      <c r="K43" s="21" t="n">
        <v>1716.736310552047</v>
      </c>
      <c r="L43" s="21" t="n">
        <v>92447.79875781186</v>
      </c>
      <c r="M43" s="25" t="n">
        <v>3189507.896483892</v>
      </c>
      <c r="N43" s="25" t="n">
        <v>381440.1373841805</v>
      </c>
      <c r="O43" s="21" t="n">
        <v>317.8667811534838</v>
      </c>
      <c r="P43" s="21" t="n">
        <v>211.1434529642947</v>
      </c>
      <c r="Q43" s="21" t="n">
        <v>11370.26538594952</v>
      </c>
      <c r="R43" s="25" t="n">
        <v>392281.3925360122</v>
      </c>
      <c r="S43" s="25" t="n">
        <v>959237.9201825422</v>
      </c>
      <c r="T43" s="21" t="n">
        <v>799.3649334854518</v>
      </c>
      <c r="U43" s="21" t="n">
        <v>530.979272581476</v>
      </c>
      <c r="V43" s="21" t="n">
        <v>28593.71275277364</v>
      </c>
      <c r="W43" s="25" t="n">
        <v>986501.2887292489</v>
      </c>
      <c r="X43" s="25" t="n">
        <v>886320.3432084197</v>
      </c>
      <c r="Y43" s="21" t="n">
        <v>738.6002860070165</v>
      </c>
      <c r="Z43" s="21" t="n">
        <v>490.6162706968597</v>
      </c>
      <c r="AA43" s="21" t="n">
        <v>26420.12869530691</v>
      </c>
      <c r="AB43" s="25" t="n">
        <v>911511.2553470228</v>
      </c>
      <c r="AC43" s="25" t="n">
        <v>207879.8296871945</v>
      </c>
      <c r="AD43" s="21" t="n">
        <v>173.2331914059954</v>
      </c>
      <c r="AE43" s="21" t="n">
        <v>115.070389138351</v>
      </c>
      <c r="AF43" s="21" t="n">
        <v>6196.644244464392</v>
      </c>
      <c r="AG43" s="25" t="n">
        <v>213788.1703511145</v>
      </c>
      <c r="AH43" s="25" t="n">
        <v>686431.795411661</v>
      </c>
      <c r="AI43" s="21" t="n">
        <v>572.0264961763843</v>
      </c>
      <c r="AJ43" s="21" t="n">
        <v>379.9693983481386</v>
      </c>
      <c r="AK43" s="21" t="n">
        <v>20461.69481981759</v>
      </c>
      <c r="AL43" s="25" t="n">
        <v>705941.4943369541</v>
      </c>
      <c r="AM43" s="25" t="n">
        <v>6222671.327662121</v>
      </c>
      <c r="AN43" s="21" t="n">
        <v>5185.559439718432</v>
      </c>
      <c r="AO43" s="21" t="n">
        <v>3444.515094281167</v>
      </c>
      <c r="AP43" s="21" t="n">
        <v>185490.2446561239</v>
      </c>
      <c r="AQ43" s="25" t="n">
        <v>6399531.497784244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 t="n">
        <v>3189507.896483892</v>
      </c>
      <c r="J44" s="19" t="n">
        <v>2657.92324706991</v>
      </c>
      <c r="K44" s="19" t="n">
        <v>1765.529225998079</v>
      </c>
      <c r="L44" s="19" t="n">
        <v>113738.3812228326</v>
      </c>
      <c r="M44" s="24" t="n">
        <v>3298822.825233656</v>
      </c>
      <c r="N44" s="24" t="n">
        <v>392281.3925360122</v>
      </c>
      <c r="O44" s="19" t="n">
        <v>326.9011604466769</v>
      </c>
      <c r="P44" s="19" t="n">
        <v>217.1445520172745</v>
      </c>
      <c r="Q44" s="19" t="n">
        <v>13988.81959818028</v>
      </c>
      <c r="R44" s="24" t="n">
        <v>405726.1664217286</v>
      </c>
      <c r="S44" s="24" t="n">
        <v>986501.2887292489</v>
      </c>
      <c r="T44" s="19" t="n">
        <v>822.0844072743741</v>
      </c>
      <c r="U44" s="19" t="n">
        <v>546.0707147507933</v>
      </c>
      <c r="V44" s="19" t="n">
        <v>35178.79976970601</v>
      </c>
      <c r="W44" s="24" t="n">
        <v>1020311.93337693</v>
      </c>
      <c r="X44" s="24" t="n">
        <v>911511.2553470228</v>
      </c>
      <c r="Y44" s="19" t="n">
        <v>759.5927127891857</v>
      </c>
      <c r="Z44" s="19" t="n">
        <v>504.5605194818472</v>
      </c>
      <c r="AA44" s="19" t="n">
        <v>32504.64272681446</v>
      </c>
      <c r="AB44" s="24" t="n">
        <v>942751.7448415662</v>
      </c>
      <c r="AC44" s="24" t="n">
        <v>213788.1703511145</v>
      </c>
      <c r="AD44" s="19" t="n">
        <v>178.1568086259288</v>
      </c>
      <c r="AE44" s="19" t="n">
        <v>118.3409087475996</v>
      </c>
      <c r="AF44" s="19" t="n">
        <v>7623.721655347767</v>
      </c>
      <c r="AG44" s="24" t="n">
        <v>221115.3942890887</v>
      </c>
      <c r="AH44" s="24" t="n">
        <v>705941.4943369541</v>
      </c>
      <c r="AI44" s="19" t="n">
        <v>588.2845786141285</v>
      </c>
      <c r="AJ44" s="19" t="n">
        <v>390.7688522955642</v>
      </c>
      <c r="AK44" s="19" t="n">
        <v>25173.9909132776</v>
      </c>
      <c r="AL44" s="24" t="n">
        <v>730136.4318193219</v>
      </c>
      <c r="AM44" s="24" t="n">
        <v>6399531.497784244</v>
      </c>
      <c r="AN44" s="19" t="n">
        <v>5332.942914820203</v>
      </c>
      <c r="AO44" s="19" t="n">
        <v>3542.414773291157</v>
      </c>
      <c r="AP44" s="19" t="n">
        <v>228208.3558861587</v>
      </c>
      <c r="AQ44" s="24" t="n">
        <v>6618864.49598229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 t="n">
        <v>3298822.825233656</v>
      </c>
      <c r="J45" s="21" t="n">
        <v>2749.019021028047</v>
      </c>
      <c r="K45" s="21" t="n">
        <v>1826.039720973924</v>
      </c>
      <c r="L45" s="21" t="n">
        <v>163845.6739018794</v>
      </c>
      <c r="M45" s="25" t="n">
        <v>3458093.440393533</v>
      </c>
      <c r="N45" s="25" t="n">
        <v>405726.1664217286</v>
      </c>
      <c r="O45" s="21" t="n">
        <v>338.1051386847738</v>
      </c>
      <c r="P45" s="21" t="n">
        <v>224.586810197082</v>
      </c>
      <c r="Q45" s="21" t="n">
        <v>20151.57547974273</v>
      </c>
      <c r="R45" s="25" t="n">
        <v>425315.0499525894</v>
      </c>
      <c r="S45" s="25" t="n">
        <v>1020311.93337693</v>
      </c>
      <c r="T45" s="21" t="n">
        <v>850.2599444807748</v>
      </c>
      <c r="U45" s="21" t="n">
        <v>564.7863546591071</v>
      </c>
      <c r="V45" s="21" t="n">
        <v>50676.7732524197</v>
      </c>
      <c r="W45" s="25" t="n">
        <v>1069573.66033021</v>
      </c>
      <c r="X45" s="25" t="n">
        <v>942751.7448415662</v>
      </c>
      <c r="Y45" s="21" t="n">
        <v>785.6264540346385</v>
      </c>
      <c r="Z45" s="21" t="n">
        <v>521.8534684342252</v>
      </c>
      <c r="AA45" s="21" t="n">
        <v>46824.51987848066</v>
      </c>
      <c r="AB45" s="25" t="n">
        <v>988268.7847975781</v>
      </c>
      <c r="AC45" s="25" t="n">
        <v>221115.3942890887</v>
      </c>
      <c r="AD45" s="21" t="n">
        <v>184.2628285742406</v>
      </c>
      <c r="AE45" s="21" t="n">
        <v>122.3968410192166</v>
      </c>
      <c r="AF45" s="21" t="n">
        <v>10982.34209799049</v>
      </c>
      <c r="AG45" s="25" t="n">
        <v>231791.0767174858</v>
      </c>
      <c r="AH45" s="25" t="n">
        <v>730136.4318193219</v>
      </c>
      <c r="AI45" s="21" t="n">
        <v>608.4470265161017</v>
      </c>
      <c r="AJ45" s="21" t="n">
        <v>404.161786451146</v>
      </c>
      <c r="AK45" s="21" t="n">
        <v>36264.35915159433</v>
      </c>
      <c r="AL45" s="25" t="n">
        <v>765388.1821579491</v>
      </c>
      <c r="AM45" s="25" t="n">
        <v>6618864.49598229</v>
      </c>
      <c r="AN45" s="21" t="n">
        <v>5515.720413318576</v>
      </c>
      <c r="AO45" s="21" t="n">
        <v>3663.8249817347</v>
      </c>
      <c r="AP45" s="21" t="n">
        <v>328745.2437621073</v>
      </c>
      <c r="AQ45" s="25" t="n">
        <v>6938430.194349345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 t="n">
        <v>3458093.440393533</v>
      </c>
      <c r="J46" s="19" t="n">
        <v>2881.744533661278</v>
      </c>
      <c r="K46" s="19" t="n">
        <v>1914.202827959</v>
      </c>
      <c r="L46" s="19" t="n">
        <v>121923.1764881753</v>
      </c>
      <c r="M46" s="24" t="n">
        <v>3575220.669520088</v>
      </c>
      <c r="N46" s="24" t="n">
        <v>425315.0499525894</v>
      </c>
      <c r="O46" s="19" t="n">
        <v>354.4292082938245</v>
      </c>
      <c r="P46" s="19" t="n">
        <v>235.430096215133</v>
      </c>
      <c r="Q46" s="19" t="n">
        <v>14995.47736123216</v>
      </c>
      <c r="R46" s="24" t="n">
        <v>439720.6680093125</v>
      </c>
      <c r="S46" s="24" t="n">
        <v>1069573.66033021</v>
      </c>
      <c r="T46" s="19" t="n">
        <v>891.3113836085081</v>
      </c>
      <c r="U46" s="19" t="n">
        <v>592.0548303869872</v>
      </c>
      <c r="V46" s="19" t="n">
        <v>37710.32229270924</v>
      </c>
      <c r="W46" s="24" t="n">
        <v>1105800.616408923</v>
      </c>
      <c r="X46" s="24" t="n">
        <v>988268.7847975781</v>
      </c>
      <c r="Y46" s="19" t="n">
        <v>823.5573206646485</v>
      </c>
      <c r="Z46" s="19" t="n">
        <v>547.0490995257336</v>
      </c>
      <c r="AA46" s="19" t="n">
        <v>34843.72864514543</v>
      </c>
      <c r="AB46" s="24" t="n">
        <v>1021741.907022533</v>
      </c>
      <c r="AC46" s="24" t="n">
        <v>231791.0767174858</v>
      </c>
      <c r="AD46" s="19" t="n">
        <v>193.1592305979048</v>
      </c>
      <c r="AE46" s="19" t="n">
        <v>128.3062884783646</v>
      </c>
      <c r="AF46" s="19" t="n">
        <v>8172.336821469496</v>
      </c>
      <c r="AG46" s="24" t="n">
        <v>239641.948019879</v>
      </c>
      <c r="AH46" s="24" t="n">
        <v>765388.1821579491</v>
      </c>
      <c r="AI46" s="19" t="n">
        <v>637.8234851316242</v>
      </c>
      <c r="AJ46" s="19" t="n">
        <v>423.6751400813549</v>
      </c>
      <c r="AK46" s="19" t="n">
        <v>26985.5514385949</v>
      </c>
      <c r="AL46" s="24" t="n">
        <v>791312.2349713311</v>
      </c>
      <c r="AM46" s="24" t="n">
        <v>6938430.194349345</v>
      </c>
      <c r="AN46" s="19" t="n">
        <v>5782.025161957788</v>
      </c>
      <c r="AO46" s="19" t="n">
        <v>3840.718282646574</v>
      </c>
      <c r="AP46" s="19" t="n">
        <v>244630.5930473265</v>
      </c>
      <c r="AQ46" s="24" t="n">
        <v>7173438.043952067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 t="n">
        <v>3575220.669520088</v>
      </c>
      <c r="J47" s="21" t="n">
        <v>2979.350557933407</v>
      </c>
      <c r="K47" s="21" t="n">
        <v>1979.037765790969</v>
      </c>
      <c r="L47" s="21" t="n">
        <v>42580.98681538954</v>
      </c>
      <c r="M47" s="25" t="n">
        <v>3612843.268011753</v>
      </c>
      <c r="N47" s="25" t="n">
        <v>439720.6680093125</v>
      </c>
      <c r="O47" s="21" t="n">
        <v>366.4338900077605</v>
      </c>
      <c r="P47" s="21" t="n">
        <v>243.4042227961483</v>
      </c>
      <c r="Q47" s="21" t="n">
        <v>5237.086517927341</v>
      </c>
      <c r="R47" s="25" t="n">
        <v>444347.916414436</v>
      </c>
      <c r="S47" s="25" t="n">
        <v>1105800.616408923</v>
      </c>
      <c r="T47" s="21" t="n">
        <v>921.5005136741029</v>
      </c>
      <c r="U47" s="21" t="n">
        <v>612.1080021619896</v>
      </c>
      <c r="V47" s="21" t="n">
        <v>13170.11894375697</v>
      </c>
      <c r="W47" s="25" t="n">
        <v>1117437.126836844</v>
      </c>
      <c r="X47" s="25" t="n">
        <v>1021741.907022533</v>
      </c>
      <c r="Y47" s="21" t="n">
        <v>851.4515891854443</v>
      </c>
      <c r="Z47" s="21" t="n">
        <v>565.5779063171241</v>
      </c>
      <c r="AA47" s="21" t="n">
        <v>12168.97716064544</v>
      </c>
      <c r="AB47" s="25" t="n">
        <v>1032493.854687676</v>
      </c>
      <c r="AC47" s="25" t="n">
        <v>239641.948019879</v>
      </c>
      <c r="AD47" s="21" t="n">
        <v>199.7016233498992</v>
      </c>
      <c r="AE47" s="21" t="n">
        <v>132.6520819937859</v>
      </c>
      <c r="AF47" s="21" t="n">
        <v>2854.142882995379</v>
      </c>
      <c r="AG47" s="25" t="n">
        <v>242163.7371975307</v>
      </c>
      <c r="AH47" s="25" t="n">
        <v>791312.2349713311</v>
      </c>
      <c r="AI47" s="21" t="n">
        <v>659.4268624761092</v>
      </c>
      <c r="AJ47" s="21" t="n">
        <v>438.0252136299421</v>
      </c>
      <c r="AK47" s="21" t="n">
        <v>9424.55276437346</v>
      </c>
      <c r="AL47" s="25" t="n">
        <v>799639.3356595985</v>
      </c>
      <c r="AM47" s="25" t="n">
        <v>7173438.043952067</v>
      </c>
      <c r="AN47" s="21" t="n">
        <v>5977.865036626723</v>
      </c>
      <c r="AO47" s="21" t="n">
        <v>3970.805192689959</v>
      </c>
      <c r="AP47" s="21" t="n">
        <v>85435.86508508815</v>
      </c>
      <c r="AQ47" s="25" t="n">
        <v>7248925.238807838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 t="n">
        <v>3612843.268011753</v>
      </c>
      <c r="J48" s="19" t="n">
        <v>3010.702723343128</v>
      </c>
      <c r="K48" s="19" t="n">
        <v>1999.863485416323</v>
      </c>
      <c r="L48" s="19" t="n">
        <v>187635.9750442884</v>
      </c>
      <c r="M48" s="24" t="n">
        <v>3795468.676847282</v>
      </c>
      <c r="N48" s="24" t="n">
        <v>444347.916414436</v>
      </c>
      <c r="O48" s="19" t="n">
        <v>370.2899303453633</v>
      </c>
      <c r="P48" s="19" t="n">
        <v>245.9656029715053</v>
      </c>
      <c r="Q48" s="19" t="n">
        <v>23077.57308309822</v>
      </c>
      <c r="R48" s="24" t="n">
        <v>466809.2339642173</v>
      </c>
      <c r="S48" s="24" t="n">
        <v>1117437.126836844</v>
      </c>
      <c r="T48" s="19" t="n">
        <v>931.1976056973702</v>
      </c>
      <c r="U48" s="19" t="n">
        <v>618.5493090707369</v>
      </c>
      <c r="V48" s="19" t="n">
        <v>58035.01267302618</v>
      </c>
      <c r="W48" s="24" t="n">
        <v>1173922.392595102</v>
      </c>
      <c r="X48" s="24" t="n">
        <v>1032493.854687676</v>
      </c>
      <c r="Y48" s="19" t="n">
        <v>860.4115455730634</v>
      </c>
      <c r="Z48" s="19" t="n">
        <v>571.5295698512191</v>
      </c>
      <c r="AA48" s="19" t="n">
        <v>53623.41424187341</v>
      </c>
      <c r="AB48" s="24" t="n">
        <v>1084685.327814125</v>
      </c>
      <c r="AC48" s="24" t="n">
        <v>242163.7371975307</v>
      </c>
      <c r="AD48" s="19" t="n">
        <v>201.8031143312756</v>
      </c>
      <c r="AE48" s="19" t="n">
        <v>134.0480003107958</v>
      </c>
      <c r="AF48" s="19" t="n">
        <v>12576.97209058106</v>
      </c>
      <c r="AG48" s="24" t="n">
        <v>254404.8581734697</v>
      </c>
      <c r="AH48" s="24" t="n">
        <v>799639.3356595985</v>
      </c>
      <c r="AI48" s="19" t="n">
        <v>666.3661130496654</v>
      </c>
      <c r="AJ48" s="19" t="n">
        <v>442.6346205071509</v>
      </c>
      <c r="AK48" s="19" t="n">
        <v>41529.92402375305</v>
      </c>
      <c r="AL48" s="24" t="n">
        <v>840060.2589497947</v>
      </c>
      <c r="AM48" s="24" t="n">
        <v>7248925.238807838</v>
      </c>
      <c r="AN48" s="19" t="n">
        <v>6040.771032339866</v>
      </c>
      <c r="AO48" s="19" t="n">
        <v>4012.590588127731</v>
      </c>
      <c r="AP48" s="19" t="n">
        <v>376478.8711566203</v>
      </c>
      <c r="AQ48" s="24" t="n">
        <v>7615350.748343992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 t="n">
        <v>3795468.676847282</v>
      </c>
      <c r="J49" s="21" t="n">
        <v>3162.890564039402</v>
      </c>
      <c r="K49" s="21" t="n">
        <v>2100.954470976955</v>
      </c>
      <c r="L49" s="21" t="n">
        <v>192219.2798932825</v>
      </c>
      <c r="M49" s="25" t="n">
        <v>3982424.111705548</v>
      </c>
      <c r="N49" s="25" t="n">
        <v>466809.2339642173</v>
      </c>
      <c r="O49" s="21" t="n">
        <v>389.0076949701811</v>
      </c>
      <c r="P49" s="21" t="n">
        <v>258.3989042441811</v>
      </c>
      <c r="Q49" s="21" t="n">
        <v>23641.27923054576</v>
      </c>
      <c r="R49" s="25" t="n">
        <v>489803.1065955487</v>
      </c>
      <c r="S49" s="25" t="n">
        <v>1173922.392595102</v>
      </c>
      <c r="T49" s="21" t="n">
        <v>978.2686604959187</v>
      </c>
      <c r="U49" s="21" t="n">
        <v>649.8163229083295</v>
      </c>
      <c r="V49" s="21" t="n">
        <v>59452.60945814656</v>
      </c>
      <c r="W49" s="25" t="n">
        <v>1231746.917069845</v>
      </c>
      <c r="X49" s="25" t="n">
        <v>1084685.327814125</v>
      </c>
      <c r="Y49" s="21" t="n">
        <v>903.9044398451044</v>
      </c>
      <c r="Z49" s="21" t="n">
        <v>600.4197855657562</v>
      </c>
      <c r="AA49" s="21" t="n">
        <v>54933.25077218901</v>
      </c>
      <c r="AB49" s="25" t="n">
        <v>1138114.254360904</v>
      </c>
      <c r="AC49" s="25" t="n">
        <v>254404.8581734697</v>
      </c>
      <c r="AD49" s="21" t="n">
        <v>212.0040484778914</v>
      </c>
      <c r="AE49" s="21" t="n">
        <v>140.823985053089</v>
      </c>
      <c r="AF49" s="21" t="n">
        <v>12884.18448497833</v>
      </c>
      <c r="AG49" s="25" t="n">
        <v>266936.214624917</v>
      </c>
      <c r="AH49" s="25" t="n">
        <v>840060.2589497947</v>
      </c>
      <c r="AI49" s="21" t="n">
        <v>700.0502157914956</v>
      </c>
      <c r="AJ49" s="21" t="n">
        <v>465.009332759577</v>
      </c>
      <c r="AK49" s="21" t="n">
        <v>42544.35796751833</v>
      </c>
      <c r="AL49" s="25" t="n">
        <v>881439.5573687621</v>
      </c>
      <c r="AM49" s="25" t="n">
        <v>7615350.748343992</v>
      </c>
      <c r="AN49" s="21" t="n">
        <v>6346.125623619992</v>
      </c>
      <c r="AO49" s="21" t="n">
        <v>4215.422801507888</v>
      </c>
      <c r="AP49" s="21" t="n">
        <v>385674.9618066605</v>
      </c>
      <c r="AQ49" s="25" t="n">
        <v>7990464.161725524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 t="n">
        <v>3982424.111705548</v>
      </c>
      <c r="J50" s="19" t="n">
        <v>3318.686759754624</v>
      </c>
      <c r="K50" s="19" t="n">
        <v>2204.442311394382</v>
      </c>
      <c r="L50" s="19" t="n">
        <v>215819.7483229635</v>
      </c>
      <c r="M50" s="24" t="n">
        <v>4192720.730957363</v>
      </c>
      <c r="N50" s="24" t="n">
        <v>489803.1065955487</v>
      </c>
      <c r="O50" s="19" t="n">
        <v>408.1692554962906</v>
      </c>
      <c r="P50" s="19" t="n">
        <v>271.126997563607</v>
      </c>
      <c r="Q50" s="19" t="n">
        <v>26543.92908142197</v>
      </c>
      <c r="R50" s="24" t="n">
        <v>515667.7394239108</v>
      </c>
      <c r="S50" s="24" t="n">
        <v>1231746.917069845</v>
      </c>
      <c r="T50" s="19" t="n">
        <v>1026.455764224871</v>
      </c>
      <c r="U50" s="19" t="n">
        <v>681.8246738053891</v>
      </c>
      <c r="V50" s="19" t="n">
        <v>66752.13442441495</v>
      </c>
      <c r="W50" s="24" t="n">
        <v>1296790.771056229</v>
      </c>
      <c r="X50" s="24" t="n">
        <v>1138114.254360904</v>
      </c>
      <c r="Y50" s="19" t="n">
        <v>948.4285453007529</v>
      </c>
      <c r="Z50" s="19" t="n">
        <v>629.99498474806</v>
      </c>
      <c r="AA50" s="19" t="n">
        <v>61677.8939282167</v>
      </c>
      <c r="AB50" s="24" t="n">
        <v>1198213.724759071</v>
      </c>
      <c r="AC50" s="24" t="n">
        <v>266936.214624917</v>
      </c>
      <c r="AD50" s="19" t="n">
        <v>222.4468455207642</v>
      </c>
      <c r="AE50" s="19" t="n">
        <v>147.7606275617405</v>
      </c>
      <c r="AF50" s="19" t="n">
        <v>14466.09026128097</v>
      </c>
      <c r="AG50" s="24" t="n">
        <v>281032.0974131156</v>
      </c>
      <c r="AH50" s="24" t="n">
        <v>881439.5573687621</v>
      </c>
      <c r="AI50" s="19" t="n">
        <v>734.5329644739685</v>
      </c>
      <c r="AJ50" s="19" t="n">
        <v>487.9145466925854</v>
      </c>
      <c r="AK50" s="19" t="n">
        <v>47767.90670639047</v>
      </c>
      <c r="AL50" s="24" t="n">
        <v>927985.016563986</v>
      </c>
      <c r="AM50" s="24" t="n">
        <v>7990464.161725524</v>
      </c>
      <c r="AN50" s="19" t="n">
        <v>6658.720134771272</v>
      </c>
      <c r="AO50" s="19" t="n">
        <v>4423.064141765763</v>
      </c>
      <c r="AP50" s="19" t="n">
        <v>433027.7027246886</v>
      </c>
      <c r="AQ50" s="24" t="n">
        <v>8412410.080173675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 t="n">
        <v>4192720.730957363</v>
      </c>
      <c r="J51" s="21" t="n">
        <v>3493.933942464469</v>
      </c>
      <c r="K51" s="21" t="n">
        <v>2320.85049706684</v>
      </c>
      <c r="L51" s="21" t="n">
        <v>112348.1977414465</v>
      </c>
      <c r="M51" s="25" t="n">
        <v>4299254.144259278</v>
      </c>
      <c r="N51" s="25" t="n">
        <v>515667.7394239108</v>
      </c>
      <c r="O51" s="21" t="n">
        <v>429.7231161865923</v>
      </c>
      <c r="P51" s="21" t="n">
        <v>285.4441796055526</v>
      </c>
      <c r="Q51" s="21" t="n">
        <v>13817.83926840592</v>
      </c>
      <c r="R51" s="25" t="n">
        <v>528770.4113965246</v>
      </c>
      <c r="S51" s="25" t="n">
        <v>1296790.771056229</v>
      </c>
      <c r="T51" s="21" t="n">
        <v>1080.658975880191</v>
      </c>
      <c r="U51" s="21" t="n">
        <v>717.8292327880176</v>
      </c>
      <c r="V51" s="21" t="n">
        <v>34748.82190463491</v>
      </c>
      <c r="W51" s="25" t="n">
        <v>1329741.104752196</v>
      </c>
      <c r="X51" s="25" t="n">
        <v>1198213.724759071</v>
      </c>
      <c r="Y51" s="21" t="n">
        <v>998.5114372992263</v>
      </c>
      <c r="Z51" s="21" t="n">
        <v>663.2626156487216</v>
      </c>
      <c r="AA51" s="21" t="n">
        <v>32107.35012513197</v>
      </c>
      <c r="AB51" s="25" t="n">
        <v>1228659.300831255</v>
      </c>
      <c r="AC51" s="25" t="n">
        <v>281032.0974131156</v>
      </c>
      <c r="AD51" s="21" t="n">
        <v>234.1934145109296</v>
      </c>
      <c r="AE51" s="21" t="n">
        <v>155.5633024057949</v>
      </c>
      <c r="AF51" s="21" t="n">
        <v>7530.539637123101</v>
      </c>
      <c r="AG51" s="25" t="n">
        <v>288172.8803333219</v>
      </c>
      <c r="AH51" s="25" t="n">
        <v>927985.016563986</v>
      </c>
      <c r="AI51" s="21" t="n">
        <v>773.3208471366551</v>
      </c>
      <c r="AJ51" s="21" t="n">
        <v>513.6794518797652</v>
      </c>
      <c r="AK51" s="21" t="n">
        <v>24866.29824214982</v>
      </c>
      <c r="AL51" s="25" t="n">
        <v>951564.3145071194</v>
      </c>
      <c r="AM51" s="25" t="n">
        <v>8412410.080173675</v>
      </c>
      <c r="AN51" s="21" t="n">
        <v>7010.341733478064</v>
      </c>
      <c r="AO51" s="21" t="n">
        <v>4656.629279394692</v>
      </c>
      <c r="AP51" s="21" t="n">
        <v>225419.0469188922</v>
      </c>
      <c r="AQ51" s="25" t="n">
        <v>8626162.156079695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 t="n">
        <v>4299254.144259278</v>
      </c>
      <c r="J52" s="19" t="n">
        <v>3582.711786882732</v>
      </c>
      <c r="K52" s="19" t="n">
        <v>2379.821304111153</v>
      </c>
      <c r="L52" s="19" t="n">
        <v>72044.61867242624</v>
      </c>
      <c r="M52" s="24" t="n">
        <v>4365336.22984071</v>
      </c>
      <c r="N52" s="24" t="n">
        <v>528770.4113965246</v>
      </c>
      <c r="O52" s="19" t="n">
        <v>440.6420094971039</v>
      </c>
      <c r="P52" s="19" t="n">
        <v>292.6970697243754</v>
      </c>
      <c r="Q52" s="19" t="n">
        <v>8860.853854195211</v>
      </c>
      <c r="R52" s="24" t="n">
        <v>536897.9261714984</v>
      </c>
      <c r="S52" s="24" t="n">
        <v>1329741.104752196</v>
      </c>
      <c r="T52" s="19" t="n">
        <v>1108.117587293497</v>
      </c>
      <c r="U52" s="19" t="n">
        <v>736.0686537377982</v>
      </c>
      <c r="V52" s="19" t="n">
        <v>22283.09553480196</v>
      </c>
      <c r="W52" s="24" t="n">
        <v>1350180.014045967</v>
      </c>
      <c r="X52" s="24" t="n">
        <v>1228659.300831255</v>
      </c>
      <c r="Y52" s="19" t="n">
        <v>1023.882750692713</v>
      </c>
      <c r="Z52" s="19" t="n">
        <v>680.1155459760129</v>
      </c>
      <c r="AA52" s="19" t="n">
        <v>20589.22032439385</v>
      </c>
      <c r="AB52" s="24" t="n">
        <v>1247544.52285898</v>
      </c>
      <c r="AC52" s="24" t="n">
        <v>288172.8803333219</v>
      </c>
      <c r="AD52" s="19" t="n">
        <v>240.1440669444349</v>
      </c>
      <c r="AE52" s="19" t="n">
        <v>159.5160315888863</v>
      </c>
      <c r="AF52" s="19" t="n">
        <v>4829.048150845216</v>
      </c>
      <c r="AG52" s="24" t="n">
        <v>292602.2683856338</v>
      </c>
      <c r="AH52" s="24" t="n">
        <v>951564.3145071194</v>
      </c>
      <c r="AI52" s="19" t="n">
        <v>792.9702620892662</v>
      </c>
      <c r="AJ52" s="19" t="n">
        <v>526.7316031827957</v>
      </c>
      <c r="AK52" s="19" t="n">
        <v>15945.80964060814</v>
      </c>
      <c r="AL52" s="24" t="n">
        <v>966190.4222824554</v>
      </c>
      <c r="AM52" s="24" t="n">
        <v>8626162.156079695</v>
      </c>
      <c r="AN52" s="19" t="n">
        <v>7188.468463399746</v>
      </c>
      <c r="AO52" s="19" t="n">
        <v>4774.950208321022</v>
      </c>
      <c r="AP52" s="19" t="n">
        <v>144552.6461772706</v>
      </c>
      <c r="AQ52" s="24" t="n">
        <v>8758751.383585244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 t="n">
        <v>4365336.22984071</v>
      </c>
      <c r="J53" s="21" t="n">
        <v>3637.780191533925</v>
      </c>
      <c r="K53" s="21" t="n">
        <v>2416.400568748667</v>
      </c>
      <c r="L53" s="21" t="n">
        <v>191663.5573154252</v>
      </c>
      <c r="M53" s="25" t="n">
        <v>4550945.606395852</v>
      </c>
      <c r="N53" s="25" t="n">
        <v>536897.9261714984</v>
      </c>
      <c r="O53" s="21" t="n">
        <v>447.4149384762487</v>
      </c>
      <c r="P53" s="21" t="n">
        <v>297.1959972503947</v>
      </c>
      <c r="Q53" s="21" t="n">
        <v>23572.9302457554</v>
      </c>
      <c r="R53" s="25" t="n">
        <v>559726.2454815271</v>
      </c>
      <c r="S53" s="25" t="n">
        <v>1350180.014045967</v>
      </c>
      <c r="T53" s="21" t="n">
        <v>1125.150011704972</v>
      </c>
      <c r="U53" s="21" t="n">
        <v>747.3824654218689</v>
      </c>
      <c r="V53" s="21" t="n">
        <v>59280.72681761871</v>
      </c>
      <c r="W53" s="25" t="n">
        <v>1407588.208386458</v>
      </c>
      <c r="X53" s="25" t="n">
        <v>1247544.52285898</v>
      </c>
      <c r="Y53" s="21" t="n">
        <v>1039.620435715817</v>
      </c>
      <c r="Z53" s="21" t="n">
        <v>690.5693252145493</v>
      </c>
      <c r="AA53" s="21" t="n">
        <v>54774.4339888458</v>
      </c>
      <c r="AB53" s="25" t="n">
        <v>1300588.767086896</v>
      </c>
      <c r="AC53" s="25" t="n">
        <v>292602.2683856338</v>
      </c>
      <c r="AD53" s="21" t="n">
        <v>243.8352236546949</v>
      </c>
      <c r="AE53" s="21" t="n">
        <v>161.9678875846857</v>
      </c>
      <c r="AF53" s="21" t="n">
        <v>12846.93519229783</v>
      </c>
      <c r="AG53" s="25" t="n">
        <v>305043.4004666923</v>
      </c>
      <c r="AH53" s="25" t="n">
        <v>966190.4222824554</v>
      </c>
      <c r="AI53" s="21" t="n">
        <v>805.1586852353795</v>
      </c>
      <c r="AJ53" s="21" t="n">
        <v>534.827780266546</v>
      </c>
      <c r="AK53" s="21" t="n">
        <v>42421.35854573236</v>
      </c>
      <c r="AL53" s="25" t="n">
        <v>1007271.794362686</v>
      </c>
      <c r="AM53" s="25" t="n">
        <v>8758751.383585244</v>
      </c>
      <c r="AN53" s="21" t="n">
        <v>7298.959486321038</v>
      </c>
      <c r="AO53" s="21" t="n">
        <v>4848.344024486712</v>
      </c>
      <c r="AP53" s="21" t="n">
        <v>384559.9421056753</v>
      </c>
      <c r="AQ53" s="25" t="n">
        <v>9131164.022180112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 t="n">
        <v>4550945.606395852</v>
      </c>
      <c r="J54" s="19" t="n">
        <v>3792.454671996543</v>
      </c>
      <c r="K54" s="19" t="n">
        <v>2519.143308244198</v>
      </c>
      <c r="L54" s="19" t="n">
        <v>245419.879342851</v>
      </c>
      <c r="M54" s="24" t="n">
        <v>4790053.887758462</v>
      </c>
      <c r="N54" s="24" t="n">
        <v>559726.2454815271</v>
      </c>
      <c r="O54" s="19" t="n">
        <v>466.4385379012726</v>
      </c>
      <c r="P54" s="19" t="n">
        <v>309.8324497158999</v>
      </c>
      <c r="Q54" s="19" t="n">
        <v>30184.48461305446</v>
      </c>
      <c r="R54" s="24" t="n">
        <v>589134.4591069643</v>
      </c>
      <c r="S54" s="24" t="n">
        <v>1407588.208386458</v>
      </c>
      <c r="T54" s="19" t="n">
        <v>1172.990173655382</v>
      </c>
      <c r="U54" s="19" t="n">
        <v>779.1603597583747</v>
      </c>
      <c r="V54" s="19" t="n">
        <v>75907.32962862321</v>
      </c>
      <c r="W54" s="24" t="n">
        <v>1481543.387481668</v>
      </c>
      <c r="X54" s="24" t="n">
        <v>1300588.767086896</v>
      </c>
      <c r="Y54" s="19" t="n">
        <v>1083.823972572413</v>
      </c>
      <c r="Z54" s="19" t="n">
        <v>719.9315862575792</v>
      </c>
      <c r="AA54" s="19" t="n">
        <v>70137.14640855002</v>
      </c>
      <c r="AB54" s="24" t="n">
        <v>1368922.157936616</v>
      </c>
      <c r="AC54" s="24" t="n">
        <v>305043.4004666923</v>
      </c>
      <c r="AD54" s="19" t="n">
        <v>254.2028337222436</v>
      </c>
      <c r="AE54" s="19" t="n">
        <v>168.8545870400547</v>
      </c>
      <c r="AF54" s="19" t="n">
        <v>16450.14487355241</v>
      </c>
      <c r="AG54" s="24" t="n">
        <v>321070.4879194825</v>
      </c>
      <c r="AH54" s="24" t="n">
        <v>1007271.794362686</v>
      </c>
      <c r="AI54" s="19" t="n">
        <v>839.3931619689049</v>
      </c>
      <c r="AJ54" s="19" t="n">
        <v>557.5680792110024</v>
      </c>
      <c r="AK54" s="19" t="n">
        <v>54319.37527236728</v>
      </c>
      <c r="AL54" s="24" t="n">
        <v>1060194.208393873</v>
      </c>
      <c r="AM54" s="24" t="n">
        <v>9131164.022180112</v>
      </c>
      <c r="AN54" s="19" t="n">
        <v>7609.303351816759</v>
      </c>
      <c r="AO54" s="19" t="n">
        <v>5054.490370227109</v>
      </c>
      <c r="AP54" s="19" t="n">
        <v>492418.3601389984</v>
      </c>
      <c r="AQ54" s="24" t="n">
        <v>9610918.588597067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 t="n">
        <v>4790053.887758462</v>
      </c>
      <c r="J55" s="21" t="n">
        <v>3991.711573132052</v>
      </c>
      <c r="K55" s="21" t="n">
        <v>2651.499982886465</v>
      </c>
      <c r="L55" s="21" t="n">
        <v>180791.1062350568</v>
      </c>
      <c r="M55" s="25" t="n">
        <v>4964201.782437501</v>
      </c>
      <c r="N55" s="25" t="n">
        <v>589134.4591069643</v>
      </c>
      <c r="O55" s="21" t="n">
        <v>490.945382589137</v>
      </c>
      <c r="P55" s="21" t="n">
        <v>326.1111554991156</v>
      </c>
      <c r="Q55" s="21" t="n">
        <v>22235.71447814799</v>
      </c>
      <c r="R55" s="25" t="n">
        <v>610553.1170470241</v>
      </c>
      <c r="S55" s="25" t="n">
        <v>1481543.387481668</v>
      </c>
      <c r="T55" s="21" t="n">
        <v>1234.619489568057</v>
      </c>
      <c r="U55" s="21" t="n">
        <v>820.0977188570793</v>
      </c>
      <c r="V55" s="21" t="n">
        <v>55917.92372995334</v>
      </c>
      <c r="W55" s="25" t="n">
        <v>1535406.594003196</v>
      </c>
      <c r="X55" s="25" t="n">
        <v>1368922.157936616</v>
      </c>
      <c r="Y55" s="21" t="n">
        <v>1140.76846494718</v>
      </c>
      <c r="Z55" s="21" t="n">
        <v>757.757044783557</v>
      </c>
      <c r="AA55" s="21" t="n">
        <v>51667.25825684939</v>
      </c>
      <c r="AB55" s="25" t="n">
        <v>1418690.890683735</v>
      </c>
      <c r="AC55" s="25" t="n">
        <v>321070.4879194825</v>
      </c>
      <c r="AD55" s="21" t="n">
        <v>267.5587399329021</v>
      </c>
      <c r="AE55" s="21" t="n">
        <v>177.7262663786518</v>
      </c>
      <c r="AF55" s="21" t="n">
        <v>12118.17028587877</v>
      </c>
      <c r="AG55" s="25" t="n">
        <v>332743.3731990497</v>
      </c>
      <c r="AH55" s="25" t="n">
        <v>1060194.208393873</v>
      </c>
      <c r="AI55" s="21" t="n">
        <v>883.495173661561</v>
      </c>
      <c r="AJ55" s="21" t="n">
        <v>586.8629020222066</v>
      </c>
      <c r="AK55" s="21" t="n">
        <v>40014.93266064772</v>
      </c>
      <c r="AL55" s="25" t="n">
        <v>1098738.782978837</v>
      </c>
      <c r="AM55" s="25" t="n">
        <v>9610918.588597067</v>
      </c>
      <c r="AN55" s="21" t="n">
        <v>8009.098823830889</v>
      </c>
      <c r="AO55" s="21" t="n">
        <v>5320.055070427075</v>
      </c>
      <c r="AP55" s="21" t="n">
        <v>362745.1056465339</v>
      </c>
      <c r="AQ55" s="25" t="n">
        <v>9960334.540349342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 t="n">
        <v>4964201.782437501</v>
      </c>
      <c r="J56" s="19" t="n">
        <v>4136.834818697917</v>
      </c>
      <c r="K56" s="19" t="n">
        <v>2747.898301273081</v>
      </c>
      <c r="L56" s="19" t="n">
        <v>245153.5284891535</v>
      </c>
      <c r="M56" s="24" t="n">
        <v>5202470.577806684</v>
      </c>
      <c r="N56" s="24" t="n">
        <v>610553.1170470241</v>
      </c>
      <c r="O56" s="19" t="n">
        <v>508.7942642058534</v>
      </c>
      <c r="P56" s="19" t="n">
        <v>337.9673000211338</v>
      </c>
      <c r="Q56" s="19" t="n">
        <v>30151.72580286094</v>
      </c>
      <c r="R56" s="24" t="n">
        <v>639858.0812856581</v>
      </c>
      <c r="S56" s="24" t="n">
        <v>1535406.594003196</v>
      </c>
      <c r="T56" s="19" t="n">
        <v>1279.505495002664</v>
      </c>
      <c r="U56" s="19" t="n">
        <v>849.9133106054375</v>
      </c>
      <c r="V56" s="19" t="n">
        <v>75824.94843724367</v>
      </c>
      <c r="W56" s="24" t="n">
        <v>1609102.123634832</v>
      </c>
      <c r="X56" s="24" t="n">
        <v>1418690.890683735</v>
      </c>
      <c r="Y56" s="19" t="n">
        <v>1182.242408903112</v>
      </c>
      <c r="Z56" s="19" t="n">
        <v>785.3061699331738</v>
      </c>
      <c r="AA56" s="19" t="n">
        <v>70061.02751845909</v>
      </c>
      <c r="AB56" s="24" t="n">
        <v>1486784.369623357</v>
      </c>
      <c r="AC56" s="24" t="n">
        <v>332743.3731990497</v>
      </c>
      <c r="AD56" s="19" t="n">
        <v>277.2861443325414</v>
      </c>
      <c r="AE56" s="19" t="n">
        <v>184.187708325705</v>
      </c>
      <c r="AF56" s="19" t="n">
        <v>16432.2917552873</v>
      </c>
      <c r="AG56" s="24" t="n">
        <v>348714.1911016788</v>
      </c>
      <c r="AH56" s="24" t="n">
        <v>1098738.782978837</v>
      </c>
      <c r="AI56" s="19" t="n">
        <v>915.6156524823643</v>
      </c>
      <c r="AJ56" s="19" t="n">
        <v>608.1989749030535</v>
      </c>
      <c r="AK56" s="19" t="n">
        <v>54260.42319393398</v>
      </c>
      <c r="AL56" s="24" t="n">
        <v>1151475.391545386</v>
      </c>
      <c r="AM56" s="24" t="n">
        <v>9960334.540349342</v>
      </c>
      <c r="AN56" s="19" t="n">
        <v>8300.278783624452</v>
      </c>
      <c r="AO56" s="19" t="n">
        <v>5513.471765061584</v>
      </c>
      <c r="AP56" s="19" t="n">
        <v>491883.9451969384</v>
      </c>
      <c r="AQ56" s="24" t="n">
        <v>10438404.7349976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 t="n">
        <v>5202470.577806684</v>
      </c>
      <c r="J57" s="21" t="n">
        <v>4335.392148172237</v>
      </c>
      <c r="K57" s="21" t="n">
        <v>2879.790284463151</v>
      </c>
      <c r="L57" s="21" t="n">
        <v>108076.3726719824</v>
      </c>
      <c r="M57" s="25" t="n">
        <v>5303331.768046031</v>
      </c>
      <c r="N57" s="25" t="n">
        <v>639858.0812856581</v>
      </c>
      <c r="O57" s="21" t="n">
        <v>533.2150677380484</v>
      </c>
      <c r="P57" s="21" t="n">
        <v>354.1888528466256</v>
      </c>
      <c r="Q57" s="21" t="n">
        <v>13292.44239173822</v>
      </c>
      <c r="R57" s="25" t="n">
        <v>652263.1197568115</v>
      </c>
      <c r="S57" s="25" t="n">
        <v>1609102.123634832</v>
      </c>
      <c r="T57" s="21" t="n">
        <v>1340.91843636236</v>
      </c>
      <c r="U57" s="21" t="n">
        <v>890.7069426053754</v>
      </c>
      <c r="V57" s="21" t="n">
        <v>33427.56449658839</v>
      </c>
      <c r="W57" s="25" t="n">
        <v>1640298.062752453</v>
      </c>
      <c r="X57" s="25" t="n">
        <v>1486784.369623357</v>
      </c>
      <c r="Y57" s="21" t="n">
        <v>1238.986974686131</v>
      </c>
      <c r="Z57" s="21" t="n">
        <v>822.9988269415857</v>
      </c>
      <c r="AA57" s="21" t="n">
        <v>30886.52962301545</v>
      </c>
      <c r="AB57" s="25" t="n">
        <v>1515608.913444745</v>
      </c>
      <c r="AC57" s="25" t="n">
        <v>348714.1911016788</v>
      </c>
      <c r="AD57" s="21" t="n">
        <v>290.595159251399</v>
      </c>
      <c r="AE57" s="21" t="n">
        <v>193.0282400582865</v>
      </c>
      <c r="AF57" s="21" t="n">
        <v>7244.205288596318</v>
      </c>
      <c r="AG57" s="25" t="n">
        <v>355474.7729909654</v>
      </c>
      <c r="AH57" s="25" t="n">
        <v>1151475.391545386</v>
      </c>
      <c r="AI57" s="21" t="n">
        <v>959.5628262878216</v>
      </c>
      <c r="AJ57" s="21" t="n">
        <v>637.3909464316093</v>
      </c>
      <c r="AK57" s="21" t="n">
        <v>23920.80487108528</v>
      </c>
      <c r="AL57" s="25" t="n">
        <v>1173799.242643752</v>
      </c>
      <c r="AM57" s="25" t="n">
        <v>10438404.7349976</v>
      </c>
      <c r="AN57" s="21" t="n">
        <v>8698.670612497997</v>
      </c>
      <c r="AO57" s="21" t="n">
        <v>5778.104093346633</v>
      </c>
      <c r="AP57" s="21" t="n">
        <v>216847.919343006</v>
      </c>
      <c r="AQ57" s="25" t="n">
        <v>10640775.87963476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 t="n">
        <v>5303331.768046031</v>
      </c>
      <c r="J58" s="19" t="n">
        <v>4419.443140038359</v>
      </c>
      <c r="K58" s="19" t="n">
        <v>2935.621273103382</v>
      </c>
      <c r="L58" s="19" t="n">
        <v>286958.9997031171</v>
      </c>
      <c r="M58" s="24" t="n">
        <v>5582935.703336006</v>
      </c>
      <c r="N58" s="24" t="n">
        <v>652263.1197568115</v>
      </c>
      <c r="O58" s="19" t="n">
        <v>543.552599797343</v>
      </c>
      <c r="P58" s="19" t="n">
        <v>361.055572943038</v>
      </c>
      <c r="Q58" s="19" t="n">
        <v>35293.43072903987</v>
      </c>
      <c r="R58" s="24" t="n">
        <v>686651.9423131109</v>
      </c>
      <c r="S58" s="24" t="n">
        <v>1640298.062752453</v>
      </c>
      <c r="T58" s="19" t="n">
        <v>1366.915052293711</v>
      </c>
      <c r="U58" s="19" t="n">
        <v>907.9752310160526</v>
      </c>
      <c r="V58" s="19" t="n">
        <v>88755.20368883683</v>
      </c>
      <c r="W58" s="24" t="n">
        <v>1726778.37615798</v>
      </c>
      <c r="X58" s="24" t="n">
        <v>1515608.913444745</v>
      </c>
      <c r="Y58" s="19" t="n">
        <v>1263.007427870621</v>
      </c>
      <c r="Z58" s="19" t="n">
        <v>838.9544464899257</v>
      </c>
      <c r="AA58" s="19" t="n">
        <v>82008.37450218096</v>
      </c>
      <c r="AB58" s="24" t="n">
        <v>1595515.326072566</v>
      </c>
      <c r="AC58" s="24" t="n">
        <v>355474.7729909654</v>
      </c>
      <c r="AD58" s="19" t="n">
        <v>296.2289774924712</v>
      </c>
      <c r="AE58" s="19" t="n">
        <v>196.770511686912</v>
      </c>
      <c r="AF58" s="19" t="n">
        <v>19234.45293236172</v>
      </c>
      <c r="AG58" s="24" t="n">
        <v>374216.2264341477</v>
      </c>
      <c r="AH58" s="24" t="n">
        <v>1173799.242643752</v>
      </c>
      <c r="AI58" s="19" t="n">
        <v>978.1660355364597</v>
      </c>
      <c r="AJ58" s="19" t="n">
        <v>649.7481541357959</v>
      </c>
      <c r="AK58" s="19" t="n">
        <v>63513.32921519835</v>
      </c>
      <c r="AL58" s="24" t="n">
        <v>1235684.657669278</v>
      </c>
      <c r="AM58" s="24" t="n">
        <v>10640775.87963476</v>
      </c>
      <c r="AN58" s="19" t="n">
        <v>8867.313233028965</v>
      </c>
      <c r="AO58" s="19" t="n">
        <v>5890.125189375105</v>
      </c>
      <c r="AP58" s="19" t="n">
        <v>575763.7907707349</v>
      </c>
      <c r="AQ58" s="24" t="n">
        <v>11201782.23198309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 t="n">
        <v>5582935.703336006</v>
      </c>
      <c r="J59" s="21" t="n">
        <v>4652.446419446672</v>
      </c>
      <c r="K59" s="21" t="n">
        <v>3090.39402660643</v>
      </c>
      <c r="L59" s="21" t="n">
        <v>289874.4676996998</v>
      </c>
      <c r="M59" s="25" t="n">
        <v>5865067.330589653</v>
      </c>
      <c r="N59" s="25" t="n">
        <v>686651.9423131109</v>
      </c>
      <c r="O59" s="21" t="n">
        <v>572.2099519275924</v>
      </c>
      <c r="P59" s="21" t="n">
        <v>380.0912590868912</v>
      </c>
      <c r="Q59" s="21" t="n">
        <v>35652.00762638959</v>
      </c>
      <c r="R59" s="25" t="n">
        <v>721351.6487284862</v>
      </c>
      <c r="S59" s="25" t="n">
        <v>1726778.37615798</v>
      </c>
      <c r="T59" s="21" t="n">
        <v>1438.98198013165</v>
      </c>
      <c r="U59" s="21" t="n">
        <v>955.8457884018014</v>
      </c>
      <c r="V59" s="21" t="n">
        <v>89656.94559674944</v>
      </c>
      <c r="W59" s="25" t="n">
        <v>1814040.493986196</v>
      </c>
      <c r="X59" s="25" t="n">
        <v>1595515.326072566</v>
      </c>
      <c r="Y59" s="21" t="n">
        <v>1329.596105060471</v>
      </c>
      <c r="Z59" s="21" t="n">
        <v>883.1860682377826</v>
      </c>
      <c r="AA59" s="21" t="n">
        <v>82841.56945881322</v>
      </c>
      <c r="AB59" s="25" t="n">
        <v>1676144.113358081</v>
      </c>
      <c r="AC59" s="25" t="n">
        <v>374216.2264341477</v>
      </c>
      <c r="AD59" s="21" t="n">
        <v>311.8468553617898</v>
      </c>
      <c r="AE59" s="21" t="n">
        <v>207.1447088563555</v>
      </c>
      <c r="AF59" s="21" t="n">
        <v>19429.87259863493</v>
      </c>
      <c r="AG59" s="25" t="n">
        <v>393127.1074685645</v>
      </c>
      <c r="AH59" s="25" t="n">
        <v>1235684.657669278</v>
      </c>
      <c r="AI59" s="21" t="n">
        <v>1029.737214724398</v>
      </c>
      <c r="AJ59" s="21" t="n">
        <v>684.0043818789645</v>
      </c>
      <c r="AK59" s="21" t="n">
        <v>64158.61679591512</v>
      </c>
      <c r="AL59" s="25" t="n">
        <v>1298129.53286859</v>
      </c>
      <c r="AM59" s="25" t="n">
        <v>11201782.23198309</v>
      </c>
      <c r="AN59" s="21" t="n">
        <v>9334.818526652574</v>
      </c>
      <c r="AO59" s="21" t="n">
        <v>6200.666233068225</v>
      </c>
      <c r="AP59" s="21" t="n">
        <v>581613.4797762021</v>
      </c>
      <c r="AQ59" s="25" t="n">
        <v>11767860.22699957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 t="n">
        <v>5865067.330589653</v>
      </c>
      <c r="J60" s="19" t="n">
        <v>4887.556108824711</v>
      </c>
      <c r="K60" s="19" t="n">
        <v>3246.565965871363</v>
      </c>
      <c r="L60" s="19" t="n">
        <v>331713.4299942265</v>
      </c>
      <c r="M60" s="24" t="n">
        <v>6188646.638509183</v>
      </c>
      <c r="N60" s="24" t="n">
        <v>721351.6487284862</v>
      </c>
      <c r="O60" s="19" t="n">
        <v>601.1263739404052</v>
      </c>
      <c r="P60" s="19" t="n">
        <v>399.2990327617689</v>
      </c>
      <c r="Q60" s="19" t="n">
        <v>40797.83166064011</v>
      </c>
      <c r="R60" s="24" t="n">
        <v>761149.0549824241</v>
      </c>
      <c r="S60" s="24" t="n">
        <v>1814040.493986196</v>
      </c>
      <c r="T60" s="19" t="n">
        <v>1511.700411655163</v>
      </c>
      <c r="U60" s="19" t="n">
        <v>1004.149108019866</v>
      </c>
      <c r="V60" s="19" t="n">
        <v>102597.5594977671</v>
      </c>
      <c r="W60" s="24" t="n">
        <v>1914122.203964288</v>
      </c>
      <c r="X60" s="24" t="n">
        <v>1676144.113358081</v>
      </c>
      <c r="Y60" s="19" t="n">
        <v>1396.786761131734</v>
      </c>
      <c r="Z60" s="19" t="n">
        <v>927.8175552976792</v>
      </c>
      <c r="AA60" s="19" t="n">
        <v>94798.48766727495</v>
      </c>
      <c r="AB60" s="24" t="n">
        <v>1768617.996708926</v>
      </c>
      <c r="AC60" s="24" t="n">
        <v>393127.1074685645</v>
      </c>
      <c r="AD60" s="19" t="n">
        <v>327.6059228904705</v>
      </c>
      <c r="AE60" s="19" t="n">
        <v>217.6126914540604</v>
      </c>
      <c r="AF60" s="19" t="n">
        <v>22234.27863512624</v>
      </c>
      <c r="AG60" s="24" t="n">
        <v>414816.1674893462</v>
      </c>
      <c r="AH60" s="24" t="n">
        <v>1298129.53286859</v>
      </c>
      <c r="AI60" s="19" t="n">
        <v>1081.774610723825</v>
      </c>
      <c r="AJ60" s="19" t="n">
        <v>718.5702947897696</v>
      </c>
      <c r="AK60" s="19" t="n">
        <v>73418.9354790154</v>
      </c>
      <c r="AL60" s="24" t="n">
        <v>1369748.123442091</v>
      </c>
      <c r="AM60" s="24" t="n">
        <v>11767860.22699957</v>
      </c>
      <c r="AN60" s="19" t="n">
        <v>9806.55018916631</v>
      </c>
      <c r="AO60" s="19" t="n">
        <v>6514.014648194508</v>
      </c>
      <c r="AP60" s="19" t="n">
        <v>665560.5229340503</v>
      </c>
      <c r="AQ60" s="24" t="n">
        <v>12417100.18509626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 t="n">
        <v>6188646.638509183</v>
      </c>
      <c r="J61" s="21" t="n">
        <v>5157.205532090987</v>
      </c>
      <c r="K61" s="21" t="n">
        <v>3425.680971571757</v>
      </c>
      <c r="L61" s="21" t="n">
        <v>240121.3241386057</v>
      </c>
      <c r="M61" s="25" t="n">
        <v>6420185.076144126</v>
      </c>
      <c r="N61" s="25" t="n">
        <v>761149.0549824241</v>
      </c>
      <c r="O61" s="21" t="n">
        <v>634.2908791520201</v>
      </c>
      <c r="P61" s="21" t="n">
        <v>421.3286016296512</v>
      </c>
      <c r="Q61" s="21" t="n">
        <v>29532.8089685948</v>
      </c>
      <c r="R61" s="25" t="n">
        <v>789626.2444702372</v>
      </c>
      <c r="S61" s="25" t="n">
        <v>1914122.203964288</v>
      </c>
      <c r="T61" s="21" t="n">
        <v>1595.101836636906</v>
      </c>
      <c r="U61" s="21" t="n">
        <v>1059.548620950678</v>
      </c>
      <c r="V61" s="21" t="n">
        <v>74268.50893683142</v>
      </c>
      <c r="W61" s="25" t="n">
        <v>1985736.062443532</v>
      </c>
      <c r="X61" s="25" t="n">
        <v>1768617.996708926</v>
      </c>
      <c r="Y61" s="21" t="n">
        <v>1473.848330590772</v>
      </c>
      <c r="Z61" s="21" t="n">
        <v>979.0058103502653</v>
      </c>
      <c r="AA61" s="21" t="n">
        <v>68622.90256200822</v>
      </c>
      <c r="AB61" s="25" t="n">
        <v>1834788.045129993</v>
      </c>
      <c r="AC61" s="25" t="n">
        <v>414816.1674893462</v>
      </c>
      <c r="AD61" s="21" t="n">
        <v>345.6801395744552</v>
      </c>
      <c r="AE61" s="21" t="n">
        <v>229.6185151089666</v>
      </c>
      <c r="AF61" s="21" t="n">
        <v>16094.99026682805</v>
      </c>
      <c r="AG61" s="25" t="n">
        <v>430335.8591014909</v>
      </c>
      <c r="AH61" s="25" t="n">
        <v>1369748.123442091</v>
      </c>
      <c r="AI61" s="21" t="n">
        <v>1141.456769535076</v>
      </c>
      <c r="AJ61" s="21" t="n">
        <v>758.214252066596</v>
      </c>
      <c r="AK61" s="21" t="n">
        <v>53146.63323813833</v>
      </c>
      <c r="AL61" s="25" t="n">
        <v>1420995.085658628</v>
      </c>
      <c r="AM61" s="25" t="n">
        <v>12417100.18509626</v>
      </c>
      <c r="AN61" s="21" t="n">
        <v>10347.58348758022</v>
      </c>
      <c r="AO61" s="21" t="n">
        <v>6873.396771677914</v>
      </c>
      <c r="AP61" s="21" t="n">
        <v>481787.1681110066</v>
      </c>
      <c r="AQ61" s="25" t="n">
        <v>12881666.37294801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 t="n">
        <v>6420185.076144126</v>
      </c>
      <c r="J62" s="19" t="n">
        <v>5350.154230120105</v>
      </c>
      <c r="K62" s="19" t="n">
        <v>3553.847413497508</v>
      </c>
      <c r="L62" s="19" t="n">
        <v>238644.1396267676</v>
      </c>
      <c r="M62" s="24" t="n">
        <v>6649925.214127277</v>
      </c>
      <c r="N62" s="24" t="n">
        <v>789626.2444702372</v>
      </c>
      <c r="O62" s="19" t="n">
        <v>658.0218703918644</v>
      </c>
      <c r="P62" s="19" t="n">
        <v>437.0919456773159</v>
      </c>
      <c r="Q62" s="19" t="n">
        <v>29351.12827798566</v>
      </c>
      <c r="R62" s="24" t="n">
        <v>817882.2589321536</v>
      </c>
      <c r="S62" s="24" t="n">
        <v>1985736.062443532</v>
      </c>
      <c r="T62" s="19" t="n">
        <v>1654.780052036276</v>
      </c>
      <c r="U62" s="19" t="n">
        <v>1099.189958810659</v>
      </c>
      <c r="V62" s="19" t="n">
        <v>73811.62202138417</v>
      </c>
      <c r="W62" s="24" t="n">
        <v>2056793.714454069</v>
      </c>
      <c r="X62" s="24" t="n">
        <v>1834788.045129993</v>
      </c>
      <c r="Y62" s="19" t="n">
        <v>1528.990037608328</v>
      </c>
      <c r="Z62" s="19" t="n">
        <v>1015.633766186929</v>
      </c>
      <c r="AA62" s="19" t="n">
        <v>68200.74643245323</v>
      </c>
      <c r="AB62" s="24" t="n">
        <v>1900444.167758651</v>
      </c>
      <c r="AC62" s="24" t="n">
        <v>430335.8591014909</v>
      </c>
      <c r="AD62" s="19" t="n">
        <v>358.6132159179091</v>
      </c>
      <c r="AE62" s="19" t="n">
        <v>238.2093291182139</v>
      </c>
      <c r="AF62" s="19" t="n">
        <v>15995.97669347869</v>
      </c>
      <c r="AG62" s="24" t="n">
        <v>445735.0132499335</v>
      </c>
      <c r="AH62" s="24" t="n">
        <v>1420995.085658628</v>
      </c>
      <c r="AI62" s="19" t="n">
        <v>1184.16257138219</v>
      </c>
      <c r="AJ62" s="19" t="n">
        <v>786.5816405394879</v>
      </c>
      <c r="AK62" s="19" t="n">
        <v>52819.6844185891</v>
      </c>
      <c r="AL62" s="24" t="n">
        <v>1471844.025865295</v>
      </c>
      <c r="AM62" s="24" t="n">
        <v>12881666.37294801</v>
      </c>
      <c r="AN62" s="19" t="n">
        <v>10734.72197745667</v>
      </c>
      <c r="AO62" s="19" t="n">
        <v>7130.554053830113</v>
      </c>
      <c r="AP62" s="19" t="n">
        <v>478823.2974706585</v>
      </c>
      <c r="AQ62" s="24" t="n">
        <v>13342624.39438738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 t="n">
        <v>6649925.214127277</v>
      </c>
      <c r="J63" s="21" t="n">
        <v>5541.604345106064</v>
      </c>
      <c r="K63" s="21" t="n">
        <v>3681.018419545566</v>
      </c>
      <c r="L63" s="21" t="n">
        <v>304811.0701505285</v>
      </c>
      <c r="M63" s="25" t="n">
        <v>6945513.661513153</v>
      </c>
      <c r="N63" s="25" t="n">
        <v>817882.2589321536</v>
      </c>
      <c r="O63" s="21" t="n">
        <v>681.5685491101281</v>
      </c>
      <c r="P63" s="21" t="n">
        <v>452.7328598753128</v>
      </c>
      <c r="Q63" s="21" t="n">
        <v>37489.07823393604</v>
      </c>
      <c r="R63" s="25" t="n">
        <v>854237.0357571042</v>
      </c>
      <c r="S63" s="25" t="n">
        <v>2056793.714454069</v>
      </c>
      <c r="T63" s="21" t="n">
        <v>1713.994762045058</v>
      </c>
      <c r="U63" s="21" t="n">
        <v>1138.52341256812</v>
      </c>
      <c r="V63" s="21" t="n">
        <v>94276.77349660282</v>
      </c>
      <c r="W63" s="25" t="n">
        <v>2148217.969776059</v>
      </c>
      <c r="X63" s="25" t="n">
        <v>1900444.167758651</v>
      </c>
      <c r="Y63" s="21" t="n">
        <v>1583.703473132209</v>
      </c>
      <c r="Z63" s="21" t="n">
        <v>1051.977242086267</v>
      </c>
      <c r="AA63" s="21" t="n">
        <v>87110.21581193348</v>
      </c>
      <c r="AB63" s="25" t="n">
        <v>1984918.702855366</v>
      </c>
      <c r="AC63" s="25" t="n">
        <v>445735.0132499335</v>
      </c>
      <c r="AD63" s="21" t="n">
        <v>371.4458443749446</v>
      </c>
      <c r="AE63" s="21" t="n">
        <v>246.7334204787327</v>
      </c>
      <c r="AF63" s="21" t="n">
        <v>20431.05178140005</v>
      </c>
      <c r="AG63" s="25" t="n">
        <v>465547.8857664799</v>
      </c>
      <c r="AH63" s="25" t="n">
        <v>1471844.025865295</v>
      </c>
      <c r="AI63" s="21" t="n">
        <v>1226.53668822108</v>
      </c>
      <c r="AJ63" s="21" t="n">
        <v>814.7287067828004</v>
      </c>
      <c r="AK63" s="21" t="n">
        <v>67464.57113014928</v>
      </c>
      <c r="AL63" s="25" t="n">
        <v>1537267.331600441</v>
      </c>
      <c r="AM63" s="25" t="n">
        <v>13342624.39438738</v>
      </c>
      <c r="AN63" s="21" t="n">
        <v>11118.85366198948</v>
      </c>
      <c r="AO63" s="21" t="n">
        <v>7385.714061336797</v>
      </c>
      <c r="AP63" s="21" t="n">
        <v>611582.7606045502</v>
      </c>
      <c r="AQ63" s="25" t="n">
        <v>13935702.5872686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 t="n">
        <v>6945513.661513153</v>
      </c>
      <c r="J64" s="19" t="n">
        <v>5787.928051260961</v>
      </c>
      <c r="K64" s="19" t="n">
        <v>3844.639285103689</v>
      </c>
      <c r="L64" s="19" t="n">
        <v>221932.3246472951</v>
      </c>
      <c r="M64" s="24" t="n">
        <v>7157813.418824084</v>
      </c>
      <c r="N64" s="24" t="n">
        <v>854237.0357571042</v>
      </c>
      <c r="O64" s="19" t="n">
        <v>711.8641964642535</v>
      </c>
      <c r="P64" s="19" t="n">
        <v>472.8567859078664</v>
      </c>
      <c r="Q64" s="19" t="n">
        <v>27295.72215744315</v>
      </c>
      <c r="R64" s="24" t="n">
        <v>880348.0369321752</v>
      </c>
      <c r="S64" s="24" t="n">
        <v>2148217.969776059</v>
      </c>
      <c r="T64" s="19" t="n">
        <v>1790.181641480049</v>
      </c>
      <c r="U64" s="19" t="n">
        <v>1189.130653551603</v>
      </c>
      <c r="V64" s="19" t="n">
        <v>68642.72840226858</v>
      </c>
      <c r="W64" s="24" t="n">
        <v>2213881.385883295</v>
      </c>
      <c r="X64" s="24" t="n">
        <v>1984918.702855366</v>
      </c>
      <c r="Y64" s="19" t="n">
        <v>1654.098919046138</v>
      </c>
      <c r="Z64" s="19" t="n">
        <v>1098.737515271439</v>
      </c>
      <c r="AA64" s="19" t="n">
        <v>63424.77222406234</v>
      </c>
      <c r="AB64" s="24" t="n">
        <v>2045590.638645111</v>
      </c>
      <c r="AC64" s="24" t="n">
        <v>465547.8857664799</v>
      </c>
      <c r="AD64" s="19" t="n">
        <v>387.9565714720666</v>
      </c>
      <c r="AE64" s="19" t="n">
        <v>257.7006939937157</v>
      </c>
      <c r="AF64" s="19" t="n">
        <v>14875.807543985</v>
      </c>
      <c r="AG64" s="24" t="n">
        <v>479778.0360449991</v>
      </c>
      <c r="AH64" s="24" t="n">
        <v>1537267.331600441</v>
      </c>
      <c r="AI64" s="19" t="n">
        <v>1281.056109667034</v>
      </c>
      <c r="AJ64" s="19" t="n">
        <v>850.9433085601282</v>
      </c>
      <c r="AK64" s="19" t="n">
        <v>49120.81800327245</v>
      </c>
      <c r="AL64" s="24" t="n">
        <v>1584256.150185486</v>
      </c>
      <c r="AM64" s="24" t="n">
        <v>13935702.5872686</v>
      </c>
      <c r="AN64" s="19" t="n">
        <v>11613.0854893905</v>
      </c>
      <c r="AO64" s="19" t="n">
        <v>7714.008242388441</v>
      </c>
      <c r="AP64" s="19" t="n">
        <v>445292.1729783267</v>
      </c>
      <c r="AQ64" s="24" t="n">
        <v>14361667.66651515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 t="n">
        <v>7157813.418824084</v>
      </c>
      <c r="J65" s="21" t="n">
        <v>5964.844515686737</v>
      </c>
      <c r="K65" s="21" t="n">
        <v>3962.156293485436</v>
      </c>
      <c r="L65" s="21" t="n">
        <v>203764.9933643616</v>
      </c>
      <c r="M65" s="25" t="n">
        <v>7351651.411379274</v>
      </c>
      <c r="N65" s="25" t="n">
        <v>880348.0369321752</v>
      </c>
      <c r="O65" s="21" t="n">
        <v>733.623364110146</v>
      </c>
      <c r="P65" s="21" t="n">
        <v>487.310343381569</v>
      </c>
      <c r="Q65" s="21" t="n">
        <v>25061.30034516651</v>
      </c>
      <c r="R65" s="25" t="n">
        <v>904188.4035698499</v>
      </c>
      <c r="S65" s="25" t="n">
        <v>2213881.385883295</v>
      </c>
      <c r="T65" s="21" t="n">
        <v>1844.901154902746</v>
      </c>
      <c r="U65" s="21" t="n">
        <v>1225.478166703711</v>
      </c>
      <c r="V65" s="21" t="n">
        <v>63023.64975281851</v>
      </c>
      <c r="W65" s="25" t="n">
        <v>2273834.656314508</v>
      </c>
      <c r="X65" s="25" t="n">
        <v>2045590.638645111</v>
      </c>
      <c r="Y65" s="21" t="n">
        <v>1704.658865537592</v>
      </c>
      <c r="Z65" s="21" t="n">
        <v>1132.322030284793</v>
      </c>
      <c r="AA65" s="21" t="n">
        <v>58232.83431970183</v>
      </c>
      <c r="AB65" s="25" t="n">
        <v>2100986.49206899</v>
      </c>
      <c r="AC65" s="25" t="n">
        <v>479778.0360449991</v>
      </c>
      <c r="AD65" s="21" t="n">
        <v>399.8150300374993</v>
      </c>
      <c r="AE65" s="21" t="n">
        <v>265.5776916442833</v>
      </c>
      <c r="AF65" s="21" t="n">
        <v>13658.07721027974</v>
      </c>
      <c r="AG65" s="25" t="n">
        <v>492770.7205335972</v>
      </c>
      <c r="AH65" s="25" t="n">
        <v>1584256.150185486</v>
      </c>
      <c r="AI65" s="21" t="n">
        <v>1320.213458487905</v>
      </c>
      <c r="AJ65" s="21" t="n">
        <v>876.9536321584719</v>
      </c>
      <c r="AK65" s="21" t="n">
        <v>45099.79864535617</v>
      </c>
      <c r="AL65" s="25" t="n">
        <v>1627158.781740196</v>
      </c>
      <c r="AM65" s="25" t="n">
        <v>14361667.66651515</v>
      </c>
      <c r="AN65" s="21" t="n">
        <v>11968.05638876263</v>
      </c>
      <c r="AO65" s="21" t="n">
        <v>7949.798157658263</v>
      </c>
      <c r="AP65" s="21" t="n">
        <v>408840.6536376844</v>
      </c>
      <c r="AQ65" s="25" t="n">
        <v>14750590.46560642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 t="n">
        <v>7351651.411379274</v>
      </c>
      <c r="J66" s="19" t="n">
        <v>6126.376176149395</v>
      </c>
      <c r="K66" s="19" t="n">
        <v>4069.453924365189</v>
      </c>
      <c r="L66" s="19" t="n">
        <v>287737.7014860059</v>
      </c>
      <c r="M66" s="24" t="n">
        <v>7629193.282764765</v>
      </c>
      <c r="N66" s="24" t="n">
        <v>904188.4035698499</v>
      </c>
      <c r="O66" s="19" t="n">
        <v>753.4903363082083</v>
      </c>
      <c r="P66" s="19" t="n">
        <v>500.5070073884916</v>
      </c>
      <c r="Q66" s="19" t="n">
        <v>35389.20419305875</v>
      </c>
      <c r="R66" s="24" t="n">
        <v>938323.6104192119</v>
      </c>
      <c r="S66" s="24" t="n">
        <v>2273834.656314508</v>
      </c>
      <c r="T66" s="19" t="n">
        <v>1894.862213595423</v>
      </c>
      <c r="U66" s="19" t="n">
        <v>1258.664869660979</v>
      </c>
      <c r="V66" s="19" t="n">
        <v>88996.05285343755</v>
      </c>
      <c r="W66" s="24" t="n">
        <v>2359677.182084689</v>
      </c>
      <c r="X66" s="24" t="n">
        <v>2100986.49206899</v>
      </c>
      <c r="Y66" s="19" t="n">
        <v>1750.822076724158</v>
      </c>
      <c r="Z66" s="19" t="n">
        <v>1162.98600773623</v>
      </c>
      <c r="AA66" s="19" t="n">
        <v>82230.91523971737</v>
      </c>
      <c r="AB66" s="24" t="n">
        <v>2180303.599224247</v>
      </c>
      <c r="AC66" s="24" t="n">
        <v>492770.7205335972</v>
      </c>
      <c r="AD66" s="19" t="n">
        <v>410.642267111331</v>
      </c>
      <c r="AE66" s="19" t="n">
        <v>272.7696989799853</v>
      </c>
      <c r="AF66" s="19" t="n">
        <v>19286.64820348693</v>
      </c>
      <c r="AG66" s="24" t="n">
        <v>511373.9567709928</v>
      </c>
      <c r="AH66" s="24" t="n">
        <v>1627158.781740196</v>
      </c>
      <c r="AI66" s="19" t="n">
        <v>1355.965651450163</v>
      </c>
      <c r="AJ66" s="19" t="n">
        <v>900.7020762258372</v>
      </c>
      <c r="AK66" s="19" t="n">
        <v>63685.68116355417</v>
      </c>
      <c r="AL66" s="24" t="n">
        <v>1688587.795176074</v>
      </c>
      <c r="AM66" s="24" t="n">
        <v>14750590.46560642</v>
      </c>
      <c r="AN66" s="19" t="n">
        <v>12292.15872133868</v>
      </c>
      <c r="AO66" s="19" t="n">
        <v>8165.083584356711</v>
      </c>
      <c r="AP66" s="19" t="n">
        <v>577326.2031392608</v>
      </c>
      <c r="AQ66" s="24" t="n">
        <v>15307459.42643998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 t="n">
        <v>7629193.282764765</v>
      </c>
      <c r="J67" s="21" t="n">
        <v>6357.661068970638</v>
      </c>
      <c r="K67" s="21" t="n">
        <v>4223.085237179767</v>
      </c>
      <c r="L67" s="21" t="n">
        <v>253684.0752091119</v>
      </c>
      <c r="M67" s="25" t="n">
        <v>7872296.611667726</v>
      </c>
      <c r="N67" s="25" t="n">
        <v>938323.6104192119</v>
      </c>
      <c r="O67" s="21" t="n">
        <v>781.93634201601</v>
      </c>
      <c r="P67" s="21" t="n">
        <v>519.4023063762999</v>
      </c>
      <c r="Q67" s="21" t="n">
        <v>31200.90795101859</v>
      </c>
      <c r="R67" s="25" t="n">
        <v>968223.1797218382</v>
      </c>
      <c r="S67" s="25" t="n">
        <v>2359677.182084689</v>
      </c>
      <c r="T67" s="21" t="n">
        <v>1966.397651737241</v>
      </c>
      <c r="U67" s="21" t="n">
        <v>1306.182384274385</v>
      </c>
      <c r="V67" s="21" t="n">
        <v>78463.41042132631</v>
      </c>
      <c r="W67" s="25" t="n">
        <v>2434868.012470004</v>
      </c>
      <c r="X67" s="25" t="n">
        <v>2180303.599224247</v>
      </c>
      <c r="Y67" s="21" t="n">
        <v>1816.919666020206</v>
      </c>
      <c r="Z67" s="21" t="n">
        <v>1206.891423665316</v>
      </c>
      <c r="AA67" s="21" t="n">
        <v>72498.92377138186</v>
      </c>
      <c r="AB67" s="25" t="n">
        <v>2249778.711905943</v>
      </c>
      <c r="AC67" s="25" t="n">
        <v>511373.9567709928</v>
      </c>
      <c r="AD67" s="21" t="n">
        <v>426.1449639758274</v>
      </c>
      <c r="AE67" s="21" t="n">
        <v>283.0673870062405</v>
      </c>
      <c r="AF67" s="21" t="n">
        <v>17004.08214883519</v>
      </c>
      <c r="AG67" s="25" t="n">
        <v>527668.8265688459</v>
      </c>
      <c r="AH67" s="25" t="n">
        <v>1688587.795176074</v>
      </c>
      <c r="AI67" s="21" t="n">
        <v>1407.156495980061</v>
      </c>
      <c r="AJ67" s="21" t="n">
        <v>934.7056661416458</v>
      </c>
      <c r="AK67" s="21" t="n">
        <v>56148.50972466097</v>
      </c>
      <c r="AL67" s="25" t="n">
        <v>1742394.442738613</v>
      </c>
      <c r="AM67" s="25" t="n">
        <v>15307459.42643998</v>
      </c>
      <c r="AN67" s="21" t="n">
        <v>12756.21618869998</v>
      </c>
      <c r="AO67" s="21" t="n">
        <v>8473.334404643654</v>
      </c>
      <c r="AP67" s="21" t="n">
        <v>508999.9092263347</v>
      </c>
      <c r="AQ67" s="25" t="n">
        <v>15795229.78507297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 t="n">
        <v>7872296.611667726</v>
      </c>
      <c r="J68" s="19" t="n">
        <v>6560.247176389772</v>
      </c>
      <c r="K68" s="19" t="n">
        <v>4357.65334174184</v>
      </c>
      <c r="L68" s="19" t="n">
        <v>95942.41724506479</v>
      </c>
      <c r="M68" s="24" t="n">
        <v>7957321.128394659</v>
      </c>
      <c r="N68" s="24" t="n">
        <v>968223.1797218382</v>
      </c>
      <c r="O68" s="19" t="n">
        <v>806.8526497681986</v>
      </c>
      <c r="P68" s="19" t="n">
        <v>535.9529985713986</v>
      </c>
      <c r="Q68" s="19" t="n">
        <v>11800.07269511872</v>
      </c>
      <c r="R68" s="24" t="n">
        <v>978680.4467686173</v>
      </c>
      <c r="S68" s="24" t="n">
        <v>2434868.012470004</v>
      </c>
      <c r="T68" s="19" t="n">
        <v>2029.056677058337</v>
      </c>
      <c r="U68" s="19" t="n">
        <v>1347.803729284593</v>
      </c>
      <c r="V68" s="19" t="n">
        <v>29674.5834554587</v>
      </c>
      <c r="W68" s="24" t="n">
        <v>2461165.73551912</v>
      </c>
      <c r="X68" s="24" t="n">
        <v>2249778.711905943</v>
      </c>
      <c r="Y68" s="19" t="n">
        <v>1874.815593254953</v>
      </c>
      <c r="Z68" s="19" t="n">
        <v>1245.348874124763</v>
      </c>
      <c r="AA68" s="19" t="n">
        <v>27418.8357647537</v>
      </c>
      <c r="AB68" s="24" t="n">
        <v>2274077.383203317</v>
      </c>
      <c r="AC68" s="24" t="n">
        <v>527668.8265688459</v>
      </c>
      <c r="AD68" s="19" t="n">
        <v>439.724022140705</v>
      </c>
      <c r="AE68" s="19" t="n">
        <v>292.0872953418361</v>
      </c>
      <c r="AF68" s="19" t="n">
        <v>6430.883543037257</v>
      </c>
      <c r="AG68" s="24" t="n">
        <v>533367.8987944005</v>
      </c>
      <c r="AH68" s="24" t="n">
        <v>1742394.442738613</v>
      </c>
      <c r="AI68" s="19" t="n">
        <v>1451.995368948844</v>
      </c>
      <c r="AJ68" s="19" t="n">
        <v>964.489950083807</v>
      </c>
      <c r="AK68" s="19" t="n">
        <v>21235.16717890737</v>
      </c>
      <c r="AL68" s="24" t="n">
        <v>1761213.124598488</v>
      </c>
      <c r="AM68" s="24" t="n">
        <v>15795229.78507297</v>
      </c>
      <c r="AN68" s="19" t="n">
        <v>13162.69148756081</v>
      </c>
      <c r="AO68" s="19" t="n">
        <v>8743.336189148236</v>
      </c>
      <c r="AP68" s="19" t="n">
        <v>192501.9598823405</v>
      </c>
      <c r="AQ68" s="24" t="n">
        <v>15965825.7172786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 t="n">
        <v>7957321.128394659</v>
      </c>
      <c r="J69" s="21" t="n">
        <v>6631.100940328883</v>
      </c>
      <c r="K69" s="21" t="n">
        <v>4404.718053314821</v>
      </c>
      <c r="L69" s="21" t="n">
        <v>304113.3648342087</v>
      </c>
      <c r="M69" s="25" t="n">
        <v>8250398.674235224</v>
      </c>
      <c r="N69" s="25" t="n">
        <v>978680.4467686173</v>
      </c>
      <c r="O69" s="21" t="n">
        <v>815.5670389738477</v>
      </c>
      <c r="P69" s="21" t="n">
        <v>541.7415437621812</v>
      </c>
      <c r="Q69" s="21" t="n">
        <v>37403.26662225531</v>
      </c>
      <c r="R69" s="25" t="n">
        <v>1014726.404808137</v>
      </c>
      <c r="S69" s="25" t="n">
        <v>2461165.73551912</v>
      </c>
      <c r="T69" s="21" t="n">
        <v>2050.971446265933</v>
      </c>
      <c r="U69" s="21" t="n">
        <v>1362.360645312799</v>
      </c>
      <c r="V69" s="21" t="n">
        <v>94060.97619619124</v>
      </c>
      <c r="W69" s="25" t="n">
        <v>2551813.379623732</v>
      </c>
      <c r="X69" s="25" t="n">
        <v>2274077.383203317</v>
      </c>
      <c r="Y69" s="21" t="n">
        <v>1895.064486002765</v>
      </c>
      <c r="Z69" s="21" t="n">
        <v>1258.799229389826</v>
      </c>
      <c r="AA69" s="21" t="n">
        <v>86910.82259223271</v>
      </c>
      <c r="AB69" s="25" t="n">
        <v>2357834.342080158</v>
      </c>
      <c r="AC69" s="25" t="n">
        <v>533367.8987944005</v>
      </c>
      <c r="AD69" s="21" t="n">
        <v>444.4732489953338</v>
      </c>
      <c r="AE69" s="21" t="n">
        <v>295.2419759075694</v>
      </c>
      <c r="AF69" s="21" t="n">
        <v>20384.28558803691</v>
      </c>
      <c r="AG69" s="25" t="n">
        <v>553012.4691575344</v>
      </c>
      <c r="AH69" s="25" t="n">
        <v>1761213.124598488</v>
      </c>
      <c r="AI69" s="21" t="n">
        <v>1467.677603832073</v>
      </c>
      <c r="AJ69" s="21" t="n">
        <v>974.9068964895506</v>
      </c>
      <c r="AK69" s="21" t="n">
        <v>67310.1463255728</v>
      </c>
      <c r="AL69" s="25" t="n">
        <v>1826080.686423739</v>
      </c>
      <c r="AM69" s="25" t="n">
        <v>15965825.7172786</v>
      </c>
      <c r="AN69" s="21" t="n">
        <v>13304.85476439883</v>
      </c>
      <c r="AO69" s="21" t="n">
        <v>8837.768344176748</v>
      </c>
      <c r="AP69" s="21" t="n">
        <v>610182.8621584976</v>
      </c>
      <c r="AQ69" s="25" t="n">
        <v>16553865.95632852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 t="n">
        <v>8250398.674235224</v>
      </c>
      <c r="J70" s="19" t="n">
        <v>6875.332228529353</v>
      </c>
      <c r="K70" s="19" t="n">
        <v>4566.949027326747</v>
      </c>
      <c r="L70" s="19" t="n">
        <v>249406.6035305945</v>
      </c>
      <c r="M70" s="24" t="n">
        <v>8488362.996509962</v>
      </c>
      <c r="N70" s="24" t="n">
        <v>1014726.404808137</v>
      </c>
      <c r="O70" s="19" t="n">
        <v>845.6053373401139</v>
      </c>
      <c r="P70" s="19" t="n">
        <v>561.6945253704188</v>
      </c>
      <c r="Q70" s="19" t="n">
        <v>30674.81659114708</v>
      </c>
      <c r="R70" s="24" t="n">
        <v>1043993.921536573</v>
      </c>
      <c r="S70" s="24" t="n">
        <v>2551813.379623732</v>
      </c>
      <c r="T70" s="19" t="n">
        <v>2126.511149686443</v>
      </c>
      <c r="U70" s="19" t="n">
        <v>1412.537998725529</v>
      </c>
      <c r="V70" s="19" t="n">
        <v>77140.40654100607</v>
      </c>
      <c r="W70" s="24" t="n">
        <v>2625414.737016326</v>
      </c>
      <c r="X70" s="24" t="n">
        <v>2357834.342080158</v>
      </c>
      <c r="Y70" s="19" t="n">
        <v>1964.861951733465</v>
      </c>
      <c r="Z70" s="19" t="n">
        <v>1305.162293403808</v>
      </c>
      <c r="AA70" s="19" t="n">
        <v>71276.48955709605</v>
      </c>
      <c r="AB70" s="24" t="n">
        <v>2425840.807392117</v>
      </c>
      <c r="AC70" s="24" t="n">
        <v>553012.4691575344</v>
      </c>
      <c r="AD70" s="19" t="n">
        <v>460.8437242979454</v>
      </c>
      <c r="AE70" s="19" t="n">
        <v>306.1160869723274</v>
      </c>
      <c r="AF70" s="19" t="n">
        <v>16717.36931614803</v>
      </c>
      <c r="AG70" s="24" t="n">
        <v>568962.8786624122</v>
      </c>
      <c r="AH70" s="24" t="n">
        <v>1826080.686423739</v>
      </c>
      <c r="AI70" s="19" t="n">
        <v>1521.733905353116</v>
      </c>
      <c r="AJ70" s="19" t="n">
        <v>1010.813870210472</v>
      </c>
      <c r="AK70" s="19" t="n">
        <v>55201.76657596227</v>
      </c>
      <c r="AL70" s="24" t="n">
        <v>1878749.905224138</v>
      </c>
      <c r="AM70" s="24" t="n">
        <v>16553865.95632852</v>
      </c>
      <c r="AN70" s="19" t="n">
        <v>13794.88829694044</v>
      </c>
      <c r="AO70" s="19" t="n">
        <v>9163.273802009302</v>
      </c>
      <c r="AP70" s="19" t="n">
        <v>500417.452111954</v>
      </c>
      <c r="AQ70" s="24" t="n">
        <v>17031325.24634153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 t="n">
        <v>8488362.996509962</v>
      </c>
      <c r="J71" s="21" t="n">
        <v>7073.635830424969</v>
      </c>
      <c r="K71" s="21" t="n">
        <v>4698.672471618586</v>
      </c>
      <c r="L71" s="21" t="n">
        <v>481005.5631730823</v>
      </c>
      <c r="M71" s="25" t="n">
        <v>8957596.251381001</v>
      </c>
      <c r="N71" s="25" t="n">
        <v>1043993.921536573</v>
      </c>
      <c r="O71" s="21" t="n">
        <v>869.9949346138111</v>
      </c>
      <c r="P71" s="21" t="n">
        <v>577.8953493951551</v>
      </c>
      <c r="Q71" s="21" t="n">
        <v>59159.44975308465</v>
      </c>
      <c r="R71" s="25" t="n">
        <v>1101705.481005649</v>
      </c>
      <c r="S71" s="25" t="n">
        <v>2625414.737016326</v>
      </c>
      <c r="T71" s="21" t="n">
        <v>2187.845614180272</v>
      </c>
      <c r="U71" s="21" t="n">
        <v>1453.2795023578</v>
      </c>
      <c r="V71" s="21" t="n">
        <v>148772.9842209471</v>
      </c>
      <c r="W71" s="25" t="n">
        <v>2770546.596120735</v>
      </c>
      <c r="X71" s="25" t="n">
        <v>2425840.807392117</v>
      </c>
      <c r="Y71" s="21" t="n">
        <v>2021.534006160097</v>
      </c>
      <c r="Z71" s="21" t="n">
        <v>1342.80678464255</v>
      </c>
      <c r="AA71" s="21" t="n">
        <v>137463.834217227</v>
      </c>
      <c r="AB71" s="25" t="n">
        <v>2559940.300818541</v>
      </c>
      <c r="AC71" s="25" t="n">
        <v>568962.8786624122</v>
      </c>
      <c r="AD71" s="21" t="n">
        <v>474.1357322186768</v>
      </c>
      <c r="AE71" s="21" t="n">
        <v>314.9453217826704</v>
      </c>
      <c r="AF71" s="21" t="n">
        <v>32241.11763223538</v>
      </c>
      <c r="AG71" s="25" t="n">
        <v>600414.9152406462</v>
      </c>
      <c r="AH71" s="25" t="n">
        <v>1878749.905224138</v>
      </c>
      <c r="AI71" s="21" t="n">
        <v>1565.624921020115</v>
      </c>
      <c r="AJ71" s="21" t="n">
        <v>1039.968538617188</v>
      </c>
      <c r="AK71" s="21" t="n">
        <v>106462.1242747593</v>
      </c>
      <c r="AL71" s="25" t="n">
        <v>1982606.43603926</v>
      </c>
      <c r="AM71" s="25" t="n">
        <v>17031325.24634153</v>
      </c>
      <c r="AN71" s="21" t="n">
        <v>14192.77103861794</v>
      </c>
      <c r="AO71" s="21" t="n">
        <v>9427.56796841395</v>
      </c>
      <c r="AP71" s="21" t="n">
        <v>965105.0732713358</v>
      </c>
      <c r="AQ71" s="25" t="n">
        <v>17972809.98060583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 t="n">
        <v>8957596.251381001</v>
      </c>
      <c r="J72" s="19" t="n">
        <v>7464.6635428175</v>
      </c>
      <c r="K72" s="19" t="n">
        <v>4958.413175254497</v>
      </c>
      <c r="L72" s="19" t="n">
        <v>134999.9357697832</v>
      </c>
      <c r="M72" s="24" t="n">
        <v>9080173.11043271</v>
      </c>
      <c r="N72" s="24" t="n">
        <v>1101705.481005649</v>
      </c>
      <c r="O72" s="19" t="n">
        <v>918.0879008380408</v>
      </c>
      <c r="P72" s="19" t="n">
        <v>609.841169323334</v>
      </c>
      <c r="Q72" s="19" t="n">
        <v>16603.80363203474</v>
      </c>
      <c r="R72" s="24" t="n">
        <v>1116781.355567522</v>
      </c>
      <c r="S72" s="24" t="n">
        <v>2770546.596120735</v>
      </c>
      <c r="T72" s="19" t="n">
        <v>2308.788830100613</v>
      </c>
      <c r="U72" s="19" t="n">
        <v>1533.616202309144</v>
      </c>
      <c r="V72" s="19" t="n">
        <v>41754.9085744769</v>
      </c>
      <c r="W72" s="24" t="n">
        <v>2808459.099662802</v>
      </c>
      <c r="X72" s="24" t="n">
        <v>2559940.300818541</v>
      </c>
      <c r="Y72" s="19" t="n">
        <v>2133.283584015451</v>
      </c>
      <c r="Z72" s="19" t="n">
        <v>1417.036597679505</v>
      </c>
      <c r="AA72" s="19" t="n">
        <v>38580.86103531427</v>
      </c>
      <c r="AB72" s="24" t="n">
        <v>2594970.841672161</v>
      </c>
      <c r="AC72" s="24" t="n">
        <v>600414.9152406462</v>
      </c>
      <c r="AD72" s="19" t="n">
        <v>500.3457627005386</v>
      </c>
      <c r="AE72" s="19" t="n">
        <v>332.3553711063445</v>
      </c>
      <c r="AF72" s="19" t="n">
        <v>9048.853366237687</v>
      </c>
      <c r="AG72" s="24" t="n">
        <v>608631.0674730771</v>
      </c>
      <c r="AH72" s="24" t="n">
        <v>1982606.43603926</v>
      </c>
      <c r="AI72" s="19" t="n">
        <v>1652.172030032717</v>
      </c>
      <c r="AJ72" s="19" t="n">
        <v>1097.4575765553</v>
      </c>
      <c r="AK72" s="19" t="n">
        <v>29879.8621874473</v>
      </c>
      <c r="AL72" s="24" t="n">
        <v>2009736.668620119</v>
      </c>
      <c r="AM72" s="24" t="n">
        <v>17972809.98060583</v>
      </c>
      <c r="AN72" s="19" t="n">
        <v>14977.34165050486</v>
      </c>
      <c r="AO72" s="19" t="n">
        <v>9948.720092228126</v>
      </c>
      <c r="AP72" s="19" t="n">
        <v>270868.224565294</v>
      </c>
      <c r="AQ72" s="24" t="n">
        <v>18218752.14342839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 t="n">
        <v>9080173.11043271</v>
      </c>
      <c r="J73" s="21" t="n">
        <v>7566.810925360593</v>
      </c>
      <c r="K73" s="21" t="n">
        <v>5026.264716655419</v>
      </c>
      <c r="L73" s="21" t="n">
        <v>395604.6399793325</v>
      </c>
      <c r="M73" s="25" t="n">
        <v>9463184.674770027</v>
      </c>
      <c r="N73" s="25" t="n">
        <v>1116781.355567522</v>
      </c>
      <c r="O73" s="21" t="n">
        <v>930.6511296396018</v>
      </c>
      <c r="P73" s="21" t="n">
        <v>618.1863115867568</v>
      </c>
      <c r="Q73" s="21" t="n">
        <v>48655.88802456946</v>
      </c>
      <c r="R73" s="25" t="n">
        <v>1163888.406150865</v>
      </c>
      <c r="S73" s="25" t="n">
        <v>2808459.099662802</v>
      </c>
      <c r="T73" s="21" t="n">
        <v>2340.382583052335</v>
      </c>
      <c r="U73" s="21" t="n">
        <v>1554.602396796408</v>
      </c>
      <c r="V73" s="21" t="n">
        <v>122358.8402452646</v>
      </c>
      <c r="W73" s="25" t="n">
        <v>2926922.954928218</v>
      </c>
      <c r="X73" s="25" t="n">
        <v>2594970.841672161</v>
      </c>
      <c r="Y73" s="21" t="n">
        <v>2162.475701393467</v>
      </c>
      <c r="Z73" s="21" t="n">
        <v>1436.427502385452</v>
      </c>
      <c r="AA73" s="21" t="n">
        <v>113057.5918643097</v>
      </c>
      <c r="AB73" s="25" t="n">
        <v>2704429.530332692</v>
      </c>
      <c r="AC73" s="25" t="n">
        <v>608631.0674730771</v>
      </c>
      <c r="AD73" s="21" t="n">
        <v>507.1925562275643</v>
      </c>
      <c r="AE73" s="21" t="n">
        <v>336.9033632613717</v>
      </c>
      <c r="AF73" s="21" t="n">
        <v>26516.81541745953</v>
      </c>
      <c r="AG73" s="25" t="n">
        <v>634303.7869710478</v>
      </c>
      <c r="AH73" s="25" t="n">
        <v>2009736.668620119</v>
      </c>
      <c r="AI73" s="21" t="n">
        <v>1674.780557183433</v>
      </c>
      <c r="AJ73" s="21" t="n">
        <v>1112.475322265363</v>
      </c>
      <c r="AK73" s="21" t="n">
        <v>87560.13146150659</v>
      </c>
      <c r="AL73" s="25" t="n">
        <v>2094509.544202177</v>
      </c>
      <c r="AM73" s="25" t="n">
        <v>18218752.14342839</v>
      </c>
      <c r="AN73" s="21" t="n">
        <v>15182.29345285699</v>
      </c>
      <c r="AO73" s="21" t="n">
        <v>10084.85961295077</v>
      </c>
      <c r="AP73" s="21" t="n">
        <v>793753.9069924423</v>
      </c>
      <c r="AQ73" s="25" t="n">
        <v>18987238.89735503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 t="n">
        <v>9463184.674770027</v>
      </c>
      <c r="J74" s="19" t="n">
        <v>7885.987228975024</v>
      </c>
      <c r="K74" s="19" t="n">
        <v>5238.278021741837</v>
      </c>
      <c r="L74" s="19" t="n">
        <v>514644.1063419463</v>
      </c>
      <c r="M74" s="24" t="n">
        <v>9964704.515861258</v>
      </c>
      <c r="N74" s="24" t="n">
        <v>1163888.406150865</v>
      </c>
      <c r="O74" s="19" t="n">
        <v>969.907005125721</v>
      </c>
      <c r="P74" s="19" t="n">
        <v>644.2620816599857</v>
      </c>
      <c r="Q74" s="19" t="n">
        <v>63296.69442700808</v>
      </c>
      <c r="R74" s="24" t="n">
        <v>1225570.931491087</v>
      </c>
      <c r="S74" s="24" t="n">
        <v>2926922.954928218</v>
      </c>
      <c r="T74" s="19" t="n">
        <v>2439.102462440182</v>
      </c>
      <c r="U74" s="19" t="n">
        <v>1620.177214443377</v>
      </c>
      <c r="V74" s="19" t="n">
        <v>159177.2432051124</v>
      </c>
      <c r="W74" s="24" t="n">
        <v>3082040.918456447</v>
      </c>
      <c r="X74" s="24" t="n">
        <v>2704429.530332692</v>
      </c>
      <c r="Y74" s="19" t="n">
        <v>2253.691275277243</v>
      </c>
      <c r="Z74" s="19" t="n">
        <v>1497.017574629083</v>
      </c>
      <c r="AA74" s="19" t="n">
        <v>147077.2014535013</v>
      </c>
      <c r="AB74" s="24" t="n">
        <v>2847756.022936286</v>
      </c>
      <c r="AC74" s="24" t="n">
        <v>634303.7869710478</v>
      </c>
      <c r="AD74" s="19" t="n">
        <v>528.5864891425398</v>
      </c>
      <c r="AE74" s="19" t="n">
        <v>351.1143130553776</v>
      </c>
      <c r="AF74" s="19" t="n">
        <v>34495.86125750635</v>
      </c>
      <c r="AG74" s="24" t="n">
        <v>667919.9474263561</v>
      </c>
      <c r="AH74" s="24" t="n">
        <v>2094509.544202177</v>
      </c>
      <c r="AI74" s="19" t="n">
        <v>1745.424620168481</v>
      </c>
      <c r="AJ74" s="19" t="n">
        <v>1159.400739686971</v>
      </c>
      <c r="AK74" s="19" t="n">
        <v>113907.4243657622</v>
      </c>
      <c r="AL74" s="24" t="n">
        <v>2205512.143208084</v>
      </c>
      <c r="AM74" s="24" t="n">
        <v>18987238.89735503</v>
      </c>
      <c r="AN74" s="19" t="n">
        <v>15822.69908112919</v>
      </c>
      <c r="AO74" s="19" t="n">
        <v>10510.24994521663</v>
      </c>
      <c r="AP74" s="19" t="n">
        <v>1032598.531050836</v>
      </c>
      <c r="AQ74" s="24" t="n">
        <v>19993504.47937952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 t="n">
        <v>9964704.515861258</v>
      </c>
      <c r="J75" s="21" t="n">
        <v>8303.920429884382</v>
      </c>
      <c r="K75" s="21" t="n">
        <v>5515.89073367166</v>
      </c>
      <c r="L75" s="21" t="n">
        <v>521555.4387019974</v>
      </c>
      <c r="M75" s="25" t="n">
        <v>10472440.1433997</v>
      </c>
      <c r="N75" s="25" t="n">
        <v>1225570.931491087</v>
      </c>
      <c r="O75" s="21" t="n">
        <v>1021.309109575906</v>
      </c>
      <c r="P75" s="21" t="n">
        <v>678.406001272658</v>
      </c>
      <c r="Q75" s="21" t="n">
        <v>64146.72746359934</v>
      </c>
      <c r="R75" s="25" t="n">
        <v>1288017.943843838</v>
      </c>
      <c r="S75" s="25" t="n">
        <v>3082040.918456447</v>
      </c>
      <c r="T75" s="21" t="n">
        <v>2568.367432047039</v>
      </c>
      <c r="U75" s="21" t="n">
        <v>1706.041650893997</v>
      </c>
      <c r="V75" s="21" t="n">
        <v>161314.8890430621</v>
      </c>
      <c r="W75" s="25" t="n">
        <v>3239081.398416568</v>
      </c>
      <c r="X75" s="25" t="n">
        <v>2847756.022936286</v>
      </c>
      <c r="Y75" s="21" t="n">
        <v>2373.130019113572</v>
      </c>
      <c r="Z75" s="21" t="n">
        <v>1576.354926899132</v>
      </c>
      <c r="AA75" s="21" t="n">
        <v>149052.351677326</v>
      </c>
      <c r="AB75" s="25" t="n">
        <v>2992858.8896676</v>
      </c>
      <c r="AC75" s="25" t="n">
        <v>667919.9474263561</v>
      </c>
      <c r="AD75" s="21" t="n">
        <v>556.5999561886301</v>
      </c>
      <c r="AE75" s="21" t="n">
        <v>369.7222976335364</v>
      </c>
      <c r="AF75" s="21" t="n">
        <v>34959.1180193324</v>
      </c>
      <c r="AG75" s="25" t="n">
        <v>701952.7431918664</v>
      </c>
      <c r="AH75" s="25" t="n">
        <v>2205512.143208084</v>
      </c>
      <c r="AI75" s="21" t="n">
        <v>1837.926786006737</v>
      </c>
      <c r="AJ75" s="21" t="n">
        <v>1220.845432431804</v>
      </c>
      <c r="AK75" s="21" t="n">
        <v>115437.1262672663</v>
      </c>
      <c r="AL75" s="25" t="n">
        <v>2317890.497256911</v>
      </c>
      <c r="AM75" s="25" t="n">
        <v>19993504.47937952</v>
      </c>
      <c r="AN75" s="21" t="n">
        <v>16661.25373281627</v>
      </c>
      <c r="AO75" s="21" t="n">
        <v>11067.26104280279</v>
      </c>
      <c r="AP75" s="21" t="n">
        <v>1046465.651172583</v>
      </c>
      <c r="AQ75" s="25" t="n">
        <v>21012241.61577648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 t="n">
        <v>10472440.1433997</v>
      </c>
      <c r="J76" s="19" t="n">
        <v>8727.033452833082</v>
      </c>
      <c r="K76" s="19" t="n">
        <v>5796.944149619558</v>
      </c>
      <c r="L76" s="19" t="n">
        <v>448654.5627465601</v>
      </c>
      <c r="M76" s="24" t="n">
        <v>10906570.72854381</v>
      </c>
      <c r="N76" s="24" t="n">
        <v>1288017.943843838</v>
      </c>
      <c r="O76" s="19" t="n">
        <v>1073.348286536532</v>
      </c>
      <c r="P76" s="19" t="n">
        <v>712.9730971894251</v>
      </c>
      <c r="Q76" s="19" t="n">
        <v>55180.56150162758</v>
      </c>
      <c r="R76" s="24" t="n">
        <v>1341412.18396174</v>
      </c>
      <c r="S76" s="24" t="n">
        <v>3239081.398416568</v>
      </c>
      <c r="T76" s="19" t="n">
        <v>2699.234498680473</v>
      </c>
      <c r="U76" s="19" t="n">
        <v>1792.970282530247</v>
      </c>
      <c r="V76" s="19" t="n">
        <v>138766.956755824</v>
      </c>
      <c r="W76" s="24" t="n">
        <v>3373356.150391181</v>
      </c>
      <c r="X76" s="24" t="n">
        <v>2992858.8896676</v>
      </c>
      <c r="Y76" s="19" t="n">
        <v>2494.049074723</v>
      </c>
      <c r="Z76" s="19" t="n">
        <v>1656.675578330236</v>
      </c>
      <c r="AA76" s="19" t="n">
        <v>128218.426471719</v>
      </c>
      <c r="AB76" s="24" t="n">
        <v>3116926.591486266</v>
      </c>
      <c r="AC76" s="24" t="n">
        <v>701952.7431918664</v>
      </c>
      <c r="AD76" s="19" t="n">
        <v>584.9606193265554</v>
      </c>
      <c r="AE76" s="19" t="n">
        <v>388.5609077002086</v>
      </c>
      <c r="AF76" s="19" t="n">
        <v>30072.67616267866</v>
      </c>
      <c r="AG76" s="24" t="n">
        <v>731051.8978275183</v>
      </c>
      <c r="AH76" s="24" t="n">
        <v>2317890.497256911</v>
      </c>
      <c r="AI76" s="19" t="n">
        <v>1931.57541438076</v>
      </c>
      <c r="AJ76" s="19" t="n">
        <v>1283.05166451591</v>
      </c>
      <c r="AK76" s="19" t="n">
        <v>99301.79913194616</v>
      </c>
      <c r="AL76" s="24" t="n">
        <v>2413977.669309961</v>
      </c>
      <c r="AM76" s="24" t="n">
        <v>21012241.61577648</v>
      </c>
      <c r="AN76" s="19" t="n">
        <v>17510.2013464804</v>
      </c>
      <c r="AO76" s="19" t="n">
        <v>11631.17567988558</v>
      </c>
      <c r="AP76" s="19" t="n">
        <v>900194.9827703554</v>
      </c>
      <c r="AQ76" s="24" t="n">
        <v>21883295.22152047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 t="n">
        <v>10906570.72854381</v>
      </c>
      <c r="J77" s="21" t="n">
        <v>9088.808940453173</v>
      </c>
      <c r="K77" s="21" t="n">
        <v>6037.254022128895</v>
      </c>
      <c r="L77" s="21" t="n">
        <v>213380.5019341484</v>
      </c>
      <c r="M77" s="25" t="n">
        <v>11104825.16751537</v>
      </c>
      <c r="N77" s="25" t="n">
        <v>1341412.18396174</v>
      </c>
      <c r="O77" s="21" t="n">
        <v>1117.843486634783</v>
      </c>
      <c r="P77" s="21" t="n">
        <v>742.5290959477403</v>
      </c>
      <c r="Q77" s="21" t="n">
        <v>26243.92324942585</v>
      </c>
      <c r="R77" s="25" t="n">
        <v>1365795.734628583</v>
      </c>
      <c r="S77" s="25" t="n">
        <v>3373356.150391181</v>
      </c>
      <c r="T77" s="21" t="n">
        <v>2811.130125325984</v>
      </c>
      <c r="U77" s="21" t="n">
        <v>1867.297108679874</v>
      </c>
      <c r="V77" s="21" t="n">
        <v>65997.68584357055</v>
      </c>
      <c r="W77" s="25" t="n">
        <v>3434675.409000745</v>
      </c>
      <c r="X77" s="25" t="n">
        <v>3116926.591486266</v>
      </c>
      <c r="Y77" s="21" t="n">
        <v>2597.438826238555</v>
      </c>
      <c r="Z77" s="21" t="n">
        <v>1725.352365054842</v>
      </c>
      <c r="AA77" s="21" t="n">
        <v>60980.79562649417</v>
      </c>
      <c r="AB77" s="25" t="n">
        <v>3173584.595921467</v>
      </c>
      <c r="AC77" s="25" t="n">
        <v>731051.8978275183</v>
      </c>
      <c r="AD77" s="21" t="n">
        <v>609.2099148562653</v>
      </c>
      <c r="AE77" s="21" t="n">
        <v>404.6685360957104</v>
      </c>
      <c r="AF77" s="21" t="n">
        <v>14302.59105092467</v>
      </c>
      <c r="AG77" s="25" t="n">
        <v>744340.6104274909</v>
      </c>
      <c r="AH77" s="25" t="n">
        <v>2413977.669309961</v>
      </c>
      <c r="AI77" s="21" t="n">
        <v>2011.648057758301</v>
      </c>
      <c r="AJ77" s="21" t="n">
        <v>1336.240029620815</v>
      </c>
      <c r="AK77" s="21" t="n">
        <v>47228.02240553188</v>
      </c>
      <c r="AL77" s="25" t="n">
        <v>2457857.803628113</v>
      </c>
      <c r="AM77" s="25" t="n">
        <v>21883295.22152047</v>
      </c>
      <c r="AN77" s="21" t="n">
        <v>18236.07935126706</v>
      </c>
      <c r="AO77" s="21" t="n">
        <v>12113.34115752788</v>
      </c>
      <c r="AP77" s="21" t="n">
        <v>428133.5201100955</v>
      </c>
      <c r="AQ77" s="25" t="n">
        <v>22281079.32112177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 t="n">
        <v>11104825.16751537</v>
      </c>
      <c r="J78" s="19" t="n">
        <v>9254.020972929478</v>
      </c>
      <c r="K78" s="19" t="n">
        <v>6146.996345254672</v>
      </c>
      <c r="L78" s="19" t="n">
        <v>457231.4771889257</v>
      </c>
      <c r="M78" s="24" t="n">
        <v>11546655.62738611</v>
      </c>
      <c r="N78" s="24" t="n">
        <v>1365795.734628583</v>
      </c>
      <c r="O78" s="19" t="n">
        <v>1138.163112190486</v>
      </c>
      <c r="P78" s="19" t="n">
        <v>756.0264355791533</v>
      </c>
      <c r="Q78" s="19" t="n">
        <v>56235.44647144456</v>
      </c>
      <c r="R78" s="24" t="n">
        <v>1420136.991552258</v>
      </c>
      <c r="S78" s="24" t="n">
        <v>3434675.409000745</v>
      </c>
      <c r="T78" s="19" t="n">
        <v>2862.229507500621</v>
      </c>
      <c r="U78" s="19" t="n">
        <v>1901.239944598565</v>
      </c>
      <c r="V78" s="19" t="n">
        <v>141419.7600801367</v>
      </c>
      <c r="W78" s="24" t="n">
        <v>3571331.699628782</v>
      </c>
      <c r="X78" s="24" t="n">
        <v>3173584.595921467</v>
      </c>
      <c r="Y78" s="19" t="n">
        <v>2644.653829934556</v>
      </c>
      <c r="Z78" s="19" t="n">
        <v>1756.714997148448</v>
      </c>
      <c r="AA78" s="19" t="n">
        <v>130669.5738913517</v>
      </c>
      <c r="AB78" s="24" t="n">
        <v>3299852.800985735</v>
      </c>
      <c r="AC78" s="24" t="n">
        <v>744340.6104274909</v>
      </c>
      <c r="AD78" s="19" t="n">
        <v>620.2838420229091</v>
      </c>
      <c r="AE78" s="19" t="n">
        <v>412.0244076698189</v>
      </c>
      <c r="AF78" s="19" t="n">
        <v>30647.57451860146</v>
      </c>
      <c r="AG78" s="24" t="n">
        <v>773955.8766963996</v>
      </c>
      <c r="AH78" s="24" t="n">
        <v>2457857.803628113</v>
      </c>
      <c r="AI78" s="19" t="n">
        <v>2048.214836356761</v>
      </c>
      <c r="AJ78" s="19" t="n">
        <v>1360.529563333783</v>
      </c>
      <c r="AK78" s="19" t="n">
        <v>101200.1483427816</v>
      </c>
      <c r="AL78" s="24" t="n">
        <v>2555649.207571204</v>
      </c>
      <c r="AM78" s="24" t="n">
        <v>22281079.32112177</v>
      </c>
      <c r="AN78" s="19" t="n">
        <v>18567.56610093481</v>
      </c>
      <c r="AO78" s="19" t="n">
        <v>12333.53169358444</v>
      </c>
      <c r="AP78" s="19" t="n">
        <v>917403.9804932417</v>
      </c>
      <c r="AQ78" s="24" t="n">
        <v>23167582.20382049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 t="n">
        <v>11546655.62738611</v>
      </c>
      <c r="J79" s="21" t="n">
        <v>9622.213022821761</v>
      </c>
      <c r="K79" s="21" t="n">
        <v>6391.568428207627</v>
      </c>
      <c r="L79" s="21" t="n">
        <v>606381.9521532618</v>
      </c>
      <c r="M79" s="25" t="n">
        <v>12137023.79808835</v>
      </c>
      <c r="N79" s="25" t="n">
        <v>1420136.991552258</v>
      </c>
      <c r="O79" s="21" t="n">
        <v>1183.447492960215</v>
      </c>
      <c r="P79" s="21" t="n">
        <v>786.1066486997993</v>
      </c>
      <c r="Q79" s="21" t="n">
        <v>74579.64185058676</v>
      </c>
      <c r="R79" s="25" t="n">
        <v>1492747.079261185</v>
      </c>
      <c r="S79" s="25" t="n">
        <v>3571331.699628782</v>
      </c>
      <c r="T79" s="21" t="n">
        <v>2976.109749690652</v>
      </c>
      <c r="U79" s="21" t="n">
        <v>1976.885054393171</v>
      </c>
      <c r="V79" s="21" t="n">
        <v>187551.3705173145</v>
      </c>
      <c r="W79" s="25" t="n">
        <v>3753930.075342013</v>
      </c>
      <c r="X79" s="25" t="n">
        <v>3299852.800985735</v>
      </c>
      <c r="Y79" s="21" t="n">
        <v>2749.877334154779</v>
      </c>
      <c r="Z79" s="21" t="n">
        <v>1826.609856666132</v>
      </c>
      <c r="AA79" s="21" t="n">
        <v>173294.4367487914</v>
      </c>
      <c r="AB79" s="25" t="n">
        <v>3468570.750543706</v>
      </c>
      <c r="AC79" s="25" t="n">
        <v>773955.8766963996</v>
      </c>
      <c r="AD79" s="21" t="n">
        <v>644.9632305803331</v>
      </c>
      <c r="AE79" s="21" t="n">
        <v>428.4177259591744</v>
      </c>
      <c r="AF79" s="21" t="n">
        <v>40644.91836740551</v>
      </c>
      <c r="AG79" s="25" t="n">
        <v>813527.4141072656</v>
      </c>
      <c r="AH79" s="25" t="n">
        <v>2555649.207571204</v>
      </c>
      <c r="AI79" s="21" t="n">
        <v>2129.707672976004</v>
      </c>
      <c r="AJ79" s="21" t="n">
        <v>1414.661293781368</v>
      </c>
      <c r="AK79" s="21" t="n">
        <v>134211.9835834039</v>
      </c>
      <c r="AL79" s="25" t="n">
        <v>2686316.822187851</v>
      </c>
      <c r="AM79" s="25" t="n">
        <v>23167582.20382049</v>
      </c>
      <c r="AN79" s="21" t="n">
        <v>19306.31850318374</v>
      </c>
      <c r="AO79" s="21" t="n">
        <v>12824.24900770727</v>
      </c>
      <c r="AP79" s="21" t="n">
        <v>1216664.303220764</v>
      </c>
      <c r="AQ79" s="25" t="n">
        <v>24352115.93953037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 t="n">
        <v>12137023.79808835</v>
      </c>
      <c r="J80" s="19" t="n">
        <v>10114.18649840696</v>
      </c>
      <c r="K80" s="19" t="n">
        <v>6718.362495914077</v>
      </c>
      <c r="L80" s="19" t="n">
        <v>558664.180115113</v>
      </c>
      <c r="M80" s="24" t="n">
        <v>12678855.42920914</v>
      </c>
      <c r="N80" s="24" t="n">
        <v>1492747.079261185</v>
      </c>
      <c r="O80" s="19" t="n">
        <v>1243.955899384321</v>
      </c>
      <c r="P80" s="19" t="n">
        <v>826.2994421064925</v>
      </c>
      <c r="Q80" s="19" t="n">
        <v>68710.77597178567</v>
      </c>
      <c r="R80" s="24" t="n">
        <v>1559387.59989148</v>
      </c>
      <c r="S80" s="24" t="n">
        <v>3753930.075342013</v>
      </c>
      <c r="T80" s="19" t="n">
        <v>3128.275062785011</v>
      </c>
      <c r="U80" s="19" t="n">
        <v>2077.961075962794</v>
      </c>
      <c r="V80" s="19" t="n">
        <v>172792.465652142</v>
      </c>
      <c r="W80" s="24" t="n">
        <v>3921516.304855407</v>
      </c>
      <c r="X80" s="24" t="n">
        <v>3468570.750543706</v>
      </c>
      <c r="Y80" s="19" t="n">
        <v>2890.475625453088</v>
      </c>
      <c r="Z80" s="19" t="n">
        <v>1920.002467865949</v>
      </c>
      <c r="AA80" s="19" t="n">
        <v>159657.4470611956</v>
      </c>
      <c r="AB80" s="24" t="n">
        <v>3623417.719511582</v>
      </c>
      <c r="AC80" s="24" t="n">
        <v>813527.4141072656</v>
      </c>
      <c r="AD80" s="19" t="n">
        <v>677.9395117560548</v>
      </c>
      <c r="AE80" s="19" t="n">
        <v>450.3222667485479</v>
      </c>
      <c r="AF80" s="19" t="n">
        <v>37446.46408907827</v>
      </c>
      <c r="AG80" s="24" t="n">
        <v>849845.6164178393</v>
      </c>
      <c r="AH80" s="24" t="n">
        <v>2686316.822187851</v>
      </c>
      <c r="AI80" s="19" t="n">
        <v>2238.597351823209</v>
      </c>
      <c r="AJ80" s="19" t="n">
        <v>1486.991414911171</v>
      </c>
      <c r="AK80" s="19" t="n">
        <v>123650.4937259321</v>
      </c>
      <c r="AL80" s="24" t="n">
        <v>2806241.727147049</v>
      </c>
      <c r="AM80" s="24" t="n">
        <v>24352115.93953037</v>
      </c>
      <c r="AN80" s="19" t="n">
        <v>20293.42994960864</v>
      </c>
      <c r="AO80" s="19" t="n">
        <v>13479.93916350903</v>
      </c>
      <c r="AP80" s="19" t="n">
        <v>1120921.826615247</v>
      </c>
      <c r="AQ80" s="24" t="n">
        <v>25439264.3970325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 t="n">
        <v>12678855.42920914</v>
      </c>
      <c r="J81" s="21" t="n">
        <v>10565.71285767428</v>
      </c>
      <c r="K81" s="21" t="n">
        <v>7018.289510162433</v>
      </c>
      <c r="L81" s="21" t="n">
        <v>333334.0941284581</v>
      </c>
      <c r="M81" s="25" t="n">
        <v>12994605.52096976</v>
      </c>
      <c r="N81" s="25" t="n">
        <v>1559387.59989148</v>
      </c>
      <c r="O81" s="21" t="n">
        <v>1299.489666576233</v>
      </c>
      <c r="P81" s="21" t="n">
        <v>863.1878244610925</v>
      </c>
      <c r="Q81" s="21" t="n">
        <v>40997.15908168533</v>
      </c>
      <c r="R81" s="25" t="n">
        <v>1598222.081482128</v>
      </c>
      <c r="S81" s="25" t="n">
        <v>3921516.304855407</v>
      </c>
      <c r="T81" s="21" t="n">
        <v>3267.930254046173</v>
      </c>
      <c r="U81" s="21" t="n">
        <v>2170.727231646839</v>
      </c>
      <c r="V81" s="21" t="n">
        <v>103098.8240529605</v>
      </c>
      <c r="W81" s="25" t="n">
        <v>4019176.471422675</v>
      </c>
      <c r="X81" s="25" t="n">
        <v>3623417.719511582</v>
      </c>
      <c r="Y81" s="21" t="n">
        <v>3019.514766259652</v>
      </c>
      <c r="Z81" s="21" t="n">
        <v>2005.71689722083</v>
      </c>
      <c r="AA81" s="21" t="n">
        <v>95261.64801910163</v>
      </c>
      <c r="AB81" s="25" t="n">
        <v>3713654.135867203</v>
      </c>
      <c r="AC81" s="25" t="n">
        <v>849845.6164178393</v>
      </c>
      <c r="AD81" s="21" t="n">
        <v>708.2046803481994</v>
      </c>
      <c r="AE81" s="21" t="n">
        <v>470.4259472209229</v>
      </c>
      <c r="AF81" s="21" t="n">
        <v>22342.9094431556</v>
      </c>
      <c r="AG81" s="25" t="n">
        <v>871009.8952334259</v>
      </c>
      <c r="AH81" s="25" t="n">
        <v>2806241.727147049</v>
      </c>
      <c r="AI81" s="21" t="n">
        <v>2338.534772622541</v>
      </c>
      <c r="AJ81" s="21" t="n">
        <v>1553.374986139798</v>
      </c>
      <c r="AK81" s="21" t="n">
        <v>73777.64099029475</v>
      </c>
      <c r="AL81" s="25" t="n">
        <v>2876127.458378581</v>
      </c>
      <c r="AM81" s="25" t="n">
        <v>25439264.3970325</v>
      </c>
      <c r="AN81" s="21" t="n">
        <v>21199.38699752708</v>
      </c>
      <c r="AO81" s="21" t="n">
        <v>14081.72239685191</v>
      </c>
      <c r="AP81" s="21" t="n">
        <v>668812.2757156559</v>
      </c>
      <c r="AQ81" s="25" t="n">
        <v>26072795.56335377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 t="n">
        <v>12994605.52096976</v>
      </c>
      <c r="J82" s="19" t="n">
        <v>10828.83793414147</v>
      </c>
      <c r="K82" s="19" t="n">
        <v>7193.070709396804</v>
      </c>
      <c r="L82" s="19" t="n">
        <v>395858.6236673304</v>
      </c>
      <c r="M82" s="24" t="n">
        <v>13372442.23599355</v>
      </c>
      <c r="N82" s="24" t="n">
        <v>1598222.081482128</v>
      </c>
      <c r="O82" s="19" t="n">
        <v>1331.85173456844</v>
      </c>
      <c r="P82" s="19" t="n">
        <v>884.6843732861817</v>
      </c>
      <c r="Q82" s="19" t="n">
        <v>48687.12578225587</v>
      </c>
      <c r="R82" s="24" t="n">
        <v>1644692.671156529</v>
      </c>
      <c r="S82" s="24" t="n">
        <v>4019176.471422675</v>
      </c>
      <c r="T82" s="19" t="n">
        <v>3349.313726185562</v>
      </c>
      <c r="U82" s="19" t="n">
        <v>2224.786316586064</v>
      </c>
      <c r="V82" s="19" t="n">
        <v>122437.396324653</v>
      </c>
      <c r="W82" s="24" t="n">
        <v>4136039.767704556</v>
      </c>
      <c r="X82" s="24" t="n">
        <v>3713654.135867203</v>
      </c>
      <c r="Y82" s="19" t="n">
        <v>3094.711779889336</v>
      </c>
      <c r="Z82" s="19" t="n">
        <v>2055.66661846178</v>
      </c>
      <c r="AA82" s="19" t="n">
        <v>113130.1764127097</v>
      </c>
      <c r="AB82" s="24" t="n">
        <v>3821633.933881562</v>
      </c>
      <c r="AC82" s="24" t="n">
        <v>871009.8952334259</v>
      </c>
      <c r="AD82" s="19" t="n">
        <v>725.8415793611883</v>
      </c>
      <c r="AE82" s="19" t="n">
        <v>482.1412820025932</v>
      </c>
      <c r="AF82" s="19" t="n">
        <v>26533.83958222675</v>
      </c>
      <c r="AG82" s="24" t="n">
        <v>896335.7519542888</v>
      </c>
      <c r="AH82" s="24" t="n">
        <v>2876127.458378581</v>
      </c>
      <c r="AI82" s="19" t="n">
        <v>2396.772881982151</v>
      </c>
      <c r="AJ82" s="19" t="n">
        <v>1592.0597315532</v>
      </c>
      <c r="AK82" s="19" t="n">
        <v>87616.3462852542</v>
      </c>
      <c r="AL82" s="24" t="n">
        <v>2959754.9720503</v>
      </c>
      <c r="AM82" s="24" t="n">
        <v>26072795.56335377</v>
      </c>
      <c r="AN82" s="19" t="n">
        <v>21727.32963612815</v>
      </c>
      <c r="AO82" s="19" t="n">
        <v>14432.40903128662</v>
      </c>
      <c r="AP82" s="19" t="n">
        <v>794263.5080544299</v>
      </c>
      <c r="AQ82" s="24" t="n">
        <v>26830899.33274078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 t="n">
        <v>13372442.23599355</v>
      </c>
      <c r="J83" s="21" t="n">
        <v>11143.70186332796</v>
      </c>
      <c r="K83" s="21" t="n">
        <v>7402.219513751545</v>
      </c>
      <c r="L83" s="21" t="n">
        <v>751990.291810164</v>
      </c>
      <c r="M83" s="25" t="n">
        <v>14105886.60642663</v>
      </c>
      <c r="N83" s="25" t="n">
        <v>1644692.671156529</v>
      </c>
      <c r="O83" s="21" t="n">
        <v>1370.577225963774</v>
      </c>
      <c r="P83" s="21" t="n">
        <v>910.4078349869558</v>
      </c>
      <c r="Q83" s="21" t="n">
        <v>92488.18576999033</v>
      </c>
      <c r="R83" s="25" t="n">
        <v>1734899.871865569</v>
      </c>
      <c r="S83" s="25" t="n">
        <v>4136039.767704556</v>
      </c>
      <c r="T83" s="21" t="n">
        <v>3446.699806420464</v>
      </c>
      <c r="U83" s="21" t="n">
        <v>2289.475156284373</v>
      </c>
      <c r="V83" s="21" t="n">
        <v>232587.4135005007</v>
      </c>
      <c r="W83" s="25" t="n">
        <v>4362891.006242352</v>
      </c>
      <c r="X83" s="25" t="n">
        <v>3821633.933881562</v>
      </c>
      <c r="Y83" s="21" t="n">
        <v>3184.694944901302</v>
      </c>
      <c r="Z83" s="21" t="n">
        <v>2115.438061392485</v>
      </c>
      <c r="AA83" s="21" t="n">
        <v>214907.0129759809</v>
      </c>
      <c r="AB83" s="25" t="n">
        <v>4031240.813851249</v>
      </c>
      <c r="AC83" s="25" t="n">
        <v>896335.7519542888</v>
      </c>
      <c r="AD83" s="21" t="n">
        <v>746.9464599619074</v>
      </c>
      <c r="AE83" s="21" t="n">
        <v>496.1602283934818</v>
      </c>
      <c r="AF83" s="21" t="n">
        <v>50404.83793287507</v>
      </c>
      <c r="AG83" s="25" t="n">
        <v>945497.4831988084</v>
      </c>
      <c r="AH83" s="25" t="n">
        <v>2959754.9720503</v>
      </c>
      <c r="AI83" s="21" t="n">
        <v>2466.462476708583</v>
      </c>
      <c r="AJ83" s="21" t="n">
        <v>1638.351142102063</v>
      </c>
      <c r="AK83" s="21" t="n">
        <v>166439.8294522394</v>
      </c>
      <c r="AL83" s="25" t="n">
        <v>3122089.987883729</v>
      </c>
      <c r="AM83" s="25" t="n">
        <v>26830899.33274078</v>
      </c>
      <c r="AN83" s="21" t="n">
        <v>22359.08277728399</v>
      </c>
      <c r="AO83" s="21" t="n">
        <v>14852.0519369109</v>
      </c>
      <c r="AP83" s="21" t="n">
        <v>1508817.571441751</v>
      </c>
      <c r="AQ83" s="25" t="n">
        <v>28302505.76946834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 t="n">
        <v>14105886.60642663</v>
      </c>
      <c r="J84" s="19" t="n">
        <v>11754.90550535553</v>
      </c>
      <c r="K84" s="19" t="n">
        <v>7808.212385903042</v>
      </c>
      <c r="L84" s="19" t="n">
        <v>244958.2722154392</v>
      </c>
      <c r="M84" s="24" t="n">
        <v>14331281.76075082</v>
      </c>
      <c r="N84" s="24" t="n">
        <v>1734899.871865569</v>
      </c>
      <c r="O84" s="19" t="n">
        <v>1445.749893221307</v>
      </c>
      <c r="P84" s="19" t="n">
        <v>960.3413841162292</v>
      </c>
      <c r="Q84" s="19" t="n">
        <v>30127.71100012649</v>
      </c>
      <c r="R84" s="24" t="n">
        <v>1762621.491588358</v>
      </c>
      <c r="S84" s="24" t="n">
        <v>4362891.006242352</v>
      </c>
      <c r="T84" s="19" t="n">
        <v>3635.74250520196</v>
      </c>
      <c r="U84" s="19" t="n">
        <v>2415.047032759067</v>
      </c>
      <c r="V84" s="19" t="n">
        <v>75764.55649845465</v>
      </c>
      <c r="W84" s="24" t="n">
        <v>4432604.773202845</v>
      </c>
      <c r="X84" s="24" t="n">
        <v>4031240.813851249</v>
      </c>
      <c r="Y84" s="19" t="n">
        <v>3359.367344876041</v>
      </c>
      <c r="Z84" s="19" t="n">
        <v>2231.46444683104</v>
      </c>
      <c r="AA84" s="19" t="n">
        <v>70005.22634255864</v>
      </c>
      <c r="AB84" s="24" t="n">
        <v>4095655.208402101</v>
      </c>
      <c r="AC84" s="24" t="n">
        <v>945497.4831988084</v>
      </c>
      <c r="AD84" s="19" t="n">
        <v>787.9145693323404</v>
      </c>
      <c r="AE84" s="19" t="n">
        <v>523.3733522137885</v>
      </c>
      <c r="AF84" s="19" t="n">
        <v>16419.20400543317</v>
      </c>
      <c r="AG84" s="24" t="n">
        <v>960605.3992826954</v>
      </c>
      <c r="AH84" s="24" t="n">
        <v>3122089.987883729</v>
      </c>
      <c r="AI84" s="19" t="n">
        <v>2601.741656569774</v>
      </c>
      <c r="AJ84" s="19" t="n">
        <v>1728.210526106954</v>
      </c>
      <c r="AK84" s="19" t="n">
        <v>54217.20665078122</v>
      </c>
      <c r="AL84" s="24" t="n">
        <v>3171977.242351834</v>
      </c>
      <c r="AM84" s="24" t="n">
        <v>28302505.76946834</v>
      </c>
      <c r="AN84" s="19" t="n">
        <v>23585.42147455696</v>
      </c>
      <c r="AO84" s="19" t="n">
        <v>15666.64912793012</v>
      </c>
      <c r="AP84" s="19" t="n">
        <v>491492.1767127934</v>
      </c>
      <c r="AQ84" s="24" t="n">
        <v>28754745.87557865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 t="n">
        <v>14331281.76075082</v>
      </c>
      <c r="J85" s="21" t="n">
        <v>11942.73480062568</v>
      </c>
      <c r="K85" s="21" t="n">
        <v>7932.978257402021</v>
      </c>
      <c r="L85" s="21" t="n">
        <v>269638.4679809454</v>
      </c>
      <c r="M85" s="25" t="n">
        <v>14581044.51567373</v>
      </c>
      <c r="N85" s="25" t="n">
        <v>1762621.491588358</v>
      </c>
      <c r="O85" s="21" t="n">
        <v>1468.851242990298</v>
      </c>
      <c r="P85" s="21" t="n">
        <v>975.686487938215</v>
      </c>
      <c r="Q85" s="21" t="n">
        <v>33163.15780796388</v>
      </c>
      <c r="R85" s="25" t="n">
        <v>1793340.111665393</v>
      </c>
      <c r="S85" s="25" t="n">
        <v>4432604.773202845</v>
      </c>
      <c r="T85" s="21" t="n">
        <v>3693.837311002371</v>
      </c>
      <c r="U85" s="21" t="n">
        <v>2453.636588583292</v>
      </c>
      <c r="V85" s="21" t="n">
        <v>83398.03655837305</v>
      </c>
      <c r="W85" s="25" t="n">
        <v>4509855.335861632</v>
      </c>
      <c r="X85" s="25" t="n">
        <v>4095655.208402101</v>
      </c>
      <c r="Y85" s="21" t="n">
        <v>3413.046007001751</v>
      </c>
      <c r="Z85" s="21" t="n">
        <v>2267.120573056615</v>
      </c>
      <c r="AA85" s="21" t="n">
        <v>77058.43861057865</v>
      </c>
      <c r="AB85" s="25" t="n">
        <v>4167033.480432621</v>
      </c>
      <c r="AC85" s="25" t="n">
        <v>960605.3992826954</v>
      </c>
      <c r="AD85" s="21" t="n">
        <v>800.5044994022462</v>
      </c>
      <c r="AE85" s="21" t="n">
        <v>531.7362308319708</v>
      </c>
      <c r="AF85" s="21" t="n">
        <v>18073.48236681661</v>
      </c>
      <c r="AG85" s="25" t="n">
        <v>977346.6409192778</v>
      </c>
      <c r="AH85" s="25" t="n">
        <v>3171977.242351834</v>
      </c>
      <c r="AI85" s="21" t="n">
        <v>2643.314368626528</v>
      </c>
      <c r="AJ85" s="21" t="n">
        <v>1755.825258105373</v>
      </c>
      <c r="AK85" s="21" t="n">
        <v>59679.73405146171</v>
      </c>
      <c r="AL85" s="25" t="n">
        <v>3227257.836776563</v>
      </c>
      <c r="AM85" s="25" t="n">
        <v>28754745.87557865</v>
      </c>
      <c r="AN85" s="21" t="n">
        <v>23962.28822964888</v>
      </c>
      <c r="AO85" s="21" t="n">
        <v>15916.98339591749</v>
      </c>
      <c r="AP85" s="21" t="n">
        <v>541011.3173761393</v>
      </c>
      <c r="AQ85" s="25" t="n">
        <v>29255877.92132922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 t="n">
        <v>14581044.51567373</v>
      </c>
      <c r="J86" s="19" t="n">
        <v>12150.87042972811</v>
      </c>
      <c r="K86" s="19" t="n">
        <v>8071.232639486581</v>
      </c>
      <c r="L86" s="19" t="n">
        <v>846035.5657178918</v>
      </c>
      <c r="M86" s="24" t="n">
        <v>15406857.97832241</v>
      </c>
      <c r="N86" s="24" t="n">
        <v>1793340.111665393</v>
      </c>
      <c r="O86" s="19" t="n">
        <v>1494.450093054494</v>
      </c>
      <c r="P86" s="19" t="n">
        <v>992.6905598165525</v>
      </c>
      <c r="Q86" s="19" t="n">
        <v>104054.9265360578</v>
      </c>
      <c r="R86" s="24" t="n">
        <v>1894907.89754858</v>
      </c>
      <c r="S86" s="24" t="n">
        <v>4509855.335861632</v>
      </c>
      <c r="T86" s="19" t="n">
        <v>3758.212779884693</v>
      </c>
      <c r="U86" s="19" t="n">
        <v>2496.398083624341</v>
      </c>
      <c r="V86" s="19" t="n">
        <v>261675.2185537957</v>
      </c>
      <c r="W86" s="24" t="n">
        <v>4765275.943551918</v>
      </c>
      <c r="X86" s="24" t="n">
        <v>4167033.480432621</v>
      </c>
      <c r="Y86" s="19" t="n">
        <v>3472.527900360518</v>
      </c>
      <c r="Z86" s="19" t="n">
        <v>2306.631503727158</v>
      </c>
      <c r="AA86" s="19" t="n">
        <v>241783.6749756546</v>
      </c>
      <c r="AB86" s="24" t="n">
        <v>4403037.996004188</v>
      </c>
      <c r="AC86" s="24" t="n">
        <v>977346.6409192778</v>
      </c>
      <c r="AD86" s="19" t="n">
        <v>814.4555340993982</v>
      </c>
      <c r="AE86" s="19" t="n">
        <v>541.003225098223</v>
      </c>
      <c r="AF86" s="19" t="n">
        <v>56708.55866078645</v>
      </c>
      <c r="AG86" s="24" t="n">
        <v>1032699.740820867</v>
      </c>
      <c r="AH86" s="24" t="n">
        <v>3227257.836776563</v>
      </c>
      <c r="AI86" s="19" t="n">
        <v>2689.381530647137</v>
      </c>
      <c r="AJ86" s="19" t="n">
        <v>1786.425434764286</v>
      </c>
      <c r="AK86" s="19" t="n">
        <v>187255.0973093713</v>
      </c>
      <c r="AL86" s="24" t="n">
        <v>3410037.127120523</v>
      </c>
      <c r="AM86" s="24" t="n">
        <v>29255877.92132922</v>
      </c>
      <c r="AN86" s="19" t="n">
        <v>24379.89826777435</v>
      </c>
      <c r="AO86" s="19" t="n">
        <v>16194.38144651714</v>
      </c>
      <c r="AP86" s="19" t="n">
        <v>1697513.041753558</v>
      </c>
      <c r="AQ86" s="24" t="n">
        <v>30912816.68336849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 t="n">
        <v>15406857.97832241</v>
      </c>
      <c r="J87" s="21" t="n">
        <v>12839.04831526868</v>
      </c>
      <c r="K87" s="21" t="n">
        <v>8528.355760309139</v>
      </c>
      <c r="L87" s="21" t="n">
        <v>607795.7523645592</v>
      </c>
      <c r="M87" s="25" t="n">
        <v>15993286.32661139</v>
      </c>
      <c r="N87" s="25" t="n">
        <v>1894907.89754858</v>
      </c>
      <c r="O87" s="21" t="n">
        <v>1579.089914623817</v>
      </c>
      <c r="P87" s="21" t="n">
        <v>1048.912679408846</v>
      </c>
      <c r="Q87" s="21" t="n">
        <v>74753.52683023109</v>
      </c>
      <c r="R87" s="25" t="n">
        <v>1967033.421784778</v>
      </c>
      <c r="S87" s="25" t="n">
        <v>4765275.943551918</v>
      </c>
      <c r="T87" s="21" t="n">
        <v>3971.063286293265</v>
      </c>
      <c r="U87" s="21" t="n">
        <v>2637.784329539117</v>
      </c>
      <c r="V87" s="21" t="n">
        <v>187988.6529369592</v>
      </c>
      <c r="W87" s="25" t="n">
        <v>4946655.748873045</v>
      </c>
      <c r="X87" s="25" t="n">
        <v>4403037.996004188</v>
      </c>
      <c r="Y87" s="21" t="n">
        <v>3669.198330003491</v>
      </c>
      <c r="Z87" s="21" t="n">
        <v>2437.270111071088</v>
      </c>
      <c r="AA87" s="21" t="n">
        <v>173698.478640906</v>
      </c>
      <c r="AB87" s="25" t="n">
        <v>4570630.006204019</v>
      </c>
      <c r="AC87" s="25" t="n">
        <v>1032699.740820867</v>
      </c>
      <c r="AD87" s="21" t="n">
        <v>860.5831173507223</v>
      </c>
      <c r="AE87" s="21" t="n">
        <v>571.6435366439574</v>
      </c>
      <c r="AF87" s="21" t="n">
        <v>40739.68338139043</v>
      </c>
      <c r="AG87" s="25" t="n">
        <v>1072007.197548263</v>
      </c>
      <c r="AH87" s="25" t="n">
        <v>3410037.127120523</v>
      </c>
      <c r="AI87" s="21" t="n">
        <v>2841.697605933769</v>
      </c>
      <c r="AJ87" s="21" t="n">
        <v>1887.601600330515</v>
      </c>
      <c r="AK87" s="21" t="n">
        <v>134524.9034024636</v>
      </c>
      <c r="AL87" s="25" t="n">
        <v>3539832.731316722</v>
      </c>
      <c r="AM87" s="25" t="n">
        <v>30912816.68336849</v>
      </c>
      <c r="AN87" s="21" t="n">
        <v>25760.68056947374</v>
      </c>
      <c r="AO87" s="21" t="n">
        <v>17111.56801730266</v>
      </c>
      <c r="AP87" s="21" t="n">
        <v>1219500.997556509</v>
      </c>
      <c r="AQ87" s="25" t="n">
        <v>32089445.43233822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 t="n">
        <v>15993286.32661139</v>
      </c>
      <c r="J88" s="19" t="n">
        <v>13327.73860550949</v>
      </c>
      <c r="K88" s="19" t="n">
        <v>8852.968967568904</v>
      </c>
      <c r="L88" s="19" t="n">
        <v>250379.7554093853</v>
      </c>
      <c r="M88" s="24" t="n">
        <v>16221485.3744477</v>
      </c>
      <c r="N88" s="24" t="n">
        <v>1967033.421784778</v>
      </c>
      <c r="O88" s="19" t="n">
        <v>1639.194518153982</v>
      </c>
      <c r="P88" s="19" t="n">
        <v>1088.837246179732</v>
      </c>
      <c r="Q88" s="19" t="n">
        <v>30794.50570512667</v>
      </c>
      <c r="R88" s="24" t="n">
        <v>1995099.895725571</v>
      </c>
      <c r="S88" s="24" t="n">
        <v>4946655.748873045</v>
      </c>
      <c r="T88" s="19" t="n">
        <v>4122.213124060871</v>
      </c>
      <c r="U88" s="19" t="n">
        <v>2738.185820205847</v>
      </c>
      <c r="V88" s="19" t="n">
        <v>77441.3982970116</v>
      </c>
      <c r="W88" s="24" t="n">
        <v>5017236.74822579</v>
      </c>
      <c r="X88" s="24" t="n">
        <v>4570630.006204019</v>
      </c>
      <c r="Y88" s="19" t="n">
        <v>3808.85833850335</v>
      </c>
      <c r="Z88" s="19" t="n">
        <v>2530.039466612661</v>
      </c>
      <c r="AA88" s="19" t="n">
        <v>71554.6010775779</v>
      </c>
      <c r="AB88" s="24" t="n">
        <v>4635845.709476481</v>
      </c>
      <c r="AC88" s="24" t="n">
        <v>1072007.197548263</v>
      </c>
      <c r="AD88" s="19" t="n">
        <v>893.3393312902189</v>
      </c>
      <c r="AE88" s="19" t="n">
        <v>593.4018974645645</v>
      </c>
      <c r="AF88" s="19" t="n">
        <v>16782.59830017713</v>
      </c>
      <c r="AG88" s="24" t="n">
        <v>1087303.054619685</v>
      </c>
      <c r="AH88" s="24" t="n">
        <v>3539832.731316722</v>
      </c>
      <c r="AI88" s="19" t="n">
        <v>2949.860609430602</v>
      </c>
      <c r="AJ88" s="19" t="n">
        <v>1959.449026344758</v>
      </c>
      <c r="AK88" s="19" t="n">
        <v>55417.15663418653</v>
      </c>
      <c r="AL88" s="24" t="n">
        <v>3590340.578315133</v>
      </c>
      <c r="AM88" s="24" t="n">
        <v>32089445.43233822</v>
      </c>
      <c r="AN88" s="19" t="n">
        <v>26741.20452694851</v>
      </c>
      <c r="AO88" s="19" t="n">
        <v>17762.88242437647</v>
      </c>
      <c r="AP88" s="19" t="n">
        <v>502370.0154234651</v>
      </c>
      <c r="AQ88" s="24" t="n">
        <v>32547311.36081036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 t="n">
        <v>16221485.3744477</v>
      </c>
      <c r="J89" s="21" t="n">
        <v>13517.90447870642</v>
      </c>
      <c r="K89" s="21" t="n">
        <v>8979.286914216436</v>
      </c>
      <c r="L89" s="21" t="n">
        <v>349214.5775566785</v>
      </c>
      <c r="M89" s="25" t="n">
        <v>16548202.76061146</v>
      </c>
      <c r="N89" s="25" t="n">
        <v>1995099.895725571</v>
      </c>
      <c r="O89" s="21" t="n">
        <v>1662.583246437976</v>
      </c>
      <c r="P89" s="21" t="n">
        <v>1104.373241581346</v>
      </c>
      <c r="Q89" s="21" t="n">
        <v>42950.31874002476</v>
      </c>
      <c r="R89" s="25" t="n">
        <v>2035283.257977576</v>
      </c>
      <c r="S89" s="25" t="n">
        <v>5017236.74822579</v>
      </c>
      <c r="T89" s="21" t="n">
        <v>4181.030623521491</v>
      </c>
      <c r="U89" s="21" t="n">
        <v>2777.255426302385</v>
      </c>
      <c r="V89" s="21" t="n">
        <v>108010.590342943</v>
      </c>
      <c r="W89" s="25" t="n">
        <v>5118289.052518908</v>
      </c>
      <c r="X89" s="25" t="n">
        <v>4635845.709476481</v>
      </c>
      <c r="Y89" s="21" t="n">
        <v>3863.204757897068</v>
      </c>
      <c r="Z89" s="21" t="n">
        <v>2566.139151535367</v>
      </c>
      <c r="AA89" s="21" t="n">
        <v>99800.04072887743</v>
      </c>
      <c r="AB89" s="25" t="n">
        <v>4729216.406295926</v>
      </c>
      <c r="AC89" s="25" t="n">
        <v>1087303.054619685</v>
      </c>
      <c r="AD89" s="21" t="n">
        <v>906.0858788497374</v>
      </c>
      <c r="AE89" s="21" t="n">
        <v>601.8688094687819</v>
      </c>
      <c r="AF89" s="21" t="n">
        <v>23407.35562313</v>
      </c>
      <c r="AG89" s="25" t="n">
        <v>1109202.455554496</v>
      </c>
      <c r="AH89" s="25" t="n">
        <v>3590340.578315133</v>
      </c>
      <c r="AI89" s="21" t="n">
        <v>2991.950481929278</v>
      </c>
      <c r="AJ89" s="21" t="n">
        <v>1987.40728288842</v>
      </c>
      <c r="AK89" s="21" t="n">
        <v>77292.50678337518</v>
      </c>
      <c r="AL89" s="25" t="n">
        <v>3662653.727333691</v>
      </c>
      <c r="AM89" s="25" t="n">
        <v>32547311.36081036</v>
      </c>
      <c r="AN89" s="21" t="n">
        <v>27122.75946734197</v>
      </c>
      <c r="AO89" s="21" t="n">
        <v>18016.33082599274</v>
      </c>
      <c r="AP89" s="21" t="n">
        <v>700675.3897750289</v>
      </c>
      <c r="AQ89" s="25" t="n">
        <v>33202847.66029205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 t="n">
        <v>16548202.76061146</v>
      </c>
      <c r="J90" s="19" t="n">
        <v>13790.16896717621</v>
      </c>
      <c r="K90" s="19" t="n">
        <v>9160.138980627593</v>
      </c>
      <c r="L90" s="19" t="n">
        <v>344102.7467350191</v>
      </c>
      <c r="M90" s="24" t="n">
        <v>16869355.19939867</v>
      </c>
      <c r="N90" s="24" t="n">
        <v>2035283.257977576</v>
      </c>
      <c r="O90" s="19" t="n">
        <v>1696.06938164798</v>
      </c>
      <c r="P90" s="19" t="n">
        <v>1126.616453624493</v>
      </c>
      <c r="Q90" s="19" t="n">
        <v>42321.608550801</v>
      </c>
      <c r="R90" s="24" t="n">
        <v>2074782.180693105</v>
      </c>
      <c r="S90" s="24" t="n">
        <v>5118289.052518908</v>
      </c>
      <c r="T90" s="19" t="n">
        <v>4265.240877099091</v>
      </c>
      <c r="U90" s="19" t="n">
        <v>2833.192204756714</v>
      </c>
      <c r="V90" s="19" t="n">
        <v>106429.5227121364</v>
      </c>
      <c r="W90" s="24" t="n">
        <v>5217620.142149189</v>
      </c>
      <c r="X90" s="24" t="n">
        <v>4729216.406295926</v>
      </c>
      <c r="Y90" s="19" t="n">
        <v>3941.013671913272</v>
      </c>
      <c r="Z90" s="19" t="n">
        <v>2617.82383125297</v>
      </c>
      <c r="AA90" s="19" t="n">
        <v>98339.15977777241</v>
      </c>
      <c r="AB90" s="24" t="n">
        <v>4820996.728570533</v>
      </c>
      <c r="AC90" s="24" t="n">
        <v>1109202.455554496</v>
      </c>
      <c r="AD90" s="19" t="n">
        <v>924.335379628747</v>
      </c>
      <c r="AE90" s="19" t="n">
        <v>613.9910658284174</v>
      </c>
      <c r="AF90" s="19" t="n">
        <v>23064.71688575244</v>
      </c>
      <c r="AG90" s="24" t="n">
        <v>1130728.845994792</v>
      </c>
      <c r="AH90" s="24" t="n">
        <v>3662653.727333691</v>
      </c>
      <c r="AI90" s="19" t="n">
        <v>3052.211439444742</v>
      </c>
      <c r="AJ90" s="19" t="n">
        <v>2027.435708012233</v>
      </c>
      <c r="AK90" s="19" t="n">
        <v>76161.09290820712</v>
      </c>
      <c r="AL90" s="24" t="n">
        <v>3733735.173094441</v>
      </c>
      <c r="AM90" s="24" t="n">
        <v>33202847.66029205</v>
      </c>
      <c r="AN90" s="19" t="n">
        <v>27669.03971691005</v>
      </c>
      <c r="AO90" s="19" t="n">
        <v>18379.19824410242</v>
      </c>
      <c r="AP90" s="19" t="n">
        <v>690418.8475696885</v>
      </c>
      <c r="AQ90" s="24" t="n">
        <v>33847218.26990073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 t="n">
        <v>16869355.19939867</v>
      </c>
      <c r="J91" s="21" t="n">
        <v>14057.79599949889</v>
      </c>
      <c r="K91" s="21" t="n">
        <v>9337.910610321456</v>
      </c>
      <c r="L91" s="21" t="n">
        <v>300714.3936346849</v>
      </c>
      <c r="M91" s="25" t="n">
        <v>17146673.88642354</v>
      </c>
      <c r="N91" s="25" t="n">
        <v>2074782.180693105</v>
      </c>
      <c r="O91" s="21" t="n">
        <v>1728.985150577587</v>
      </c>
      <c r="P91" s="21" t="n">
        <v>1148.48079906994</v>
      </c>
      <c r="Q91" s="21" t="n">
        <v>36985.22308744892</v>
      </c>
      <c r="R91" s="25" t="n">
        <v>2108889.937830906</v>
      </c>
      <c r="S91" s="25" t="n">
        <v>5217620.142149189</v>
      </c>
      <c r="T91" s="21" t="n">
        <v>4348.016785124324</v>
      </c>
      <c r="U91" s="21" t="n">
        <v>2888.176217176255</v>
      </c>
      <c r="V91" s="21" t="n">
        <v>93009.6887946518</v>
      </c>
      <c r="W91" s="25" t="n">
        <v>5303393.63794154</v>
      </c>
      <c r="X91" s="25" t="n">
        <v>4820996.728570533</v>
      </c>
      <c r="Y91" s="21" t="n">
        <v>4017.497273808778</v>
      </c>
      <c r="Z91" s="21" t="n">
        <v>2668.628170544926</v>
      </c>
      <c r="AA91" s="21" t="n">
        <v>85939.45001517102</v>
      </c>
      <c r="AB91" s="25" t="n">
        <v>4900250.053141351</v>
      </c>
      <c r="AC91" s="25" t="n">
        <v>1130728.845994792</v>
      </c>
      <c r="AD91" s="21" t="n">
        <v>942.2740383289931</v>
      </c>
      <c r="AE91" s="21" t="n">
        <v>625.906844903454</v>
      </c>
      <c r="AF91" s="21" t="n">
        <v>20156.45739089609</v>
      </c>
      <c r="AG91" s="25" t="n">
        <v>1149317.122502455</v>
      </c>
      <c r="AH91" s="25" t="n">
        <v>3733735.173094441</v>
      </c>
      <c r="AI91" s="21" t="n">
        <v>3111.445977578701</v>
      </c>
      <c r="AJ91" s="21" t="n">
        <v>2066.782332629513</v>
      </c>
      <c r="AK91" s="21" t="n">
        <v>66557.8438119326</v>
      </c>
      <c r="AL91" s="25" t="n">
        <v>3795114.788596165</v>
      </c>
      <c r="AM91" s="25" t="n">
        <v>33847218.26990073</v>
      </c>
      <c r="AN91" s="21" t="n">
        <v>28206.01522491728</v>
      </c>
      <c r="AO91" s="21" t="n">
        <v>18735.88497464555</v>
      </c>
      <c r="AP91" s="21" t="n">
        <v>603363.0567347853</v>
      </c>
      <c r="AQ91" s="25" t="n">
        <v>34403639.42643595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 t="n">
        <v>17146673.88642354</v>
      </c>
      <c r="J92" s="19" t="n">
        <v>14288.89490535295</v>
      </c>
      <c r="K92" s="19" t="n">
        <v>9491.418381033534</v>
      </c>
      <c r="L92" s="19" t="n">
        <v>261804.4834282515</v>
      </c>
      <c r="M92" s="24" t="n">
        <v>17384698.0565654</v>
      </c>
      <c r="N92" s="24" t="n">
        <v>2108889.937830906</v>
      </c>
      <c r="O92" s="19" t="n">
        <v>1757.408281525755</v>
      </c>
      <c r="P92" s="19" t="n">
        <v>1167.36090346674</v>
      </c>
      <c r="Q92" s="19" t="n">
        <v>32199.64667421681</v>
      </c>
      <c r="R92" s="24" t="n">
        <v>2138164.815320131</v>
      </c>
      <c r="S92" s="24" t="n">
        <v>5303393.63794154</v>
      </c>
      <c r="T92" s="19" t="n">
        <v>4419.494698284617</v>
      </c>
      <c r="U92" s="19" t="n">
        <v>2935.655520740408</v>
      </c>
      <c r="V92" s="19" t="n">
        <v>80975.01830353901</v>
      </c>
      <c r="W92" s="24" t="n">
        <v>5377013.506026055</v>
      </c>
      <c r="X92" s="24" t="n">
        <v>4900250.053141351</v>
      </c>
      <c r="Y92" s="19" t="n">
        <v>4083.541710951126</v>
      </c>
      <c r="Z92" s="19" t="n">
        <v>2712.498280081742</v>
      </c>
      <c r="AA92" s="19" t="n">
        <v>74819.60888331344</v>
      </c>
      <c r="AB92" s="24" t="n">
        <v>4968273.622033631</v>
      </c>
      <c r="AC92" s="24" t="n">
        <v>1149317.122502455</v>
      </c>
      <c r="AD92" s="19" t="n">
        <v>957.7642687520461</v>
      </c>
      <c r="AE92" s="19" t="n">
        <v>636.1962520785836</v>
      </c>
      <c r="AF92" s="19" t="n">
        <v>17548.38154297929</v>
      </c>
      <c r="AG92" s="24" t="n">
        <v>1165271.543524604</v>
      </c>
      <c r="AH92" s="24" t="n">
        <v>3795114.788596165</v>
      </c>
      <c r="AI92" s="19" t="n">
        <v>3162.595657163471</v>
      </c>
      <c r="AJ92" s="19" t="n">
        <v>2100.758578673075</v>
      </c>
      <c r="AK92" s="19" t="n">
        <v>57945.81930936682</v>
      </c>
      <c r="AL92" s="24" t="n">
        <v>3847797.253669695</v>
      </c>
      <c r="AM92" s="24" t="n">
        <v>34403639.42643595</v>
      </c>
      <c r="AN92" s="19" t="n">
        <v>28669.69952202996</v>
      </c>
      <c r="AO92" s="19" t="n">
        <v>19043.88791607408</v>
      </c>
      <c r="AP92" s="19" t="n">
        <v>525292.9581416668</v>
      </c>
      <c r="AQ92" s="24" t="n">
        <v>34881218.79713952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 t="n">
        <v>17384698.0565654</v>
      </c>
      <c r="J93" s="21" t="n">
        <v>14487.24838047117</v>
      </c>
      <c r="K93" s="21" t="n">
        <v>9623.174953683087</v>
      </c>
      <c r="L93" s="21" t="n">
        <v>977061.8929389184</v>
      </c>
      <c r="M93" s="25" t="n">
        <v>18337649.52617016</v>
      </c>
      <c r="N93" s="25" t="n">
        <v>2138164.815320131</v>
      </c>
      <c r="O93" s="21" t="n">
        <v>1781.804012766776</v>
      </c>
      <c r="P93" s="21" t="n">
        <v>1183.565801987831</v>
      </c>
      <c r="Q93" s="21" t="n">
        <v>120170.0112981321</v>
      </c>
      <c r="R93" s="25" t="n">
        <v>2255369.456803509</v>
      </c>
      <c r="S93" s="25" t="n">
        <v>5377013.506026055</v>
      </c>
      <c r="T93" s="21" t="n">
        <v>4480.844588355046</v>
      </c>
      <c r="U93" s="21" t="n">
        <v>2976.407270833462</v>
      </c>
      <c r="V93" s="21" t="n">
        <v>302201.1068274997</v>
      </c>
      <c r="W93" s="25" t="n">
        <v>5671757.360994365</v>
      </c>
      <c r="X93" s="25" t="n">
        <v>4968273.622033631</v>
      </c>
      <c r="Y93" s="21" t="n">
        <v>4140.22801836136</v>
      </c>
      <c r="Z93" s="21" t="n">
        <v>2750.152238884732</v>
      </c>
      <c r="AA93" s="21" t="n">
        <v>279228.941106022</v>
      </c>
      <c r="AB93" s="25" t="n">
        <v>5240612.182882408</v>
      </c>
      <c r="AC93" s="25" t="n">
        <v>1165271.543524604</v>
      </c>
      <c r="AD93" s="21" t="n">
        <v>971.0596196038367</v>
      </c>
      <c r="AE93" s="21" t="n">
        <v>645.0277074355475</v>
      </c>
      <c r="AF93" s="21" t="n">
        <v>65491.06670702455</v>
      </c>
      <c r="AG93" s="25" t="n">
        <v>1229146.522904589</v>
      </c>
      <c r="AH93" s="25" t="n">
        <v>3847797.253669695</v>
      </c>
      <c r="AI93" s="21" t="n">
        <v>3206.497711391413</v>
      </c>
      <c r="AJ93" s="21" t="n">
        <v>2129.920579459302</v>
      </c>
      <c r="AK93" s="21" t="n">
        <v>216255.4711093116</v>
      </c>
      <c r="AL93" s="25" t="n">
        <v>4058716.306488156</v>
      </c>
      <c r="AM93" s="25" t="n">
        <v>34881218.79713952</v>
      </c>
      <c r="AN93" s="21" t="n">
        <v>29067.6823309496</v>
      </c>
      <c r="AO93" s="21" t="n">
        <v>19308.24855228396</v>
      </c>
      <c r="AP93" s="21" t="n">
        <v>1960408.489986909</v>
      </c>
      <c r="AQ93" s="25" t="n">
        <v>36793251.35624319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 t="n">
        <v>18337649.52617016</v>
      </c>
      <c r="J94" s="19" t="n">
        <v>15281.3746051418</v>
      </c>
      <c r="K94" s="19" t="n">
        <v>10150.6744066237</v>
      </c>
      <c r="L94" s="19" t="n">
        <v>413627.4213421408</v>
      </c>
      <c r="M94" s="24" t="n">
        <v>18725844.89850054</v>
      </c>
      <c r="N94" s="24" t="n">
        <v>2255369.456803509</v>
      </c>
      <c r="O94" s="19" t="n">
        <v>1879.474547336257</v>
      </c>
      <c r="P94" s="19" t="n">
        <v>1248.443590874839</v>
      </c>
      <c r="Q94" s="19" t="n">
        <v>50872.53146921134</v>
      </c>
      <c r="R94" s="24" t="n">
        <v>2303114.070134509</v>
      </c>
      <c r="S94" s="24" t="n">
        <v>5671757.360994365</v>
      </c>
      <c r="T94" s="19" t="n">
        <v>4726.464467495304</v>
      </c>
      <c r="U94" s="19" t="n">
        <v>3139.56061831492</v>
      </c>
      <c r="V94" s="19" t="n">
        <v>127933.2102164114</v>
      </c>
      <c r="W94" s="24" t="n">
        <v>5791824.546124966</v>
      </c>
      <c r="X94" s="24" t="n">
        <v>5240612.182882408</v>
      </c>
      <c r="Y94" s="19" t="n">
        <v>4367.176819068673</v>
      </c>
      <c r="Z94" s="19" t="n">
        <v>2900.903296461617</v>
      </c>
      <c r="AA94" s="19" t="n">
        <v>118208.2196721193</v>
      </c>
      <c r="AB94" s="24" t="n">
        <v>5351552.322438997</v>
      </c>
      <c r="AC94" s="24" t="n">
        <v>1229146.522904589</v>
      </c>
      <c r="AD94" s="19" t="n">
        <v>1024.288769087158</v>
      </c>
      <c r="AE94" s="19" t="n">
        <v>680.3852442611217</v>
      </c>
      <c r="AF94" s="19" t="n">
        <v>27724.85677595265</v>
      </c>
      <c r="AG94" s="24" t="n">
        <v>1255166.705667194</v>
      </c>
      <c r="AH94" s="24" t="n">
        <v>4058716.306488156</v>
      </c>
      <c r="AI94" s="19" t="n">
        <v>3382.263588740131</v>
      </c>
      <c r="AJ94" s="19" t="n">
        <v>2246.673308769469</v>
      </c>
      <c r="AK94" s="19" t="n">
        <v>91549.15723610803</v>
      </c>
      <c r="AL94" s="24" t="n">
        <v>4144636.526826755</v>
      </c>
      <c r="AM94" s="24" t="n">
        <v>36793251.35624319</v>
      </c>
      <c r="AN94" s="19" t="n">
        <v>30661.04279686933</v>
      </c>
      <c r="AO94" s="19" t="n">
        <v>20366.64046530567</v>
      </c>
      <c r="AP94" s="19" t="n">
        <v>829915.3967119437</v>
      </c>
      <c r="AQ94" s="24" t="n">
        <v>37572139.06969296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 t="n">
        <v>18725844.89850054</v>
      </c>
      <c r="J95" s="21" t="n">
        <v>15604.87074875045</v>
      </c>
      <c r="K95" s="21" t="n">
        <v>10365.55717145461</v>
      </c>
      <c r="L95" s="21" t="n">
        <v>859093.5908159004</v>
      </c>
      <c r="M95" s="25" t="n">
        <v>19558968.06139624</v>
      </c>
      <c r="N95" s="25" t="n">
        <v>2303114.070134509</v>
      </c>
      <c r="O95" s="21" t="n">
        <v>1919.261725112091</v>
      </c>
      <c r="P95" s="21" t="n">
        <v>1274.872279235444</v>
      </c>
      <c r="Q95" s="21" t="n">
        <v>105660.9486672034</v>
      </c>
      <c r="R95" s="25" t="n">
        <v>2405580.884797365</v>
      </c>
      <c r="S95" s="25" t="n">
        <v>5791824.546124966</v>
      </c>
      <c r="T95" s="21" t="n">
        <v>4826.520455104139</v>
      </c>
      <c r="U95" s="21" t="n">
        <v>3206.022947712218</v>
      </c>
      <c r="V95" s="21" t="n">
        <v>265714.0104318923</v>
      </c>
      <c r="W95" s="25" t="n">
        <v>6049506.013154042</v>
      </c>
      <c r="X95" s="25" t="n">
        <v>5351552.322438997</v>
      </c>
      <c r="Y95" s="21" t="n">
        <v>4459.626935365832</v>
      </c>
      <c r="Z95" s="21" t="n">
        <v>2962.313415226141</v>
      </c>
      <c r="AA95" s="21" t="n">
        <v>245515.4534304313</v>
      </c>
      <c r="AB95" s="25" t="n">
        <v>5589645.835518836</v>
      </c>
      <c r="AC95" s="25" t="n">
        <v>1255166.705667194</v>
      </c>
      <c r="AD95" s="21" t="n">
        <v>1045.972254722662</v>
      </c>
      <c r="AE95" s="21" t="n">
        <v>694.7885298538092</v>
      </c>
      <c r="AF95" s="21" t="n">
        <v>57583.81947991775</v>
      </c>
      <c r="AG95" s="25" t="n">
        <v>1311009.764362535</v>
      </c>
      <c r="AH95" s="25" t="n">
        <v>4144636.526826755</v>
      </c>
      <c r="AI95" s="21" t="n">
        <v>3453.863772355629</v>
      </c>
      <c r="AJ95" s="21" t="n">
        <v>2294.233830654121</v>
      </c>
      <c r="AK95" s="21" t="n">
        <v>190145.261576072</v>
      </c>
      <c r="AL95" s="25" t="n">
        <v>4329033.690799817</v>
      </c>
      <c r="AM95" s="25" t="n">
        <v>37572139.06969296</v>
      </c>
      <c r="AN95" s="21" t="n">
        <v>31310.1158914108</v>
      </c>
      <c r="AO95" s="21" t="n">
        <v>20797.78817413635</v>
      </c>
      <c r="AP95" s="21" t="n">
        <v>1723713.084401417</v>
      </c>
      <c r="AQ95" s="25" t="n">
        <v>39243744.25002883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 t="n">
        <v>19558968.06139624</v>
      </c>
      <c r="J96" s="19" t="n">
        <v>16299.14005116353</v>
      </c>
      <c r="K96" s="19" t="n">
        <v>10826.72652443531</v>
      </c>
      <c r="L96" s="19" t="n">
        <v>755892.4393890015</v>
      </c>
      <c r="M96" s="24" t="n">
        <v>20287734.63420964</v>
      </c>
      <c r="N96" s="24" t="n">
        <v>2405580.884797365</v>
      </c>
      <c r="O96" s="19" t="n">
        <v>2004.650737331138</v>
      </c>
      <c r="P96" s="19" t="n">
        <v>1331.592049762312</v>
      </c>
      <c r="Q96" s="19" t="n">
        <v>92968.11556975501</v>
      </c>
      <c r="R96" s="24" t="n">
        <v>2495212.757580027</v>
      </c>
      <c r="S96" s="24" t="n">
        <v>6049506.013154042</v>
      </c>
      <c r="T96" s="19" t="n">
        <v>5041.255010961702</v>
      </c>
      <c r="U96" s="19" t="n">
        <v>3348.660676102678</v>
      </c>
      <c r="V96" s="19" t="n">
        <v>233794.3312258269</v>
      </c>
      <c r="W96" s="24" t="n">
        <v>6274910.428692805</v>
      </c>
      <c r="X96" s="24" t="n">
        <v>5589645.835518836</v>
      </c>
      <c r="Y96" s="19" t="n">
        <v>4658.038196265697</v>
      </c>
      <c r="Z96" s="19" t="n">
        <v>3094.108372161792</v>
      </c>
      <c r="AA96" s="19" t="n">
        <v>216022.185458249</v>
      </c>
      <c r="AB96" s="24" t="n">
        <v>5797915.874408658</v>
      </c>
      <c r="AC96" s="24" t="n">
        <v>1311009.764362535</v>
      </c>
      <c r="AD96" s="19" t="n">
        <v>1092.508136968779</v>
      </c>
      <c r="AE96" s="19" t="n">
        <v>725.7000545766166</v>
      </c>
      <c r="AF96" s="19" t="n">
        <v>50666.39332586824</v>
      </c>
      <c r="AG96" s="24" t="n">
        <v>1359857.949496858</v>
      </c>
      <c r="AH96" s="24" t="n">
        <v>4329033.690799817</v>
      </c>
      <c r="AI96" s="19" t="n">
        <v>3607.528075666515</v>
      </c>
      <c r="AJ96" s="19" t="n">
        <v>2396.305558566912</v>
      </c>
      <c r="AK96" s="19" t="n">
        <v>167303.5012104954</v>
      </c>
      <c r="AL96" s="24" t="n">
        <v>4490333.35837608</v>
      </c>
      <c r="AM96" s="24" t="n">
        <v>39243744.25002883</v>
      </c>
      <c r="AN96" s="19" t="n">
        <v>32703.12020835736</v>
      </c>
      <c r="AO96" s="19" t="n">
        <v>21723.09323560562</v>
      </c>
      <c r="AP96" s="19" t="n">
        <v>1516646.966179196</v>
      </c>
      <c r="AQ96" s="24" t="n">
        <v>40705965.00276406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 t="n">
        <v>20287734.63420964</v>
      </c>
      <c r="J97" s="21" t="n">
        <v>16906.44552850803</v>
      </c>
      <c r="K97" s="21" t="n">
        <v>11230.1300352562</v>
      </c>
      <c r="L97" s="21" t="n">
        <v>175368.0440177031</v>
      </c>
      <c r="M97" s="25" t="n">
        <v>20434966.10266358</v>
      </c>
      <c r="N97" s="25" t="n">
        <v>2495212.757580027</v>
      </c>
      <c r="O97" s="21" t="n">
        <v>2079.343964650022</v>
      </c>
      <c r="P97" s="21" t="n">
        <v>1381.20713024328</v>
      </c>
      <c r="Q97" s="21" t="n">
        <v>21568.72556716954</v>
      </c>
      <c r="R97" s="25" t="n">
        <v>2513320.932052303</v>
      </c>
      <c r="S97" s="25" t="n">
        <v>6274910.428692805</v>
      </c>
      <c r="T97" s="21" t="n">
        <v>5229.092023910671</v>
      </c>
      <c r="U97" s="21" t="n">
        <v>3473.431674080582</v>
      </c>
      <c r="V97" s="21" t="n">
        <v>54240.59354614156</v>
      </c>
      <c r="W97" s="25" t="n">
        <v>6320448.498540955</v>
      </c>
      <c r="X97" s="25" t="n">
        <v>5797915.874408658</v>
      </c>
      <c r="Y97" s="21" t="n">
        <v>4831.596562007215</v>
      </c>
      <c r="Z97" s="21" t="n">
        <v>3209.394758806294</v>
      </c>
      <c r="AA97" s="21" t="n">
        <v>50117.43226174388</v>
      </c>
      <c r="AB97" s="25" t="n">
        <v>5839992.315349587</v>
      </c>
      <c r="AC97" s="25" t="n">
        <v>1359857.949496858</v>
      </c>
      <c r="AD97" s="21" t="n">
        <v>1133.214957914048</v>
      </c>
      <c r="AE97" s="21" t="n">
        <v>752.7396171958802</v>
      </c>
      <c r="AF97" s="21" t="n">
        <v>11754.67015144537</v>
      </c>
      <c r="AG97" s="25" t="n">
        <v>1369726.665073193</v>
      </c>
      <c r="AH97" s="25" t="n">
        <v>4490333.35837608</v>
      </c>
      <c r="AI97" s="21" t="n">
        <v>3741.944465313401</v>
      </c>
      <c r="AJ97" s="21" t="n">
        <v>2485.591832967927</v>
      </c>
      <c r="AK97" s="21" t="n">
        <v>38814.63318817382</v>
      </c>
      <c r="AL97" s="25" t="n">
        <v>4522920.455265974</v>
      </c>
      <c r="AM97" s="25" t="n">
        <v>40705965.00276406</v>
      </c>
      <c r="AN97" s="21" t="n">
        <v>33921.63750230339</v>
      </c>
      <c r="AO97" s="21" t="n">
        <v>22532.49504855016</v>
      </c>
      <c r="AP97" s="21" t="n">
        <v>351864.0987323773</v>
      </c>
      <c r="AQ97" s="25" t="n">
        <v>41001374.96894559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 t="n">
        <v>20434966.10266358</v>
      </c>
      <c r="J98" s="19" t="n">
        <v>17029.13841888632</v>
      </c>
      <c r="K98" s="19" t="n">
        <v>11311.6289589079</v>
      </c>
      <c r="L98" s="19" t="n">
        <v>970451.6378907068</v>
      </c>
      <c r="M98" s="24" t="n">
        <v>21377076.97317649</v>
      </c>
      <c r="N98" s="24" t="n">
        <v>2513320.932052303</v>
      </c>
      <c r="O98" s="19" t="n">
        <v>2094.434110043586</v>
      </c>
      <c r="P98" s="19" t="n">
        <v>1391.230780379252</v>
      </c>
      <c r="Q98" s="19" t="n">
        <v>119357.0081203726</v>
      </c>
      <c r="R98" s="24" t="n">
        <v>2629192.275282253</v>
      </c>
      <c r="S98" s="24" t="n">
        <v>6320448.498540955</v>
      </c>
      <c r="T98" s="19" t="n">
        <v>5267.040415450796</v>
      </c>
      <c r="U98" s="19" t="n">
        <v>3498.63894611809</v>
      </c>
      <c r="V98" s="19" t="n">
        <v>300156.5829274087</v>
      </c>
      <c r="W98" s="24" t="n">
        <v>6611839.402106795</v>
      </c>
      <c r="X98" s="24" t="n">
        <v>5839992.315349587</v>
      </c>
      <c r="Y98" s="19" t="n">
        <v>4866.660262791323</v>
      </c>
      <c r="Z98" s="19" t="n">
        <v>3232.685870983532</v>
      </c>
      <c r="AA98" s="19" t="n">
        <v>277339.8340485346</v>
      </c>
      <c r="AB98" s="24" t="n">
        <v>6109232.803264347</v>
      </c>
      <c r="AC98" s="24" t="n">
        <v>1369726.665073193</v>
      </c>
      <c r="AD98" s="19" t="n">
        <v>1141.438887560994</v>
      </c>
      <c r="AE98" s="19" t="n">
        <v>758.2023739403579</v>
      </c>
      <c r="AF98" s="19" t="n">
        <v>65047.99072847962</v>
      </c>
      <c r="AG98" s="24" t="n">
        <v>1432875.014540171</v>
      </c>
      <c r="AH98" s="24" t="n">
        <v>4522920.455265974</v>
      </c>
      <c r="AI98" s="19" t="n">
        <v>3769.100379388311</v>
      </c>
      <c r="AJ98" s="19" t="n">
        <v>2503.630186788265</v>
      </c>
      <c r="AK98" s="19" t="n">
        <v>214792.4073771832</v>
      </c>
      <c r="AL98" s="24" t="n">
        <v>4731440.132076981</v>
      </c>
      <c r="AM98" s="24" t="n">
        <v>41001374.96894559</v>
      </c>
      <c r="AN98" s="19" t="n">
        <v>34167.81247412133</v>
      </c>
      <c r="AO98" s="19" t="n">
        <v>22696.0171171174</v>
      </c>
      <c r="AP98" s="19" t="n">
        <v>1947145.461092686</v>
      </c>
      <c r="AQ98" s="24" t="n">
        <v>42891656.60044704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 t="n">
        <v>21377076.97317649</v>
      </c>
      <c r="J99" s="21" t="n">
        <v>17814.23081098041</v>
      </c>
      <c r="K99" s="21" t="n">
        <v>11833.12767595283</v>
      </c>
      <c r="L99" s="21" t="n">
        <v>719869.1936849831</v>
      </c>
      <c r="M99" s="25" t="n">
        <v>22067298.80837454</v>
      </c>
      <c r="N99" s="25" t="n">
        <v>2629192.275282253</v>
      </c>
      <c r="O99" s="21" t="n">
        <v>2190.993562735211</v>
      </c>
      <c r="P99" s="21" t="n">
        <v>1455.37053157838</v>
      </c>
      <c r="Q99" s="21" t="n">
        <v>88537.57347766064</v>
      </c>
      <c r="R99" s="25" t="n">
        <v>2714083.4846656</v>
      </c>
      <c r="S99" s="25" t="n">
        <v>6611839.402106795</v>
      </c>
      <c r="T99" s="21" t="n">
        <v>5509.866168422329</v>
      </c>
      <c r="U99" s="21" t="n">
        <v>3659.936291392769</v>
      </c>
      <c r="V99" s="21" t="n">
        <v>222652.4938438281</v>
      </c>
      <c r="W99" s="25" t="n">
        <v>6825322.093490807</v>
      </c>
      <c r="X99" s="25" t="n">
        <v>6109232.803264347</v>
      </c>
      <c r="Y99" s="21" t="n">
        <v>5091.027336053623</v>
      </c>
      <c r="Z99" s="21" t="n">
        <v>3381.722012502266</v>
      </c>
      <c r="AA99" s="21" t="n">
        <v>205727.3076968419</v>
      </c>
      <c r="AB99" s="25" t="n">
        <v>6306487.361612633</v>
      </c>
      <c r="AC99" s="25" t="n">
        <v>1432875.014540171</v>
      </c>
      <c r="AD99" s="21" t="n">
        <v>1194.06251211681</v>
      </c>
      <c r="AE99" s="21" t="n">
        <v>793.1576899878263</v>
      </c>
      <c r="AF99" s="21" t="n">
        <v>48251.80648704564</v>
      </c>
      <c r="AG99" s="25" t="n">
        <v>1479139.600825113</v>
      </c>
      <c r="AH99" s="25" t="n">
        <v>4731440.132076981</v>
      </c>
      <c r="AI99" s="21" t="n">
        <v>3942.866776730818</v>
      </c>
      <c r="AJ99" s="21" t="n">
        <v>2619.054758714032</v>
      </c>
      <c r="AK99" s="21" t="n">
        <v>159330.3891416411</v>
      </c>
      <c r="AL99" s="25" t="n">
        <v>4884208.599683179</v>
      </c>
      <c r="AM99" s="25" t="n">
        <v>42891656.60044704</v>
      </c>
      <c r="AN99" s="21" t="n">
        <v>35743.0471670392</v>
      </c>
      <c r="AO99" s="21" t="n">
        <v>23742.36896012811</v>
      </c>
      <c r="AP99" s="21" t="n">
        <v>1444368.764332001</v>
      </c>
      <c r="AQ99" s="25" t="n">
        <v>44276539.94865188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 t="n">
        <v>22067298.80837454</v>
      </c>
      <c r="J100" s="19" t="n">
        <v>18389.41567364545</v>
      </c>
      <c r="K100" s="19" t="n">
        <v>12215.19502364856</v>
      </c>
      <c r="L100" s="19" t="n">
        <v>630088.3240598728</v>
      </c>
      <c r="M100" s="24" t="n">
        <v>22666782.52173712</v>
      </c>
      <c r="N100" s="24" t="n">
        <v>2714083.4846656</v>
      </c>
      <c r="O100" s="19" t="n">
        <v>2261.736237221333</v>
      </c>
      <c r="P100" s="19" t="n">
        <v>1502.361451827189</v>
      </c>
      <c r="Q100" s="19" t="n">
        <v>77495.31689680748</v>
      </c>
      <c r="R100" s="24" t="n">
        <v>2787814.703873359</v>
      </c>
      <c r="S100" s="24" t="n">
        <v>6825322.093490807</v>
      </c>
      <c r="T100" s="19" t="n">
        <v>5687.768411242339</v>
      </c>
      <c r="U100" s="19" t="n">
        <v>3778.108104448541</v>
      </c>
      <c r="V100" s="19" t="n">
        <v>194883.6509806259</v>
      </c>
      <c r="W100" s="24" t="n">
        <v>7010739.867955742</v>
      </c>
      <c r="X100" s="24" t="n">
        <v>6306487.361612633</v>
      </c>
      <c r="Y100" s="19" t="n">
        <v>5255.406134677194</v>
      </c>
      <c r="Z100" s="19" t="n">
        <v>3490.910858878587</v>
      </c>
      <c r="AA100" s="19" t="n">
        <v>180069.3454549713</v>
      </c>
      <c r="AB100" s="24" t="n">
        <v>6477810.390074048</v>
      </c>
      <c r="AC100" s="24" t="n">
        <v>1479139.600825113</v>
      </c>
      <c r="AD100" s="19" t="n">
        <v>1232.616334020927</v>
      </c>
      <c r="AE100" s="19" t="n">
        <v>818.7671199894949</v>
      </c>
      <c r="AF100" s="19" t="n">
        <v>42233.92270289079</v>
      </c>
      <c r="AG100" s="24" t="n">
        <v>1519322.140073993</v>
      </c>
      <c r="AH100" s="24" t="n">
        <v>4884208.599683179</v>
      </c>
      <c r="AI100" s="19" t="n">
        <v>4070.173833069316</v>
      </c>
      <c r="AJ100" s="19" t="n">
        <v>2703.618648543877</v>
      </c>
      <c r="AK100" s="19" t="n">
        <v>139458.972194879</v>
      </c>
      <c r="AL100" s="24" t="n">
        <v>5016893.779396445</v>
      </c>
      <c r="AM100" s="24" t="n">
        <v>44276539.94865188</v>
      </c>
      <c r="AN100" s="19" t="n">
        <v>36897.11662387656</v>
      </c>
      <c r="AO100" s="19" t="n">
        <v>24508.96120733625</v>
      </c>
      <c r="AP100" s="19" t="n">
        <v>1264229.532290048</v>
      </c>
      <c r="AQ100" s="24" t="n">
        <v>45479363.40311071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 t="n">
        <v>22666782.52173712</v>
      </c>
      <c r="J101" s="21" t="n">
        <v>18888.98543478093</v>
      </c>
      <c r="K101" s="21" t="n">
        <v>12547.03493463241</v>
      </c>
      <c r="L101" s="21" t="n">
        <v>472385.2968634075</v>
      </c>
      <c r="M101" s="25" t="n">
        <v>23107731.79823111</v>
      </c>
      <c r="N101" s="25" t="n">
        <v>2787814.703873359</v>
      </c>
      <c r="O101" s="21" t="n">
        <v>2323.178919894466</v>
      </c>
      <c r="P101" s="21" t="n">
        <v>1543.174839536081</v>
      </c>
      <c r="Q101" s="21" t="n">
        <v>58099.23288523543</v>
      </c>
      <c r="R101" s="25" t="n">
        <v>2842047.582999163</v>
      </c>
      <c r="S101" s="25" t="n">
        <v>7010739.867955742</v>
      </c>
      <c r="T101" s="21" t="n">
        <v>5842.283223296452</v>
      </c>
      <c r="U101" s="21" t="n">
        <v>3880.744783980906</v>
      </c>
      <c r="V101" s="21" t="n">
        <v>146106.7723476175</v>
      </c>
      <c r="W101" s="25" t="n">
        <v>7147123.612296083</v>
      </c>
      <c r="X101" s="25" t="n">
        <v>6477810.390074048</v>
      </c>
      <c r="Y101" s="21" t="n">
        <v>5398.175325061708</v>
      </c>
      <c r="Z101" s="21" t="n">
        <v>3585.745492825904</v>
      </c>
      <c r="AA101" s="21" t="n">
        <v>135000.2975148977</v>
      </c>
      <c r="AB101" s="25" t="n">
        <v>6603826.766771058</v>
      </c>
      <c r="AC101" s="25" t="n">
        <v>1519322.140073993</v>
      </c>
      <c r="AD101" s="21" t="n">
        <v>1266.101783394994</v>
      </c>
      <c r="AE101" s="21" t="n">
        <v>841.0098764651635</v>
      </c>
      <c r="AF101" s="21" t="n">
        <v>31663.31346240833</v>
      </c>
      <c r="AG101" s="25" t="n">
        <v>1548878.341876541</v>
      </c>
      <c r="AH101" s="25" t="n">
        <v>5016893.779396445</v>
      </c>
      <c r="AI101" s="21" t="n">
        <v>4180.744816163704</v>
      </c>
      <c r="AJ101" s="21" t="n">
        <v>2777.065578366131</v>
      </c>
      <c r="AK101" s="21" t="n">
        <v>104554.1798903159</v>
      </c>
      <c r="AL101" s="25" t="n">
        <v>5114490.148892231</v>
      </c>
      <c r="AM101" s="25" t="n">
        <v>45479363.40311071</v>
      </c>
      <c r="AN101" s="21" t="n">
        <v>37899.46950259226</v>
      </c>
      <c r="AO101" s="21" t="n">
        <v>25174.77550580659</v>
      </c>
      <c r="AP101" s="21" t="n">
        <v>947809.0929638824</v>
      </c>
      <c r="AQ101" s="25" t="n">
        <v>46364098.25106619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 t="n">
        <v>23107731.79823111</v>
      </c>
      <c r="J102" s="19" t="n">
        <v>19256.4431651926</v>
      </c>
      <c r="K102" s="19" t="n">
        <v>12791.11924484561</v>
      </c>
      <c r="L102" s="19" t="n">
        <v>399211.0201347972</v>
      </c>
      <c r="M102" s="24" t="n">
        <v>23474895.25595587</v>
      </c>
      <c r="N102" s="24" t="n">
        <v>2842047.582999163</v>
      </c>
      <c r="O102" s="19" t="n">
        <v>2368.372985832636</v>
      </c>
      <c r="P102" s="19" t="n">
        <v>1573.19506090383</v>
      </c>
      <c r="Q102" s="19" t="n">
        <v>49099.44103503841</v>
      </c>
      <c r="R102" s="24" t="n">
        <v>2887205.455987465</v>
      </c>
      <c r="S102" s="24" t="n">
        <v>7147123.612296083</v>
      </c>
      <c r="T102" s="19" t="n">
        <v>5955.93634358007</v>
      </c>
      <c r="U102" s="19" t="n">
        <v>3956.239027732228</v>
      </c>
      <c r="V102" s="19" t="n">
        <v>123474.2783587539</v>
      </c>
      <c r="W102" s="24" t="n">
        <v>7260685.715283524</v>
      </c>
      <c r="X102" s="24" t="n">
        <v>6603826.766771058</v>
      </c>
      <c r="Y102" s="19" t="n">
        <v>5503.188972309215</v>
      </c>
      <c r="Z102" s="19" t="n">
        <v>3655.500954556606</v>
      </c>
      <c r="AA102" s="19" t="n">
        <v>114088.2386629554</v>
      </c>
      <c r="AB102" s="24" t="n">
        <v>6708756.315507147</v>
      </c>
      <c r="AC102" s="24" t="n">
        <v>1548878.341876541</v>
      </c>
      <c r="AD102" s="19" t="n">
        <v>1290.731951563784</v>
      </c>
      <c r="AE102" s="19" t="n">
        <v>857.3705000426819</v>
      </c>
      <c r="AF102" s="19" t="n">
        <v>26758.54594143074</v>
      </c>
      <c r="AG102" s="24" t="n">
        <v>1573488.785366365</v>
      </c>
      <c r="AH102" s="24" t="n">
        <v>5114490.148892231</v>
      </c>
      <c r="AI102" s="19" t="n">
        <v>4262.07512407686</v>
      </c>
      <c r="AJ102" s="19" t="n">
        <v>2831.089348893889</v>
      </c>
      <c r="AK102" s="19" t="n">
        <v>88358.34030083969</v>
      </c>
      <c r="AL102" s="24" t="n">
        <v>5195755.3247201</v>
      </c>
      <c r="AM102" s="24" t="n">
        <v>46364098.25106619</v>
      </c>
      <c r="AN102" s="19" t="n">
        <v>38636.74854255516</v>
      </c>
      <c r="AO102" s="19" t="n">
        <v>25664.51413697485</v>
      </c>
      <c r="AP102" s="19" t="n">
        <v>800989.8644338152</v>
      </c>
      <c r="AQ102" s="24" t="n">
        <v>47100786.85282046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 t="n">
        <v>23474895.25595587</v>
      </c>
      <c r="J103" s="21" t="n">
        <v>19562.41271329656</v>
      </c>
      <c r="K103" s="21" t="n">
        <v>12994.35994415418</v>
      </c>
      <c r="L103" s="21" t="n">
        <v>333134.7617943618</v>
      </c>
      <c r="M103" s="25" t="n">
        <v>23775473.24509278</v>
      </c>
      <c r="N103" s="25" t="n">
        <v>2887205.455987465</v>
      </c>
      <c r="O103" s="21" t="n">
        <v>2406.004546656221</v>
      </c>
      <c r="P103" s="21" t="n">
        <v>1598.191877695739</v>
      </c>
      <c r="Q103" s="21" t="n">
        <v>40972.64295940738</v>
      </c>
      <c r="R103" s="25" t="n">
        <v>2924173.902522521</v>
      </c>
      <c r="S103" s="25" t="n">
        <v>7260685.715283524</v>
      </c>
      <c r="T103" s="21" t="n">
        <v>6050.571429402938</v>
      </c>
      <c r="U103" s="21" t="n">
        <v>4019.10051555333</v>
      </c>
      <c r="V103" s="21" t="n">
        <v>103037.1714059523</v>
      </c>
      <c r="W103" s="25" t="n">
        <v>7353653.21474452</v>
      </c>
      <c r="X103" s="25" t="n">
        <v>6708756.315507147</v>
      </c>
      <c r="Y103" s="21" t="n">
        <v>5590.630262922623</v>
      </c>
      <c r="Z103" s="21" t="n">
        <v>3713.583953870884</v>
      </c>
      <c r="AA103" s="21" t="n">
        <v>95204.68196917161</v>
      </c>
      <c r="AB103" s="25" t="n">
        <v>6794656.783259526</v>
      </c>
      <c r="AC103" s="25" t="n">
        <v>1573488.785366365</v>
      </c>
      <c r="AD103" s="21" t="n">
        <v>1311.240654471971</v>
      </c>
      <c r="AE103" s="21" t="n">
        <v>870.99343456934</v>
      </c>
      <c r="AF103" s="21" t="n">
        <v>22329.54848078105</v>
      </c>
      <c r="AG103" s="25" t="n">
        <v>1593636.099758105</v>
      </c>
      <c r="AH103" s="25" t="n">
        <v>5195755.3247201</v>
      </c>
      <c r="AI103" s="21" t="n">
        <v>4329.796103933418</v>
      </c>
      <c r="AJ103" s="21" t="n">
        <v>2876.073104268235</v>
      </c>
      <c r="AK103" s="21" t="n">
        <v>73733.52228284256</v>
      </c>
      <c r="AL103" s="25" t="n">
        <v>5262282.977794741</v>
      </c>
      <c r="AM103" s="25" t="n">
        <v>47100786.85282046</v>
      </c>
      <c r="AN103" s="21" t="n">
        <v>39250.65571068373</v>
      </c>
      <c r="AO103" s="21" t="n">
        <v>26072.3028301117</v>
      </c>
      <c r="AP103" s="21" t="n">
        <v>668412.3288925167</v>
      </c>
      <c r="AQ103" s="25" t="n">
        <v>47703876.2231722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 t="n">
        <v>23775473.24509278</v>
      </c>
      <c r="J104" s="19" t="n">
        <v>19812.89437091065</v>
      </c>
      <c r="K104" s="19" t="n">
        <v>13160.74273477149</v>
      </c>
      <c r="L104" s="19" t="n">
        <v>668965.9303859054</v>
      </c>
      <c r="M104" s="24" t="n">
        <v>24411465.538373</v>
      </c>
      <c r="N104" s="24" t="n">
        <v>2924173.902522521</v>
      </c>
      <c r="O104" s="19" t="n">
        <v>2436.811585435434</v>
      </c>
      <c r="P104" s="19" t="n">
        <v>1618.655496196054</v>
      </c>
      <c r="Q104" s="19" t="n">
        <v>82276.92021713649</v>
      </c>
      <c r="R104" s="24" t="n">
        <v>3002395.355658025</v>
      </c>
      <c r="S104" s="24" t="n">
        <v>7353653.21474452</v>
      </c>
      <c r="T104" s="19" t="n">
        <v>6128.044345620434</v>
      </c>
      <c r="U104" s="19" t="n">
        <v>4070.562008264257</v>
      </c>
      <c r="V104" s="19" t="n">
        <v>206908.3300182981</v>
      </c>
      <c r="W104" s="24" t="n">
        <v>7550362.938408934</v>
      </c>
      <c r="X104" s="24" t="n">
        <v>6794656.783259526</v>
      </c>
      <c r="Y104" s="19" t="n">
        <v>5662.213986049605</v>
      </c>
      <c r="Z104" s="19" t="n">
        <v>3761.133541853067</v>
      </c>
      <c r="AA104" s="19" t="n">
        <v>191179.9546452466</v>
      </c>
      <c r="AB104" s="24" t="n">
        <v>6976413.39037687</v>
      </c>
      <c r="AC104" s="24" t="n">
        <v>1593636.099758105</v>
      </c>
      <c r="AD104" s="19" t="n">
        <v>1328.030083131754</v>
      </c>
      <c r="AE104" s="19" t="n">
        <v>882.1458359862487</v>
      </c>
      <c r="AF104" s="19" t="n">
        <v>44839.83326772624</v>
      </c>
      <c r="AG104" s="24" t="n">
        <v>1636265.757106713</v>
      </c>
      <c r="AH104" s="24" t="n">
        <v>5262282.977794741</v>
      </c>
      <c r="AI104" s="19" t="n">
        <v>4385.235814828951</v>
      </c>
      <c r="AJ104" s="19" t="n">
        <v>2912.89900959671</v>
      </c>
      <c r="AK104" s="19" t="n">
        <v>148063.8468014913</v>
      </c>
      <c r="AL104" s="24" t="n">
        <v>5403048.689771807</v>
      </c>
      <c r="AM104" s="24" t="n">
        <v>47703876.2231722</v>
      </c>
      <c r="AN104" s="19" t="n">
        <v>39753.23018597682</v>
      </c>
      <c r="AO104" s="19" t="n">
        <v>26406.13862666783</v>
      </c>
      <c r="AP104" s="19" t="n">
        <v>1342234.815335804</v>
      </c>
      <c r="AQ104" s="24" t="n">
        <v>48979951.66969535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 t="n">
        <v>24411465.538373</v>
      </c>
      <c r="J105" s="21" t="n">
        <v>20342.88794864417</v>
      </c>
      <c r="K105" s="21" t="n">
        <v>13512.79170838702</v>
      </c>
      <c r="L105" s="21" t="n">
        <v>1363953.494672971</v>
      </c>
      <c r="M105" s="25" t="n">
        <v>25741563.35338894</v>
      </c>
      <c r="N105" s="25" t="n">
        <v>3002395.355658025</v>
      </c>
      <c r="O105" s="21" t="n">
        <v>2501.996129715021</v>
      </c>
      <c r="P105" s="21" t="n">
        <v>1661.954420698802</v>
      </c>
      <c r="Q105" s="21" t="n">
        <v>167754.2723234877</v>
      </c>
      <c r="R105" s="25" t="n">
        <v>3165985.6774311</v>
      </c>
      <c r="S105" s="25" t="n">
        <v>7550362.938408934</v>
      </c>
      <c r="T105" s="21" t="n">
        <v>6291.969115340778</v>
      </c>
      <c r="U105" s="21" t="n">
        <v>4179.449265308011</v>
      </c>
      <c r="V105" s="21" t="n">
        <v>421865.0412325272</v>
      </c>
      <c r="W105" s="25" t="n">
        <v>7961756.561260812</v>
      </c>
      <c r="X105" s="25" t="n">
        <v>6976413.39037687</v>
      </c>
      <c r="Y105" s="21" t="n">
        <v>5813.677825314058</v>
      </c>
      <c r="Z105" s="21" t="n">
        <v>3861.743608452268</v>
      </c>
      <c r="AA105" s="21" t="n">
        <v>389796.4835060876</v>
      </c>
      <c r="AB105" s="25" t="n">
        <v>7356534.45244919</v>
      </c>
      <c r="AC105" s="25" t="n">
        <v>1636265.757106713</v>
      </c>
      <c r="AD105" s="21" t="n">
        <v>1363.554797588928</v>
      </c>
      <c r="AE105" s="21" t="n">
        <v>905.7431771391651</v>
      </c>
      <c r="AF105" s="21" t="n">
        <v>91423.85958398145</v>
      </c>
      <c r="AG105" s="25" t="n">
        <v>1725420.318715967</v>
      </c>
      <c r="AH105" s="25" t="n">
        <v>5403048.689771807</v>
      </c>
      <c r="AI105" s="21" t="n">
        <v>4502.540574809839</v>
      </c>
      <c r="AJ105" s="21" t="n">
        <v>2990.818860112808</v>
      </c>
      <c r="AK105" s="21" t="n">
        <v>301887.1247495631</v>
      </c>
      <c r="AL105" s="25" t="n">
        <v>5697442.455086447</v>
      </c>
      <c r="AM105" s="25" t="n">
        <v>48979951.66969535</v>
      </c>
      <c r="AN105" s="21" t="n">
        <v>40816.6263914128</v>
      </c>
      <c r="AO105" s="21" t="n">
        <v>27112.50104009808</v>
      </c>
      <c r="AP105" s="21" t="n">
        <v>2736680.276068618</v>
      </c>
      <c r="AQ105" s="25" t="n">
        <v>51648702.81833246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 t="n">
        <v>25741563.35338894</v>
      </c>
      <c r="J106" s="19" t="n">
        <v>21451.30279449079</v>
      </c>
      <c r="K106" s="19" t="n">
        <v>14249.05781653355</v>
      </c>
      <c r="L106" s="19" t="n">
        <v>417399.6257194158</v>
      </c>
      <c r="M106" s="24" t="n">
        <v>26123262.61849733</v>
      </c>
      <c r="N106" s="24" t="n">
        <v>3165985.6774311</v>
      </c>
      <c r="O106" s="19" t="n">
        <v>2638.32139785925</v>
      </c>
      <c r="P106" s="19" t="n">
        <v>1752.508670305517</v>
      </c>
      <c r="Q106" s="19" t="n">
        <v>51336.4793991347</v>
      </c>
      <c r="R106" s="24" t="n">
        <v>3212931.32676207</v>
      </c>
      <c r="S106" s="24" t="n">
        <v>7961756.561260812</v>
      </c>
      <c r="T106" s="19" t="n">
        <v>6634.797134384011</v>
      </c>
      <c r="U106" s="19" t="n">
        <v>4407.173255373979</v>
      </c>
      <c r="V106" s="19" t="n">
        <v>129099.9370596446</v>
      </c>
      <c r="W106" s="24" t="n">
        <v>8079814.527930699</v>
      </c>
      <c r="X106" s="24" t="n">
        <v>7356534.45244919</v>
      </c>
      <c r="Y106" s="19" t="n">
        <v>6130.445377040993</v>
      </c>
      <c r="Z106" s="19" t="n">
        <v>4072.156896736002</v>
      </c>
      <c r="AA106" s="19" t="n">
        <v>119286.2564285563</v>
      </c>
      <c r="AB106" s="24" t="n">
        <v>7465618.106603971</v>
      </c>
      <c r="AC106" s="24" t="n">
        <v>1725420.318715967</v>
      </c>
      <c r="AD106" s="19" t="n">
        <v>1437.850265596639</v>
      </c>
      <c r="AE106" s="19" t="n">
        <v>955.094045442613</v>
      </c>
      <c r="AF106" s="19" t="n">
        <v>27977.70226126942</v>
      </c>
      <c r="AG106" s="24" t="n">
        <v>1751005.076666197</v>
      </c>
      <c r="AH106" s="24" t="n">
        <v>5697442.455086447</v>
      </c>
      <c r="AI106" s="19" t="n">
        <v>4747.86871257204</v>
      </c>
      <c r="AJ106" s="19" t="n">
        <v>3153.778417976765</v>
      </c>
      <c r="AK106" s="19" t="n">
        <v>92384.06835138505</v>
      </c>
      <c r="AL106" s="24" t="n">
        <v>5781924.876307284</v>
      </c>
      <c r="AM106" s="24" t="n">
        <v>51648702.81833246</v>
      </c>
      <c r="AN106" s="19" t="n">
        <v>43040.58568194372</v>
      </c>
      <c r="AO106" s="19" t="n">
        <v>28589.76910236843</v>
      </c>
      <c r="AP106" s="19" t="n">
        <v>837484.0692194059</v>
      </c>
      <c r="AQ106" s="24" t="n">
        <v>52414556.53276756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 t="n">
        <v>26123262.61849733</v>
      </c>
      <c r="J107" s="21" t="n">
        <v>21769.38551541445</v>
      </c>
      <c r="K107" s="21" t="n">
        <v>14460.34470779153</v>
      </c>
      <c r="L107" s="21" t="n">
        <v>729570.4217910696</v>
      </c>
      <c r="M107" s="25" t="n">
        <v>26816603.3100652</v>
      </c>
      <c r="N107" s="25" t="n">
        <v>3212931.32676207</v>
      </c>
      <c r="O107" s="21" t="n">
        <v>2677.442772301725</v>
      </c>
      <c r="P107" s="21" t="n">
        <v>1778.495097872809</v>
      </c>
      <c r="Q107" s="21" t="n">
        <v>89730.73913025568</v>
      </c>
      <c r="R107" s="25" t="n">
        <v>3298206.128022151</v>
      </c>
      <c r="S107" s="25" t="n">
        <v>8079814.527930699</v>
      </c>
      <c r="T107" s="21" t="n">
        <v>6733.178773275583</v>
      </c>
      <c r="U107" s="21" t="n">
        <v>4472.523396299283</v>
      </c>
      <c r="V107" s="21" t="n">
        <v>225653.0426242407</v>
      </c>
      <c r="W107" s="25" t="n">
        <v>8294261.868385365</v>
      </c>
      <c r="X107" s="25" t="n">
        <v>7465618.106603971</v>
      </c>
      <c r="Y107" s="21" t="n">
        <v>6221.348422169976</v>
      </c>
      <c r="Z107" s="21" t="n">
        <v>4132.539371318129</v>
      </c>
      <c r="AA107" s="21" t="n">
        <v>208499.7663006081</v>
      </c>
      <c r="AB107" s="25" t="n">
        <v>7663763.985111091</v>
      </c>
      <c r="AC107" s="25" t="n">
        <v>1751005.076666197</v>
      </c>
      <c r="AD107" s="21" t="n">
        <v>1459.170897221831</v>
      </c>
      <c r="AE107" s="21" t="n">
        <v>969.2563047525881</v>
      </c>
      <c r="AF107" s="21" t="n">
        <v>48902.06598608795</v>
      </c>
      <c r="AG107" s="25" t="n">
        <v>1797478.715450311</v>
      </c>
      <c r="AH107" s="25" t="n">
        <v>5781924.876307284</v>
      </c>
      <c r="AI107" s="21" t="n">
        <v>4818.27073025607</v>
      </c>
      <c r="AJ107" s="21" t="n">
        <v>3200.543056469398</v>
      </c>
      <c r="AK107" s="21" t="n">
        <v>161477.5854140393</v>
      </c>
      <c r="AL107" s="25" t="n">
        <v>5935383.647934597</v>
      </c>
      <c r="AM107" s="25" t="n">
        <v>52414556.53276756</v>
      </c>
      <c r="AN107" s="21" t="n">
        <v>43678.79711063964</v>
      </c>
      <c r="AO107" s="21" t="n">
        <v>29013.70193450373</v>
      </c>
      <c r="AP107" s="21" t="n">
        <v>1463833.621246301</v>
      </c>
      <c r="AQ107" s="25" t="n">
        <v>53805697.65496871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 t="n">
        <v>26816603.3100652</v>
      </c>
      <c r="J108" s="19" t="n">
        <v>22347.16942505433</v>
      </c>
      <c r="K108" s="19" t="n">
        <v>14844.13847606727</v>
      </c>
      <c r="L108" s="19" t="n">
        <v>1030486.946992724</v>
      </c>
      <c r="M108" s="24" t="n">
        <v>27809898.9491568</v>
      </c>
      <c r="N108" s="24" t="n">
        <v>3298206.128022151</v>
      </c>
      <c r="O108" s="19" t="n">
        <v>2748.505106685126</v>
      </c>
      <c r="P108" s="19" t="n">
        <v>1825.698352654471</v>
      </c>
      <c r="Q108" s="19" t="n">
        <v>126740.8226209831</v>
      </c>
      <c r="R108" s="24" t="n">
        <v>3420372.747183795</v>
      </c>
      <c r="S108" s="24" t="n">
        <v>8294261.868385365</v>
      </c>
      <c r="T108" s="19" t="n">
        <v>6911.884890321138</v>
      </c>
      <c r="U108" s="19" t="n">
        <v>4591.22918393118</v>
      </c>
      <c r="V108" s="19" t="n">
        <v>318725.2498567771</v>
      </c>
      <c r="W108" s="24" t="n">
        <v>8601484.00416789</v>
      </c>
      <c r="X108" s="24" t="n">
        <v>7663763.985111091</v>
      </c>
      <c r="Y108" s="19" t="n">
        <v>6386.469987592576</v>
      </c>
      <c r="Z108" s="19" t="n">
        <v>4242.221601577236</v>
      </c>
      <c r="AA108" s="19" t="n">
        <v>294496.9823424935</v>
      </c>
      <c r="AB108" s="24" t="n">
        <v>7947632.275864415</v>
      </c>
      <c r="AC108" s="24" t="n">
        <v>1797478.715450311</v>
      </c>
      <c r="AD108" s="19" t="n">
        <v>1497.898929541926</v>
      </c>
      <c r="AE108" s="19" t="n">
        <v>994.9814542661801</v>
      </c>
      <c r="AF108" s="19" t="n">
        <v>69072.07196795019</v>
      </c>
      <c r="AG108" s="24" t="n">
        <v>1864057.907034453</v>
      </c>
      <c r="AH108" s="24" t="n">
        <v>5935383.647934597</v>
      </c>
      <c r="AI108" s="19" t="n">
        <v>4946.153039945498</v>
      </c>
      <c r="AJ108" s="19" t="n">
        <v>3285.489059140364</v>
      </c>
      <c r="AK108" s="19" t="n">
        <v>228080.1674944041</v>
      </c>
      <c r="AL108" s="24" t="n">
        <v>6155232.173329916</v>
      </c>
      <c r="AM108" s="24" t="n">
        <v>53805697.65496871</v>
      </c>
      <c r="AN108" s="19" t="n">
        <v>44838.0813791406</v>
      </c>
      <c r="AO108" s="19" t="n">
        <v>29783.7581276367</v>
      </c>
      <c r="AP108" s="19" t="n">
        <v>2067602.241275332</v>
      </c>
      <c r="AQ108" s="24" t="n">
        <v>55798678.05673727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 t="n">
        <v>27809898.9491568</v>
      </c>
      <c r="J109" s="21" t="n">
        <v>23174.915790964</v>
      </c>
      <c r="K109" s="21" t="n">
        <v>15393.97015474282</v>
      </c>
      <c r="L109" s="21" t="n">
        <v>1515379.788160773</v>
      </c>
      <c r="M109" s="25" t="n">
        <v>29286709.85137187</v>
      </c>
      <c r="N109" s="25" t="n">
        <v>3420372.747183795</v>
      </c>
      <c r="O109" s="21" t="n">
        <v>2850.310622653162</v>
      </c>
      <c r="P109" s="21" t="n">
        <v>1893.322808705837</v>
      </c>
      <c r="Q109" s="21" t="n">
        <v>186378.3733459201</v>
      </c>
      <c r="R109" s="25" t="n">
        <v>3602007.487098356</v>
      </c>
      <c r="S109" s="25" t="n">
        <v>8601484.00416789</v>
      </c>
      <c r="T109" s="21" t="n">
        <v>7167.903336806576</v>
      </c>
      <c r="U109" s="21" t="n">
        <v>4761.289794282874</v>
      </c>
      <c r="V109" s="21" t="n">
        <v>468700.5527037134</v>
      </c>
      <c r="W109" s="25" t="n">
        <v>9058255.363740515</v>
      </c>
      <c r="X109" s="25" t="n">
        <v>7947632.275864415</v>
      </c>
      <c r="Y109" s="21" t="n">
        <v>6623.02689655368</v>
      </c>
      <c r="Z109" s="21" t="n">
        <v>4399.354858469815</v>
      </c>
      <c r="AA109" s="21" t="n">
        <v>433071.7395484927</v>
      </c>
      <c r="AB109" s="25" t="n">
        <v>8369681.633657883</v>
      </c>
      <c r="AC109" s="25" t="n">
        <v>1864057.907034453</v>
      </c>
      <c r="AD109" s="21" t="n">
        <v>1553.381589195377</v>
      </c>
      <c r="AE109" s="21" t="n">
        <v>1031.835888367037</v>
      </c>
      <c r="AF109" s="21" t="n">
        <v>101573.7483061559</v>
      </c>
      <c r="AG109" s="25" t="n">
        <v>1963046.437863046</v>
      </c>
      <c r="AH109" s="25" t="n">
        <v>6155232.173329916</v>
      </c>
      <c r="AI109" s="21" t="n">
        <v>5129.360144441597</v>
      </c>
      <c r="AJ109" s="21" t="n">
        <v>3407.184633967412</v>
      </c>
      <c r="AK109" s="21" t="n">
        <v>335402.6724064695</v>
      </c>
      <c r="AL109" s="25" t="n">
        <v>6482098.300957976</v>
      </c>
      <c r="AM109" s="25" t="n">
        <v>55798678.05673727</v>
      </c>
      <c r="AN109" s="21" t="n">
        <v>46498.8983806144</v>
      </c>
      <c r="AO109" s="21" t="n">
        <v>30886.9581385358</v>
      </c>
      <c r="AP109" s="21" t="n">
        <v>3040506.874471524</v>
      </c>
      <c r="AQ109" s="25" t="n">
        <v>58761799.07468964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 t="n">
        <v>29286709.85137187</v>
      </c>
      <c r="J110" s="19" t="n">
        <v>24405.59154280989</v>
      </c>
      <c r="K110" s="19" t="n">
        <v>16211.44824031446</v>
      </c>
      <c r="L110" s="19" t="n">
        <v>342161.7969818323</v>
      </c>
      <c r="M110" s="24" t="n">
        <v>29588254.60857058</v>
      </c>
      <c r="N110" s="24" t="n">
        <v>3602007.487098356</v>
      </c>
      <c r="O110" s="19" t="n">
        <v>3001.672905915297</v>
      </c>
      <c r="P110" s="19" t="n">
        <v>1993.865416588776</v>
      </c>
      <c r="Q110" s="19" t="n">
        <v>42082.88881824858</v>
      </c>
      <c r="R110" s="24" t="n">
        <v>3639094.8375941</v>
      </c>
      <c r="S110" s="24" t="n">
        <v>9058255.363740515</v>
      </c>
      <c r="T110" s="19" t="n">
        <v>7548.54613645043</v>
      </c>
      <c r="U110" s="19" t="n">
        <v>5014.13230513333</v>
      </c>
      <c r="V110" s="19" t="n">
        <v>105829.1951710169</v>
      </c>
      <c r="W110" s="24" t="n">
        <v>9151521.880469948</v>
      </c>
      <c r="X110" s="24" t="n">
        <v>8369681.633657883</v>
      </c>
      <c r="Y110" s="19" t="n">
        <v>6974.734694714903</v>
      </c>
      <c r="Z110" s="19" t="n">
        <v>4632.97725420664</v>
      </c>
      <c r="AA110" s="19" t="n">
        <v>97784.46682716296</v>
      </c>
      <c r="AB110" s="24" t="n">
        <v>8455858.388536125</v>
      </c>
      <c r="AC110" s="24" t="n">
        <v>1963046.437863046</v>
      </c>
      <c r="AD110" s="19" t="n">
        <v>1635.872031552538</v>
      </c>
      <c r="AE110" s="19" t="n">
        <v>1086.630279818193</v>
      </c>
      <c r="AF110" s="19" t="n">
        <v>22934.61778898121</v>
      </c>
      <c r="AG110" s="24" t="n">
        <v>1983258.553340656</v>
      </c>
      <c r="AH110" s="24" t="n">
        <v>6482098.300957976</v>
      </c>
      <c r="AI110" s="19" t="n">
        <v>5401.748584131647</v>
      </c>
      <c r="AJ110" s="19" t="n">
        <v>3588.119035149595</v>
      </c>
      <c r="AK110" s="19" t="n">
        <v>75731.49780649634</v>
      </c>
      <c r="AL110" s="24" t="n">
        <v>6548839.93114519</v>
      </c>
      <c r="AM110" s="24" t="n">
        <v>58761799.07468964</v>
      </c>
      <c r="AN110" s="19" t="n">
        <v>48968.1658955747</v>
      </c>
      <c r="AO110" s="19" t="n">
        <v>32527.172531211</v>
      </c>
      <c r="AP110" s="19" t="n">
        <v>686524.4633937383</v>
      </c>
      <c r="AQ110" s="24" t="n">
        <v>59366828.1996566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 t="n">
        <v>29588254.60857058</v>
      </c>
      <c r="J111" s="21" t="n">
        <v>24656.87884047548</v>
      </c>
      <c r="K111" s="21" t="n">
        <v>16378.36617846026</v>
      </c>
      <c r="L111" s="21" t="n">
        <v>580866.0881986996</v>
      </c>
      <c r="M111" s="25" t="n">
        <v>30128085.45175034</v>
      </c>
      <c r="N111" s="25" t="n">
        <v>3639094.8375941</v>
      </c>
      <c r="O111" s="21" t="n">
        <v>3032.579031328417</v>
      </c>
      <c r="P111" s="21" t="n">
        <v>2014.394853523939</v>
      </c>
      <c r="Q111" s="21" t="n">
        <v>71441.4152122739</v>
      </c>
      <c r="R111" s="25" t="n">
        <v>3705489.278921522</v>
      </c>
      <c r="S111" s="25" t="n">
        <v>9151521.880469948</v>
      </c>
      <c r="T111" s="21" t="n">
        <v>7626.268233724957</v>
      </c>
      <c r="U111" s="21" t="n">
        <v>5065.759316709122</v>
      </c>
      <c r="V111" s="21" t="n">
        <v>179659.4218245506</v>
      </c>
      <c r="W111" s="25" t="n">
        <v>9318489.274744064</v>
      </c>
      <c r="X111" s="25" t="n">
        <v>8455858.388536125</v>
      </c>
      <c r="Y111" s="21" t="n">
        <v>7046.548657113438</v>
      </c>
      <c r="Z111" s="21" t="n">
        <v>4680.679778946252</v>
      </c>
      <c r="AA111" s="21" t="n">
        <v>166002.4036391928</v>
      </c>
      <c r="AB111" s="25" t="n">
        <v>8610133.563739259</v>
      </c>
      <c r="AC111" s="25" t="n">
        <v>1983258.553340656</v>
      </c>
      <c r="AD111" s="21" t="n">
        <v>1652.715461117214</v>
      </c>
      <c r="AE111" s="21" t="n">
        <v>1097.818551411535</v>
      </c>
      <c r="AF111" s="21" t="n">
        <v>38934.626357849</v>
      </c>
      <c r="AG111" s="25" t="n">
        <v>2019442.645685977</v>
      </c>
      <c r="AH111" s="25" t="n">
        <v>6548839.93114519</v>
      </c>
      <c r="AI111" s="21" t="n">
        <v>5457.366609287659</v>
      </c>
      <c r="AJ111" s="21" t="n">
        <v>3625.06338597443</v>
      </c>
      <c r="AK111" s="21" t="n">
        <v>128564.4957219571</v>
      </c>
      <c r="AL111" s="25" t="n">
        <v>6668321.996871885</v>
      </c>
      <c r="AM111" s="25" t="n">
        <v>59366828.1996566</v>
      </c>
      <c r="AN111" s="21" t="n">
        <v>49472.35683304717</v>
      </c>
      <c r="AO111" s="21" t="n">
        <v>32862.08206502553</v>
      </c>
      <c r="AP111" s="21" t="n">
        <v>1165468.450954523</v>
      </c>
      <c r="AQ111" s="25" t="n">
        <v>60449962.21171305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 t="n">
        <v>30128085.45175034</v>
      </c>
      <c r="J112" s="19" t="n">
        <v>25106.73787645862</v>
      </c>
      <c r="K112" s="19" t="n">
        <v>16677.18567089034</v>
      </c>
      <c r="L112" s="19" t="n">
        <v>357725.1864341334</v>
      </c>
      <c r="M112" s="24" t="n">
        <v>30444026.71463712</v>
      </c>
      <c r="N112" s="24" t="n">
        <v>3705489.278921522</v>
      </c>
      <c r="O112" s="19" t="n">
        <v>3087.907732434602</v>
      </c>
      <c r="P112" s="19" t="n">
        <v>2051.147020444925</v>
      </c>
      <c r="Q112" s="19" t="n">
        <v>43997.04870907668</v>
      </c>
      <c r="R112" s="24" t="n">
        <v>3744347.27287772</v>
      </c>
      <c r="S112" s="24" t="n">
        <v>9318489.274744064</v>
      </c>
      <c r="T112" s="19" t="n">
        <v>7765.407728953387</v>
      </c>
      <c r="U112" s="19" t="n">
        <v>5158.182920583772</v>
      </c>
      <c r="V112" s="19" t="n">
        <v>110642.8856367516</v>
      </c>
      <c r="W112" s="24" t="n">
        <v>9416208.569731278</v>
      </c>
      <c r="X112" s="24" t="n">
        <v>8610133.563739259</v>
      </c>
      <c r="Y112" s="19" t="n">
        <v>7175.111303116049</v>
      </c>
      <c r="Z112" s="19" t="n">
        <v>4766.077695962659</v>
      </c>
      <c r="AA112" s="19" t="n">
        <v>102232.2390596006</v>
      </c>
      <c r="AB112" s="24" t="n">
        <v>8700424.613799782</v>
      </c>
      <c r="AC112" s="24" t="n">
        <v>2019442.645685977</v>
      </c>
      <c r="AD112" s="19" t="n">
        <v>1682.868871404981</v>
      </c>
      <c r="AE112" s="19" t="n">
        <v>1117.847996274268</v>
      </c>
      <c r="AF112" s="19" t="n">
        <v>23977.80961149944</v>
      </c>
      <c r="AG112" s="24" t="n">
        <v>2040619.738429797</v>
      </c>
      <c r="AH112" s="24" t="n">
        <v>6668321.996871885</v>
      </c>
      <c r="AI112" s="19" t="n">
        <v>5556.934997393238</v>
      </c>
      <c r="AJ112" s="19" t="n">
        <v>3691.201826721247</v>
      </c>
      <c r="AK112" s="19" t="n">
        <v>79176.18042321515</v>
      </c>
      <c r="AL112" s="24" t="n">
        <v>6738250.040470986</v>
      </c>
      <c r="AM112" s="24" t="n">
        <v>60449962.21171305</v>
      </c>
      <c r="AN112" s="19" t="n">
        <v>50374.96850976087</v>
      </c>
      <c r="AO112" s="19" t="n">
        <v>33461.64313087721</v>
      </c>
      <c r="AP112" s="19" t="n">
        <v>717751.3498742769</v>
      </c>
      <c r="AQ112" s="24" t="n">
        <v>61083876.94994669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 t="n">
        <v>30444026.71463712</v>
      </c>
      <c r="J113" s="21" t="n">
        <v>25370.0222621976</v>
      </c>
      <c r="K113" s="21" t="n">
        <v>16852.07269153082</v>
      </c>
      <c r="L113" s="21" t="n">
        <v>1178234.94336364</v>
      </c>
      <c r="M113" s="25" t="n">
        <v>31580039.56304704</v>
      </c>
      <c r="N113" s="25" t="n">
        <v>3744347.27287772</v>
      </c>
      <c r="O113" s="21" t="n">
        <v>3120.289394064767</v>
      </c>
      <c r="P113" s="21" t="n">
        <v>2072.65658437137</v>
      </c>
      <c r="Q113" s="21" t="n">
        <v>144912.5254798104</v>
      </c>
      <c r="R113" s="25" t="n">
        <v>3884066.852379094</v>
      </c>
      <c r="S113" s="25" t="n">
        <v>9416208.569731278</v>
      </c>
      <c r="T113" s="21" t="n">
        <v>7846.840474776066</v>
      </c>
      <c r="U113" s="21" t="n">
        <v>5212.274735635883</v>
      </c>
      <c r="V113" s="21" t="n">
        <v>364423.0796027862</v>
      </c>
      <c r="W113" s="25" t="n">
        <v>9767572.534123652</v>
      </c>
      <c r="X113" s="25" t="n">
        <v>8700424.613799782</v>
      </c>
      <c r="Y113" s="21" t="n">
        <v>7250.353844833153</v>
      </c>
      <c r="Z113" s="21" t="n">
        <v>4816.057659299211</v>
      </c>
      <c r="AA113" s="21" t="n">
        <v>336721.0388483656</v>
      </c>
      <c r="AB113" s="25" t="n">
        <v>9025079.241144015</v>
      </c>
      <c r="AC113" s="25" t="n">
        <v>2040619.738429797</v>
      </c>
      <c r="AD113" s="21" t="n">
        <v>1700.516448691498</v>
      </c>
      <c r="AE113" s="21" t="n">
        <v>1129.570424114031</v>
      </c>
      <c r="AF113" s="21" t="n">
        <v>78975.40967468619</v>
      </c>
      <c r="AG113" s="25" t="n">
        <v>2116765.061231677</v>
      </c>
      <c r="AH113" s="25" t="n">
        <v>6738250.040470986</v>
      </c>
      <c r="AI113" s="21" t="n">
        <v>5615.208367059156</v>
      </c>
      <c r="AJ113" s="21" t="n">
        <v>3729.909993842319</v>
      </c>
      <c r="AK113" s="21" t="n">
        <v>260781.5887570249</v>
      </c>
      <c r="AL113" s="25" t="n">
        <v>6989686.51086711</v>
      </c>
      <c r="AM113" s="25" t="n">
        <v>61083876.94994669</v>
      </c>
      <c r="AN113" s="21" t="n">
        <v>50903.23079162223</v>
      </c>
      <c r="AO113" s="21" t="n">
        <v>33812.54208879363</v>
      </c>
      <c r="AP113" s="21" t="n">
        <v>2364048.585726313</v>
      </c>
      <c r="AQ113" s="25" t="n">
        <v>63363209.76279259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 t="n">
        <v>31580039.56304704</v>
      </c>
      <c r="J114" s="19" t="n">
        <v>26316.69963587253</v>
      </c>
      <c r="K114" s="19" t="n">
        <v>17480.90445808267</v>
      </c>
      <c r="L114" s="19" t="n">
        <v>1135431.997011611</v>
      </c>
      <c r="M114" s="24" t="n">
        <v>32671673.9559647</v>
      </c>
      <c r="N114" s="24" t="n">
        <v>3884066.852379094</v>
      </c>
      <c r="O114" s="19" t="n">
        <v>3236.722376982578</v>
      </c>
      <c r="P114" s="19" t="n">
        <v>2149.997355756754</v>
      </c>
      <c r="Q114" s="19" t="n">
        <v>139648.1398928901</v>
      </c>
      <c r="R114" s="24" t="n">
        <v>4018328.272539244</v>
      </c>
      <c r="S114" s="24" t="n">
        <v>9767572.534123652</v>
      </c>
      <c r="T114" s="19" t="n">
        <v>8139.643778436377</v>
      </c>
      <c r="U114" s="19" t="n">
        <v>5406.769738699256</v>
      </c>
      <c r="V114" s="19" t="n">
        <v>351184.3095140731</v>
      </c>
      <c r="W114" s="24" t="n">
        <v>10105210.43012059</v>
      </c>
      <c r="X114" s="24" t="n">
        <v>9025079.241144015</v>
      </c>
      <c r="Y114" s="19" t="n">
        <v>7520.899367620013</v>
      </c>
      <c r="Z114" s="19" t="n">
        <v>4995.76790035666</v>
      </c>
      <c r="AA114" s="19" t="n">
        <v>324488.6291387362</v>
      </c>
      <c r="AB114" s="24" t="n">
        <v>9337051.203014774</v>
      </c>
      <c r="AC114" s="24" t="n">
        <v>2116765.061231677</v>
      </c>
      <c r="AD114" s="19" t="n">
        <v>1763.970884359731</v>
      </c>
      <c r="AE114" s="19" t="n">
        <v>1171.72012155732</v>
      </c>
      <c r="AF114" s="19" t="n">
        <v>76106.38916016577</v>
      </c>
      <c r="AG114" s="24" t="n">
        <v>2189935.759385926</v>
      </c>
      <c r="AH114" s="24" t="n">
        <v>6989686.51086711</v>
      </c>
      <c r="AI114" s="19" t="n">
        <v>5824.738759055925</v>
      </c>
      <c r="AJ114" s="19" t="n">
        <v>3869.090849125836</v>
      </c>
      <c r="AK114" s="19" t="n">
        <v>251307.9091517522</v>
      </c>
      <c r="AL114" s="24" t="n">
        <v>7231300.590410681</v>
      </c>
      <c r="AM114" s="24" t="n">
        <v>63363209.76279259</v>
      </c>
      <c r="AN114" s="19" t="n">
        <v>52802.67480232716</v>
      </c>
      <c r="AO114" s="19" t="n">
        <v>35074.25042357849</v>
      </c>
      <c r="AP114" s="19" t="n">
        <v>2278167.373869229</v>
      </c>
      <c r="AQ114" s="24" t="n">
        <v>65553500.21143591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 t="n">
        <v>32671673.9559647</v>
      </c>
      <c r="J115" s="21" t="n">
        <v>27226.39496330392</v>
      </c>
      <c r="K115" s="21" t="n">
        <v>18085.17084880879</v>
      </c>
      <c r="L115" s="21" t="n">
        <v>819242.7218962359</v>
      </c>
      <c r="M115" s="25" t="n">
        <v>33445605.11204882</v>
      </c>
      <c r="N115" s="25" t="n">
        <v>4018328.272539244</v>
      </c>
      <c r="O115" s="21" t="n">
        <v>3348.606893782704</v>
      </c>
      <c r="P115" s="21" t="n">
        <v>2224.316802176081</v>
      </c>
      <c r="Q115" s="21" t="n">
        <v>100759.6426159441</v>
      </c>
      <c r="R115" s="25" t="n">
        <v>4113514.99145923</v>
      </c>
      <c r="S115" s="25" t="n">
        <v>10105210.43012059</v>
      </c>
      <c r="T115" s="21" t="n">
        <v>8421.00869176716</v>
      </c>
      <c r="U115" s="21" t="n">
        <v>5593.666775023964</v>
      </c>
      <c r="V115" s="21" t="n">
        <v>253388.305394583</v>
      </c>
      <c r="W115" s="25" t="n">
        <v>10344584.06004838</v>
      </c>
      <c r="X115" s="25" t="n">
        <v>9337051.203014774</v>
      </c>
      <c r="Y115" s="21" t="n">
        <v>7780.876002512312</v>
      </c>
      <c r="Z115" s="21" t="n">
        <v>5168.457742881264</v>
      </c>
      <c r="AA115" s="21" t="n">
        <v>234126.7010791118</v>
      </c>
      <c r="AB115" s="25" t="n">
        <v>9558228.570348492</v>
      </c>
      <c r="AC115" s="25" t="n">
        <v>2189935.759385926</v>
      </c>
      <c r="AD115" s="21" t="n">
        <v>1824.946466154938</v>
      </c>
      <c r="AE115" s="21" t="n">
        <v>1212.223236856211</v>
      </c>
      <c r="AF115" s="21" t="n">
        <v>54912.67250999513</v>
      </c>
      <c r="AG115" s="25" t="n">
        <v>2241811.26219291</v>
      </c>
      <c r="AH115" s="25" t="n">
        <v>7231300.590410681</v>
      </c>
      <c r="AI115" s="21" t="n">
        <v>6026.083825342234</v>
      </c>
      <c r="AJ115" s="21" t="n">
        <v>4002.834590383557</v>
      </c>
      <c r="AK115" s="21" t="n">
        <v>181324.9724064523</v>
      </c>
      <c r="AL115" s="25" t="n">
        <v>7402596.644401407</v>
      </c>
      <c r="AM115" s="25" t="n">
        <v>65553500.21143591</v>
      </c>
      <c r="AN115" s="21" t="n">
        <v>54627.91684286326</v>
      </c>
      <c r="AO115" s="21" t="n">
        <v>36286.66999612987</v>
      </c>
      <c r="AP115" s="21" t="n">
        <v>1643755.015902322</v>
      </c>
      <c r="AQ115" s="25" t="n">
        <v>67106340.64049924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 t="n">
        <v>33445605.11204882</v>
      </c>
      <c r="J116" s="19" t="n">
        <v>27871.33759337401</v>
      </c>
      <c r="K116" s="19" t="n">
        <v>18513.5748908503</v>
      </c>
      <c r="L116" s="19" t="n">
        <v>670947.6470022701</v>
      </c>
      <c r="M116" s="24" t="n">
        <v>34070167.84656686</v>
      </c>
      <c r="N116" s="24" t="n">
        <v>4113514.99145923</v>
      </c>
      <c r="O116" s="19" t="n">
        <v>3427.929159549359</v>
      </c>
      <c r="P116" s="19" t="n">
        <v>2277.006727905803</v>
      </c>
      <c r="Q116" s="19" t="n">
        <v>82520.65391497004</v>
      </c>
      <c r="R116" s="24" t="n">
        <v>4190330.709486744</v>
      </c>
      <c r="S116" s="24" t="n">
        <v>10344584.06004838</v>
      </c>
      <c r="T116" s="19" t="n">
        <v>8620.486716706986</v>
      </c>
      <c r="U116" s="19" t="n">
        <v>5726.170331461828</v>
      </c>
      <c r="V116" s="19" t="n">
        <v>207521.2665776009</v>
      </c>
      <c r="W116" s="24" t="n">
        <v>10537758.66957782</v>
      </c>
      <c r="X116" s="24" t="n">
        <v>9558228.570348492</v>
      </c>
      <c r="Y116" s="19" t="n">
        <v>7965.19047529041</v>
      </c>
      <c r="Z116" s="19" t="n">
        <v>5290.888888634962</v>
      </c>
      <c r="AA116" s="19" t="n">
        <v>191746.2981249778</v>
      </c>
      <c r="AB116" s="24" t="n">
        <v>9736718.789109545</v>
      </c>
      <c r="AC116" s="24" t="n">
        <v>2241811.26219291</v>
      </c>
      <c r="AD116" s="19" t="n">
        <v>1868.176051827425</v>
      </c>
      <c r="AE116" s="19" t="n">
        <v>1240.938549466047</v>
      </c>
      <c r="AF116" s="19" t="n">
        <v>44972.66490925753</v>
      </c>
      <c r="AG116" s="24" t="n">
        <v>2283674.812500874</v>
      </c>
      <c r="AH116" s="24" t="n">
        <v>7402596.644401407</v>
      </c>
      <c r="AI116" s="19" t="n">
        <v>6168.830537001173</v>
      </c>
      <c r="AJ116" s="19" t="n">
        <v>4097.654292806043</v>
      </c>
      <c r="AK116" s="19" t="n">
        <v>148502.4649315956</v>
      </c>
      <c r="AL116" s="24" t="n">
        <v>7540832.624503195</v>
      </c>
      <c r="AM116" s="24" t="n">
        <v>67106340.64049924</v>
      </c>
      <c r="AN116" s="19" t="n">
        <v>55921.95053374937</v>
      </c>
      <c r="AO116" s="19" t="n">
        <v>37146.23368112498</v>
      </c>
      <c r="AP116" s="19" t="n">
        <v>1346210.995460672</v>
      </c>
      <c r="AQ116" s="24" t="n">
        <v>68359483.45174503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 t="n">
        <v>34070167.84656686</v>
      </c>
      <c r="J117" s="21" t="n">
        <v>28391.80653880572</v>
      </c>
      <c r="K117" s="21" t="n">
        <v>18859.29711416772</v>
      </c>
      <c r="L117" s="21" t="n">
        <v>1809666.014443017</v>
      </c>
      <c r="M117" s="25" t="n">
        <v>35832582.7573569</v>
      </c>
      <c r="N117" s="25" t="n">
        <v>4190330.709486744</v>
      </c>
      <c r="O117" s="21" t="n">
        <v>3491.94225790562</v>
      </c>
      <c r="P117" s="21" t="n">
        <v>2319.527517819229</v>
      </c>
      <c r="Q117" s="21" t="n">
        <v>222572.988439186</v>
      </c>
      <c r="R117" s="25" t="n">
        <v>4407092.228150206</v>
      </c>
      <c r="S117" s="25" t="n">
        <v>10537758.66957782</v>
      </c>
      <c r="T117" s="21" t="n">
        <v>8781.465557981513</v>
      </c>
      <c r="U117" s="21" t="n">
        <v>5833.100751424406</v>
      </c>
      <c r="V117" s="21" t="n">
        <v>559722.0365516584</v>
      </c>
      <c r="W117" s="25" t="n">
        <v>11082866.13982007</v>
      </c>
      <c r="X117" s="25" t="n">
        <v>9736718.789109545</v>
      </c>
      <c r="Y117" s="21" t="n">
        <v>8113.932324257955</v>
      </c>
      <c r="Z117" s="21" t="n">
        <v>5389.690869380904</v>
      </c>
      <c r="AA117" s="21" t="n">
        <v>517174.1203093554</v>
      </c>
      <c r="AB117" s="25" t="n">
        <v>10240389.28622526</v>
      </c>
      <c r="AC117" s="25" t="n">
        <v>2283674.812500874</v>
      </c>
      <c r="AD117" s="21" t="n">
        <v>1903.062343750729</v>
      </c>
      <c r="AE117" s="21" t="n">
        <v>1264.111817559922</v>
      </c>
      <c r="AF117" s="21" t="n">
        <v>121299.3347973423</v>
      </c>
      <c r="AG117" s="25" t="n">
        <v>2401806.973136906</v>
      </c>
      <c r="AH117" s="25" t="n">
        <v>7540832.624503195</v>
      </c>
      <c r="AI117" s="21" t="n">
        <v>6284.027187085996</v>
      </c>
      <c r="AJ117" s="21" t="n">
        <v>4174.173828381812</v>
      </c>
      <c r="AK117" s="21" t="n">
        <v>400537.7543962312</v>
      </c>
      <c r="AL117" s="25" t="n">
        <v>7930912.177883958</v>
      </c>
      <c r="AM117" s="25" t="n">
        <v>68359483.45174503</v>
      </c>
      <c r="AN117" s="21" t="n">
        <v>56966.23620978754</v>
      </c>
      <c r="AO117" s="21" t="n">
        <v>37839.90189873399</v>
      </c>
      <c r="AP117" s="21" t="n">
        <v>3630972.248936791</v>
      </c>
      <c r="AQ117" s="25" t="n">
        <v>71895649.5625733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 t="n">
        <v>35832582.7573569</v>
      </c>
      <c r="J118" s="19" t="n">
        <v>29860.48563113076</v>
      </c>
      <c r="K118" s="19" t="n">
        <v>19834.8692507863</v>
      </c>
      <c r="L118" s="19" t="n">
        <v>1547318.344462337</v>
      </c>
      <c r="M118" s="24" t="n">
        <v>37330205.74693732</v>
      </c>
      <c r="N118" s="24" t="n">
        <v>4407092.228150206</v>
      </c>
      <c r="O118" s="19" t="n">
        <v>3672.576856791839</v>
      </c>
      <c r="P118" s="19" t="n">
        <v>2439.514302204982</v>
      </c>
      <c r="Q118" s="19" t="n">
        <v>190306.5346009461</v>
      </c>
      <c r="R118" s="24" t="n">
        <v>4591286.671592155</v>
      </c>
      <c r="S118" s="24" t="n">
        <v>11082866.13982007</v>
      </c>
      <c r="T118" s="19" t="n">
        <v>9235.721783183391</v>
      </c>
      <c r="U118" s="19" t="n">
        <v>6134.841082929315</v>
      </c>
      <c r="V118" s="19" t="n">
        <v>478579.0129471819</v>
      </c>
      <c r="W118" s="24" t="n">
        <v>11546074.58990114</v>
      </c>
      <c r="X118" s="24" t="n">
        <v>10240389.28622526</v>
      </c>
      <c r="Y118" s="19" t="n">
        <v>8533.657738521049</v>
      </c>
      <c r="Z118" s="19" t="n">
        <v>5668.49406153198</v>
      </c>
      <c r="AA118" s="19" t="n">
        <v>442199.2772418477</v>
      </c>
      <c r="AB118" s="24" t="n">
        <v>10668386.41166705</v>
      </c>
      <c r="AC118" s="24" t="n">
        <v>2401806.973136906</v>
      </c>
      <c r="AD118" s="19" t="n">
        <v>2001.505810947422</v>
      </c>
      <c r="AE118" s="19" t="n">
        <v>1329.503028023184</v>
      </c>
      <c r="AF118" s="19" t="n">
        <v>103714.5442336075</v>
      </c>
      <c r="AG118" s="24" t="n">
        <v>2502190.508531543</v>
      </c>
      <c r="AH118" s="24" t="n">
        <v>7930912.177883958</v>
      </c>
      <c r="AI118" s="19" t="n">
        <v>6609.093481569966</v>
      </c>
      <c r="AJ118" s="19" t="n">
        <v>4390.099568122802</v>
      </c>
      <c r="AK118" s="19" t="n">
        <v>342471.7102938961</v>
      </c>
      <c r="AL118" s="24" t="n">
        <v>8262384.695128162</v>
      </c>
      <c r="AM118" s="24" t="n">
        <v>71895649.5625733</v>
      </c>
      <c r="AN118" s="19" t="n">
        <v>59913.04130214442</v>
      </c>
      <c r="AO118" s="19" t="n">
        <v>39797.32129359856</v>
      </c>
      <c r="AP118" s="19" t="n">
        <v>3104589.423779815</v>
      </c>
      <c r="AQ118" s="24" t="n">
        <v>74900528.62375738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 t="n">
        <v>37330205.74693732</v>
      </c>
      <c r="J119" s="21" t="n">
        <v>31108.50478911443</v>
      </c>
      <c r="K119" s="21" t="n">
        <v>20663.86771808769</v>
      </c>
      <c r="L119" s="21" t="n">
        <v>1786205.507114398</v>
      </c>
      <c r="M119" s="25" t="n">
        <v>39064638.88154452</v>
      </c>
      <c r="N119" s="25" t="n">
        <v>4591286.671592155</v>
      </c>
      <c r="O119" s="21" t="n">
        <v>3826.072226326796</v>
      </c>
      <c r="P119" s="21" t="n">
        <v>2541.473815621365</v>
      </c>
      <c r="Q119" s="21" t="n">
        <v>219687.5525715974</v>
      </c>
      <c r="R119" s="25" t="n">
        <v>4804606.678121803</v>
      </c>
      <c r="S119" s="25" t="n">
        <v>11546074.58990114</v>
      </c>
      <c r="T119" s="21" t="n">
        <v>9621.728824917616</v>
      </c>
      <c r="U119" s="21" t="n">
        <v>6391.246799074101</v>
      </c>
      <c r="V119" s="21" t="n">
        <v>552465.8009613851</v>
      </c>
      <c r="W119" s="25" t="n">
        <v>12082527.41523853</v>
      </c>
      <c r="X119" s="25" t="n">
        <v>10668386.41166705</v>
      </c>
      <c r="Y119" s="21" t="n">
        <v>8890.322009722546</v>
      </c>
      <c r="Z119" s="21" t="n">
        <v>5905.408801402565</v>
      </c>
      <c r="AA119" s="21" t="n">
        <v>510469.4758374728</v>
      </c>
      <c r="AB119" s="25" t="n">
        <v>11164060.1566934</v>
      </c>
      <c r="AC119" s="25" t="n">
        <v>2502190.508531543</v>
      </c>
      <c r="AD119" s="21" t="n">
        <v>2085.158757109619</v>
      </c>
      <c r="AE119" s="21" t="n">
        <v>1385.06961424911</v>
      </c>
      <c r="AF119" s="21" t="n">
        <v>119726.8104142475</v>
      </c>
      <c r="AG119" s="25" t="n">
        <v>2618447.090574432</v>
      </c>
      <c r="AH119" s="25" t="n">
        <v>8262384.695128162</v>
      </c>
      <c r="AI119" s="21" t="n">
        <v>6885.320579273469</v>
      </c>
      <c r="AJ119" s="21" t="n">
        <v>4573.583803247269</v>
      </c>
      <c r="AK119" s="21" t="n">
        <v>395345.1835862559</v>
      </c>
      <c r="AL119" s="25" t="n">
        <v>8646270.974331897</v>
      </c>
      <c r="AM119" s="25" t="n">
        <v>74900528.62375738</v>
      </c>
      <c r="AN119" s="21" t="n">
        <v>62417.10718646448</v>
      </c>
      <c r="AO119" s="21" t="n">
        <v>41460.65055168209</v>
      </c>
      <c r="AP119" s="21" t="n">
        <v>3583900.330485357</v>
      </c>
      <c r="AQ119" s="25" t="n">
        <v>78380551.19650458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 t="n">
        <v>39064638.88154452</v>
      </c>
      <c r="J120" s="19" t="n">
        <v>32553.86573462043</v>
      </c>
      <c r="K120" s="19" t="n">
        <v>21623.95074314125</v>
      </c>
      <c r="L120" s="19" t="n">
        <v>614583.0454594753</v>
      </c>
      <c r="M120" s="24" t="n">
        <v>39625044.11052623</v>
      </c>
      <c r="N120" s="24" t="n">
        <v>4804606.678121803</v>
      </c>
      <c r="O120" s="19" t="n">
        <v>4003.838898434836</v>
      </c>
      <c r="P120" s="19" t="n">
        <v>2659.555575642522</v>
      </c>
      <c r="Q120" s="19" t="n">
        <v>75588.30412918649</v>
      </c>
      <c r="R120" s="24" t="n">
        <v>4873531.587776911</v>
      </c>
      <c r="S120" s="24" t="n">
        <v>12082527.41523853</v>
      </c>
      <c r="T120" s="19" t="n">
        <v>10068.77284603211</v>
      </c>
      <c r="U120" s="19" t="n">
        <v>6688.196413949335</v>
      </c>
      <c r="V120" s="19" t="n">
        <v>190087.9339553568</v>
      </c>
      <c r="W120" s="24" t="n">
        <v>12255858.37993391</v>
      </c>
      <c r="X120" s="24" t="n">
        <v>11164060.1566934</v>
      </c>
      <c r="Y120" s="19" t="n">
        <v>9303.38346391117</v>
      </c>
      <c r="Z120" s="19" t="n">
        <v>6179.785448774617</v>
      </c>
      <c r="AA120" s="19" t="n">
        <v>175638.1803911902</v>
      </c>
      <c r="AB120" s="24" t="n">
        <v>11324215.16817191</v>
      </c>
      <c r="AC120" s="24" t="n">
        <v>2618447.090574432</v>
      </c>
      <c r="AD120" s="19" t="n">
        <v>2182.03924214536</v>
      </c>
      <c r="AE120" s="19" t="n">
        <v>1449.422611630818</v>
      </c>
      <c r="AF120" s="19" t="n">
        <v>41194.62596798773</v>
      </c>
      <c r="AG120" s="24" t="n">
        <v>2656010.254688643</v>
      </c>
      <c r="AH120" s="24" t="n">
        <v>8646270.974331897</v>
      </c>
      <c r="AI120" s="19" t="n">
        <v>7205.225811943248</v>
      </c>
      <c r="AJ120" s="19" t="n">
        <v>4786.081300475922</v>
      </c>
      <c r="AK120" s="19" t="n">
        <v>136027.1513935128</v>
      </c>
      <c r="AL120" s="24" t="n">
        <v>8770306.818612989</v>
      </c>
      <c r="AM120" s="24" t="n">
        <v>78380551.19650458</v>
      </c>
      <c r="AN120" s="19" t="n">
        <v>65317.12599708716</v>
      </c>
      <c r="AO120" s="19" t="n">
        <v>43386.99209361446</v>
      </c>
      <c r="AP120" s="19" t="n">
        <v>1233119.241296709</v>
      </c>
      <c r="AQ120" s="24" t="n">
        <v>79504966.3197106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 t="n">
        <v>39625044.11052623</v>
      </c>
      <c r="J121" s="21" t="n">
        <v>33020.87009210519</v>
      </c>
      <c r="K121" s="21" t="n">
        <v>21934.15903930508</v>
      </c>
      <c r="L121" s="21" t="n">
        <v>1479075.365077744</v>
      </c>
      <c r="M121" s="25" t="n">
        <v>41049164.44647256</v>
      </c>
      <c r="N121" s="25" t="n">
        <v>4873531.587776911</v>
      </c>
      <c r="O121" s="21" t="n">
        <v>4061.276323147426</v>
      </c>
      <c r="P121" s="21" t="n">
        <v>2697.708465161787</v>
      </c>
      <c r="Q121" s="21" t="n">
        <v>181913.2489115436</v>
      </c>
      <c r="R121" s="25" t="n">
        <v>5048685.851900146</v>
      </c>
      <c r="S121" s="25" t="n">
        <v>12255858.37993391</v>
      </c>
      <c r="T121" s="21" t="n">
        <v>10213.21531661159</v>
      </c>
      <c r="U121" s="21" t="n">
        <v>6784.142526601221</v>
      </c>
      <c r="V121" s="21" t="n">
        <v>457471.7483488281</v>
      </c>
      <c r="W121" s="25" t="n">
        <v>12696332.77043952</v>
      </c>
      <c r="X121" s="25" t="n">
        <v>11324215.16817191</v>
      </c>
      <c r="Y121" s="21" t="n">
        <v>9436.845973476589</v>
      </c>
      <c r="Z121" s="21" t="n">
        <v>6268.438107000379</v>
      </c>
      <c r="AA121" s="21" t="n">
        <v>422696.5057089586</v>
      </c>
      <c r="AB121" s="25" t="n">
        <v>11731206.38980039</v>
      </c>
      <c r="AC121" s="25" t="n">
        <v>2656010.254688643</v>
      </c>
      <c r="AD121" s="21" t="n">
        <v>2213.341878907203</v>
      </c>
      <c r="AE121" s="21" t="n">
        <v>1470.215431782701</v>
      </c>
      <c r="AF121" s="21" t="n">
        <v>99140.31454819914</v>
      </c>
      <c r="AG121" s="25" t="n">
        <v>2751467.011926152</v>
      </c>
      <c r="AH121" s="25" t="n">
        <v>8770306.818612989</v>
      </c>
      <c r="AI121" s="21" t="n">
        <v>7308.589015510825</v>
      </c>
      <c r="AJ121" s="21" t="n">
        <v>4854.740452689036</v>
      </c>
      <c r="AK121" s="21" t="n">
        <v>327367.3266684866</v>
      </c>
      <c r="AL121" s="25" t="n">
        <v>9085510.815813277</v>
      </c>
      <c r="AM121" s="25" t="n">
        <v>79504966.3197106</v>
      </c>
      <c r="AN121" s="21" t="n">
        <v>66254.13859975882</v>
      </c>
      <c r="AO121" s="21" t="n">
        <v>44009.40402254021</v>
      </c>
      <c r="AP121" s="21" t="n">
        <v>2967664.509263759</v>
      </c>
      <c r="AQ121" s="25" t="n">
        <v>82362367.28635204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 t="n">
        <v>41049164.44647256</v>
      </c>
      <c r="J122" s="19" t="n">
        <v>34207.63703872713</v>
      </c>
      <c r="K122" s="19" t="n">
        <v>22722.47063973198</v>
      </c>
      <c r="L122" s="19" t="n">
        <v>2053831.477601058</v>
      </c>
      <c r="M122" s="24" t="n">
        <v>43046065.81639515</v>
      </c>
      <c r="N122" s="24" t="n">
        <v>5048685.851900146</v>
      </c>
      <c r="O122" s="19" t="n">
        <v>4207.238209916789</v>
      </c>
      <c r="P122" s="19" t="n">
        <v>2794.663852138148</v>
      </c>
      <c r="Q122" s="19" t="n">
        <v>252603.190904722</v>
      </c>
      <c r="R122" s="24" t="n">
        <v>5294287.140742812</v>
      </c>
      <c r="S122" s="24" t="n">
        <v>12696332.77043952</v>
      </c>
      <c r="T122" s="19" t="n">
        <v>10580.2773086996</v>
      </c>
      <c r="U122" s="19" t="n">
        <v>7027.963967080695</v>
      </c>
      <c r="V122" s="19" t="n">
        <v>635241.380565234</v>
      </c>
      <c r="W122" s="24" t="n">
        <v>13313965.90972898</v>
      </c>
      <c r="X122" s="24" t="n">
        <v>11731206.38980039</v>
      </c>
      <c r="Y122" s="19" t="n">
        <v>9776.005324833657</v>
      </c>
      <c r="Z122" s="19" t="n">
        <v>6493.725179436187</v>
      </c>
      <c r="AA122" s="19" t="n">
        <v>586952.7742769233</v>
      </c>
      <c r="AB122" s="24" t="n">
        <v>12301889.43357304</v>
      </c>
      <c r="AC122" s="24" t="n">
        <v>2751467.011926152</v>
      </c>
      <c r="AD122" s="19" t="n">
        <v>2292.889176605127</v>
      </c>
      <c r="AE122" s="19" t="n">
        <v>1523.054835286801</v>
      </c>
      <c r="AF122" s="19" t="n">
        <v>137665.397941138</v>
      </c>
      <c r="AG122" s="24" t="n">
        <v>2885316.465855398</v>
      </c>
      <c r="AH122" s="24" t="n">
        <v>9085510.815813277</v>
      </c>
      <c r="AI122" s="19" t="n">
        <v>7571.259013177732</v>
      </c>
      <c r="AJ122" s="19" t="n">
        <v>5029.21936519526</v>
      </c>
      <c r="AK122" s="19" t="n">
        <v>454579.486701481</v>
      </c>
      <c r="AL122" s="24" t="n">
        <v>9527489.824136386</v>
      </c>
      <c r="AM122" s="24" t="n">
        <v>82362367.28635204</v>
      </c>
      <c r="AN122" s="19" t="n">
        <v>68635.30607196003</v>
      </c>
      <c r="AO122" s="19" t="n">
        <v>45591.09783886907</v>
      </c>
      <c r="AP122" s="19" t="n">
        <v>4120873.707990557</v>
      </c>
      <c r="AQ122" s="24" t="n">
        <v>86369014.59043176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 t="n">
        <v>43046065.81639515</v>
      </c>
      <c r="J123" s="21" t="n">
        <v>35871.72151366263</v>
      </c>
      <c r="K123" s="21" t="n">
        <v>23827.84107443777</v>
      </c>
      <c r="L123" s="21" t="n">
        <v>889093.0629383909</v>
      </c>
      <c r="M123" s="25" t="n">
        <v>43875459.31674544</v>
      </c>
      <c r="N123" s="25" t="n">
        <v>5294287.140742812</v>
      </c>
      <c r="O123" s="21" t="n">
        <v>4411.905950619011</v>
      </c>
      <c r="P123" s="21" t="n">
        <v>2930.614684513431</v>
      </c>
      <c r="Q123" s="21" t="n">
        <v>109350.6196388694</v>
      </c>
      <c r="R123" s="25" t="n">
        <v>5396295.239746549</v>
      </c>
      <c r="S123" s="25" t="n">
        <v>13313965.90972898</v>
      </c>
      <c r="T123" s="21" t="n">
        <v>11094.97159144081</v>
      </c>
      <c r="U123" s="21" t="n">
        <v>7369.850362647415</v>
      </c>
      <c r="V123" s="21" t="n">
        <v>274992.7201484162</v>
      </c>
      <c r="W123" s="25" t="n">
        <v>13570493.8079233</v>
      </c>
      <c r="X123" s="25" t="n">
        <v>12301889.43357304</v>
      </c>
      <c r="Y123" s="21" t="n">
        <v>10251.57452797754</v>
      </c>
      <c r="Z123" s="21" t="n">
        <v>6809.622686281331</v>
      </c>
      <c r="AA123" s="21" t="n">
        <v>254088.8313249538</v>
      </c>
      <c r="AB123" s="25" t="n">
        <v>12538917.06768374</v>
      </c>
      <c r="AC123" s="25" t="n">
        <v>2885316.465855398</v>
      </c>
      <c r="AD123" s="21" t="n">
        <v>2404.430388212832</v>
      </c>
      <c r="AE123" s="21" t="n">
        <v>1597.14624075298</v>
      </c>
      <c r="AF123" s="21" t="n">
        <v>59594.64135737316</v>
      </c>
      <c r="AG123" s="25" t="n">
        <v>2940909.530583805</v>
      </c>
      <c r="AH123" s="25" t="n">
        <v>9527489.824136386</v>
      </c>
      <c r="AI123" s="21" t="n">
        <v>7939.574853446989</v>
      </c>
      <c r="AJ123" s="21" t="n">
        <v>5273.87367607887</v>
      </c>
      <c r="AK123" s="21" t="n">
        <v>196785.1172738172</v>
      </c>
      <c r="AL123" s="25" t="n">
        <v>9711061.492880678</v>
      </c>
      <c r="AM123" s="25" t="n">
        <v>86369014.59043176</v>
      </c>
      <c r="AN123" s="21" t="n">
        <v>71974.17882535981</v>
      </c>
      <c r="AO123" s="21" t="n">
        <v>47808.94872471179</v>
      </c>
      <c r="AP123" s="21" t="n">
        <v>1783904.992681821</v>
      </c>
      <c r="AQ123" s="25" t="n">
        <v>88033136.4555635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 t="n">
        <v>43875459.31674544</v>
      </c>
      <c r="J124" s="19" t="n">
        <v>36562.88276395453</v>
      </c>
      <c r="K124" s="19" t="n">
        <v>24286.94589945969</v>
      </c>
      <c r="L124" s="19" t="n">
        <v>388886.4375151086</v>
      </c>
      <c r="M124" s="24" t="n">
        <v>44203495.92559714</v>
      </c>
      <c r="N124" s="24" t="n">
        <v>5396295.239746549</v>
      </c>
      <c r="O124" s="19" t="n">
        <v>4496.912699788792</v>
      </c>
      <c r="P124" s="19" t="n">
        <v>2987.080536276377</v>
      </c>
      <c r="Q124" s="19" t="n">
        <v>47829.60826495203</v>
      </c>
      <c r="R124" s="24" t="n">
        <v>5436640.854775436</v>
      </c>
      <c r="S124" s="24" t="n">
        <v>13570493.8079233</v>
      </c>
      <c r="T124" s="19" t="n">
        <v>11308.74483993609</v>
      </c>
      <c r="U124" s="19" t="n">
        <v>7511.849541280969</v>
      </c>
      <c r="V124" s="19" t="n">
        <v>120280.928666426</v>
      </c>
      <c r="W124" s="24" t="n">
        <v>13671954.14220851</v>
      </c>
      <c r="X124" s="24" t="n">
        <v>12538917.06768374</v>
      </c>
      <c r="Y124" s="19" t="n">
        <v>10449.09755640312</v>
      </c>
      <c r="Z124" s="19" t="n">
        <v>6940.827633556408</v>
      </c>
      <c r="AA124" s="19" t="n">
        <v>111137.6351309871</v>
      </c>
      <c r="AB124" s="24" t="n">
        <v>12632664.77762477</v>
      </c>
      <c r="AC124" s="24" t="n">
        <v>2940909.530583805</v>
      </c>
      <c r="AD124" s="19" t="n">
        <v>2450.757942153171</v>
      </c>
      <c r="AE124" s="19" t="n">
        <v>1627.919383107952</v>
      </c>
      <c r="AF124" s="19" t="n">
        <v>26066.50387740719</v>
      </c>
      <c r="AG124" s="24" t="n">
        <v>2962897.357135952</v>
      </c>
      <c r="AH124" s="24" t="n">
        <v>9711061.492880678</v>
      </c>
      <c r="AI124" s="19" t="n">
        <v>8092.551244067232</v>
      </c>
      <c r="AJ124" s="19" t="n">
        <v>5375.488457026919</v>
      </c>
      <c r="AK124" s="19" t="n">
        <v>86073.17546679644</v>
      </c>
      <c r="AL124" s="24" t="n">
        <v>9783666.628646379</v>
      </c>
      <c r="AM124" s="24" t="n">
        <v>88033136.4555635</v>
      </c>
      <c r="AN124" s="19" t="n">
        <v>73360.94704630293</v>
      </c>
      <c r="AO124" s="19" t="n">
        <v>48730.11145070833</v>
      </c>
      <c r="AP124" s="19" t="n">
        <v>780274.2889216773</v>
      </c>
      <c r="AQ124" s="24" t="n">
        <v>88691319.68598819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 t="n">
        <v>44203495.92559714</v>
      </c>
      <c r="J125" s="21" t="n">
        <v>36836.24660466429</v>
      </c>
      <c r="K125" s="21" t="n">
        <v>24468.52821213038</v>
      </c>
      <c r="L125" s="21" t="n">
        <v>2086163.412233618</v>
      </c>
      <c r="M125" s="25" t="n">
        <v>46228354.56301396</v>
      </c>
      <c r="N125" s="25" t="n">
        <v>5436640.854775436</v>
      </c>
      <c r="O125" s="21" t="n">
        <v>4530.534045646197</v>
      </c>
      <c r="P125" s="21" t="n">
        <v>3009.413562180747</v>
      </c>
      <c r="Q125" s="21" t="n">
        <v>256579.7342313667</v>
      </c>
      <c r="R125" s="25" t="n">
        <v>5685680.641398977</v>
      </c>
      <c r="S125" s="25" t="n">
        <v>13671954.14220851</v>
      </c>
      <c r="T125" s="21" t="n">
        <v>11393.29511850709</v>
      </c>
      <c r="U125" s="21" t="n">
        <v>7568.012181811674</v>
      </c>
      <c r="V125" s="21" t="n">
        <v>645241.5110610046</v>
      </c>
      <c r="W125" s="25" t="n">
        <v>14298234.3459692</v>
      </c>
      <c r="X125" s="25" t="n">
        <v>12632664.77762477</v>
      </c>
      <c r="Y125" s="21" t="n">
        <v>10527.22064802064</v>
      </c>
      <c r="Z125" s="21" t="n">
        <v>6992.721006184122</v>
      </c>
      <c r="AA125" s="21" t="n">
        <v>596192.7333180064</v>
      </c>
      <c r="AB125" s="25" t="n">
        <v>13211337.56928857</v>
      </c>
      <c r="AC125" s="25" t="n">
        <v>2962897.357135952</v>
      </c>
      <c r="AD125" s="21" t="n">
        <v>2469.081130946626</v>
      </c>
      <c r="AE125" s="21" t="n">
        <v>1640.090586834015</v>
      </c>
      <c r="AF125" s="21" t="n">
        <v>139832.5614576876</v>
      </c>
      <c r="AG125" s="25" t="n">
        <v>3098620.746875858</v>
      </c>
      <c r="AH125" s="25" t="n">
        <v>9783666.628646379</v>
      </c>
      <c r="AI125" s="21" t="n">
        <v>8153.055523871983</v>
      </c>
      <c r="AJ125" s="21" t="n">
        <v>5415.678509320947</v>
      </c>
      <c r="AK125" s="21" t="n">
        <v>461735.591966019</v>
      </c>
      <c r="AL125" s="25" t="n">
        <v>10231833.48657921</v>
      </c>
      <c r="AM125" s="25" t="n">
        <v>88691319.68598819</v>
      </c>
      <c r="AN125" s="21" t="n">
        <v>73909.43307165682</v>
      </c>
      <c r="AO125" s="21" t="n">
        <v>49094.44405846189</v>
      </c>
      <c r="AP125" s="21" t="n">
        <v>4185745.544267702</v>
      </c>
      <c r="AQ125" s="25" t="n">
        <v>92754061.35312577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 t="n">
        <v>46228354.56301396</v>
      </c>
      <c r="J126" s="19" t="n">
        <v>38523.62880251164</v>
      </c>
      <c r="K126" s="19" t="n">
        <v>25589.37419179235</v>
      </c>
      <c r="L126" s="19" t="n">
        <v>1269981.077567535</v>
      </c>
      <c r="M126" s="24" t="n">
        <v>47434222.6375872</v>
      </c>
      <c r="N126" s="24" t="n">
        <v>5685680.641398977</v>
      </c>
      <c r="O126" s="19" t="n">
        <v>4738.067201165814</v>
      </c>
      <c r="P126" s="19" t="n">
        <v>3147.267750347171</v>
      </c>
      <c r="Q126" s="19" t="n">
        <v>156196.4923027096</v>
      </c>
      <c r="R126" s="24" t="n">
        <v>5833991.798750173</v>
      </c>
      <c r="S126" s="24" t="n">
        <v>14298234.3459692</v>
      </c>
      <c r="T126" s="19" t="n">
        <v>11915.19528830767</v>
      </c>
      <c r="U126" s="19" t="n">
        <v>7914.685097913391</v>
      </c>
      <c r="V126" s="19" t="n">
        <v>392799.770479722</v>
      </c>
      <c r="W126" s="24" t="n">
        <v>14671204.2360627</v>
      </c>
      <c r="X126" s="24" t="n">
        <v>13211337.56928857</v>
      </c>
      <c r="Y126" s="19" t="n">
        <v>11009.44797440714</v>
      </c>
      <c r="Z126" s="19" t="n">
        <v>7313.041180684589</v>
      </c>
      <c r="AA126" s="19" t="n">
        <v>362940.6428360589</v>
      </c>
      <c r="AB126" s="24" t="n">
        <v>13555955.72296953</v>
      </c>
      <c r="AC126" s="24" t="n">
        <v>3098620.746875858</v>
      </c>
      <c r="AD126" s="19" t="n">
        <v>2582.183955729882</v>
      </c>
      <c r="AE126" s="19" t="n">
        <v>1715.219296031284</v>
      </c>
      <c r="AF126" s="19" t="n">
        <v>85125.02234373182</v>
      </c>
      <c r="AG126" s="24" t="n">
        <v>3179448.365967829</v>
      </c>
      <c r="AH126" s="24" t="n">
        <v>10231833.48657921</v>
      </c>
      <c r="AI126" s="19" t="n">
        <v>8526.527905482671</v>
      </c>
      <c r="AJ126" s="19" t="n">
        <v>5663.758059986556</v>
      </c>
      <c r="AK126" s="19" t="n">
        <v>281087.9824646359</v>
      </c>
      <c r="AL126" s="24" t="n">
        <v>10498731.18307837</v>
      </c>
      <c r="AM126" s="24" t="n">
        <v>92754061.35312577</v>
      </c>
      <c r="AN126" s="19" t="n">
        <v>77295.05112760481</v>
      </c>
      <c r="AO126" s="19" t="n">
        <v>51343.34557675533</v>
      </c>
      <c r="AP126" s="19" t="n">
        <v>2548130.987994393</v>
      </c>
      <c r="AQ126" s="24" t="n">
        <v>95173553.94441581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 t="n">
        <v>47434222.6375872</v>
      </c>
      <c r="J127" s="21" t="n">
        <v>39528.518864656</v>
      </c>
      <c r="K127" s="21" t="n">
        <v>26256.87381789582</v>
      </c>
      <c r="L127" s="21" t="n">
        <v>1999930.747027454</v>
      </c>
      <c r="M127" s="25" t="n">
        <v>49368367.9919321</v>
      </c>
      <c r="N127" s="25" t="n">
        <v>5833991.798750173</v>
      </c>
      <c r="O127" s="21" t="n">
        <v>4861.659832291812</v>
      </c>
      <c r="P127" s="21" t="n">
        <v>3229.364328046131</v>
      </c>
      <c r="Q127" s="21" t="n">
        <v>245973.8755575391</v>
      </c>
      <c r="R127" s="25" t="n">
        <v>6071874.650147374</v>
      </c>
      <c r="S127" s="25" t="n">
        <v>14671204.2360627</v>
      </c>
      <c r="T127" s="21" t="n">
        <v>12226.00353005225</v>
      </c>
      <c r="U127" s="21" t="n">
        <v>8121.139906225133</v>
      </c>
      <c r="V127" s="21" t="n">
        <v>618570.1128022895</v>
      </c>
      <c r="W127" s="25" t="n">
        <v>15269427.20542871</v>
      </c>
      <c r="X127" s="25" t="n">
        <v>13555955.72296953</v>
      </c>
      <c r="Y127" s="21" t="n">
        <v>11296.62976914128</v>
      </c>
      <c r="Z127" s="21" t="n">
        <v>7503.802088598935</v>
      </c>
      <c r="AA127" s="21" t="n">
        <v>571548.7921631214</v>
      </c>
      <c r="AB127" s="25" t="n">
        <v>14108704.08327491</v>
      </c>
      <c r="AC127" s="25" t="n">
        <v>3179448.365967829</v>
      </c>
      <c r="AD127" s="21" t="n">
        <v>2649.540304973191</v>
      </c>
      <c r="AE127" s="21" t="n">
        <v>1759.960845011937</v>
      </c>
      <c r="AF127" s="21" t="n">
        <v>134052.5087607655</v>
      </c>
      <c r="AG127" s="25" t="n">
        <v>3309091.37357861</v>
      </c>
      <c r="AH127" s="25" t="n">
        <v>10498731.18307837</v>
      </c>
      <c r="AI127" s="21" t="n">
        <v>8748.942652565311</v>
      </c>
      <c r="AJ127" s="21" t="n">
        <v>5811.497366115979</v>
      </c>
      <c r="AK127" s="21" t="n">
        <v>442649.5076821689</v>
      </c>
      <c r="AL127" s="25" t="n">
        <v>10926820.25074186</v>
      </c>
      <c r="AM127" s="25" t="n">
        <v>95173553.94441581</v>
      </c>
      <c r="AN127" s="21" t="n">
        <v>79311.29495367986</v>
      </c>
      <c r="AO127" s="21" t="n">
        <v>52682.63835189394</v>
      </c>
      <c r="AP127" s="21" t="n">
        <v>4012725.543993339</v>
      </c>
      <c r="AQ127" s="25" t="n">
        <v>99054285.55510357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 t="n">
        <v>49368367.9919321</v>
      </c>
      <c r="J128" s="19" t="n">
        <v>41140.30665994342</v>
      </c>
      <c r="K128" s="19" t="n">
        <v>27327.50611016536</v>
      </c>
      <c r="L128" s="19" t="n">
        <v>2710242.425798683</v>
      </c>
      <c r="M128" s="24" t="n">
        <v>52010142.60496067</v>
      </c>
      <c r="N128" s="24" t="n">
        <v>6071874.650147374</v>
      </c>
      <c r="O128" s="19" t="n">
        <v>5059.895541789479</v>
      </c>
      <c r="P128" s="19" t="n">
        <v>3361.042674717889</v>
      </c>
      <c r="Q128" s="19" t="n">
        <v>333335.9588400871</v>
      </c>
      <c r="R128" s="24" t="n">
        <v>6396789.670770953</v>
      </c>
      <c r="S128" s="24" t="n">
        <v>15269427.20542871</v>
      </c>
      <c r="T128" s="19" t="n">
        <v>12724.52267119059</v>
      </c>
      <c r="U128" s="19" t="n">
        <v>8452.281941409738</v>
      </c>
      <c r="V128" s="19" t="n">
        <v>838266.5077476447</v>
      </c>
      <c r="W128" s="24" t="n">
        <v>16086516.90856376</v>
      </c>
      <c r="X128" s="24" t="n">
        <v>14108704.08327491</v>
      </c>
      <c r="Y128" s="19" t="n">
        <v>11757.25340272909</v>
      </c>
      <c r="Z128" s="19" t="n">
        <v>7809.771980009923</v>
      </c>
      <c r="AA128" s="19" t="n">
        <v>774544.7122290884</v>
      </c>
      <c r="AB128" s="24" t="n">
        <v>14863681.77012126</v>
      </c>
      <c r="AC128" s="24" t="n">
        <v>3309091.37357861</v>
      </c>
      <c r="AD128" s="19" t="n">
        <v>2757.576144648842</v>
      </c>
      <c r="AE128" s="19" t="n">
        <v>1831.723802280503</v>
      </c>
      <c r="AF128" s="19" t="n">
        <v>181663.6886393092</v>
      </c>
      <c r="AG128" s="24" t="n">
        <v>3486165.76227099</v>
      </c>
      <c r="AH128" s="24" t="n">
        <v>10926820.25074186</v>
      </c>
      <c r="AI128" s="19" t="n">
        <v>9105.683542284885</v>
      </c>
      <c r="AJ128" s="19" t="n">
        <v>6048.462999944117</v>
      </c>
      <c r="AK128" s="19" t="n">
        <v>599864.5089397415</v>
      </c>
      <c r="AL128" s="24" t="n">
        <v>11511530.61313937</v>
      </c>
      <c r="AM128" s="24" t="n">
        <v>99054285.55510357</v>
      </c>
      <c r="AN128" s="19" t="n">
        <v>82545.23796258631</v>
      </c>
      <c r="AO128" s="19" t="n">
        <v>54830.78950852752</v>
      </c>
      <c r="AP128" s="19" t="n">
        <v>5437917.802194554</v>
      </c>
      <c r="AQ128" s="24" t="n">
        <v>104354827.329827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 t="n">
        <v>52010142.60496067</v>
      </c>
      <c r="J129" s="21" t="n">
        <v>43341.7855041339</v>
      </c>
      <c r="K129" s="21" t="n">
        <v>28789.84150458261</v>
      </c>
      <c r="L129" s="21" t="n">
        <v>2786512.032411168</v>
      </c>
      <c r="M129" s="25" t="n">
        <v>54724523.01036312</v>
      </c>
      <c r="N129" s="25" t="n">
        <v>6396789.670770953</v>
      </c>
      <c r="O129" s="21" t="n">
        <v>5330.658058975795</v>
      </c>
      <c r="P129" s="21" t="n">
        <v>3540.897054607992</v>
      </c>
      <c r="Q129" s="21" t="n">
        <v>342716.4490163623</v>
      </c>
      <c r="R129" s="25" t="n">
        <v>6730634.564673732</v>
      </c>
      <c r="S129" s="25" t="n">
        <v>16086516.90856376</v>
      </c>
      <c r="T129" s="21" t="n">
        <v>13405.43075713646</v>
      </c>
      <c r="U129" s="21" t="n">
        <v>8904.576087706515</v>
      </c>
      <c r="V129" s="21" t="n">
        <v>861856.3741646658</v>
      </c>
      <c r="W129" s="25" t="n">
        <v>16926063.27588358</v>
      </c>
      <c r="X129" s="25" t="n">
        <v>14863681.77012126</v>
      </c>
      <c r="Y129" s="21" t="n">
        <v>12386.40147510105</v>
      </c>
      <c r="Z129" s="21" t="n">
        <v>8227.68446505913</v>
      </c>
      <c r="AA129" s="21" t="n">
        <v>796341.3677397423</v>
      </c>
      <c r="AB129" s="25" t="n">
        <v>15639409.05192084</v>
      </c>
      <c r="AC129" s="25" t="n">
        <v>3486165.76227099</v>
      </c>
      <c r="AD129" s="21" t="n">
        <v>2905.138135225825</v>
      </c>
      <c r="AE129" s="21" t="n">
        <v>1929.742060444021</v>
      </c>
      <c r="AF129" s="21" t="n">
        <v>186775.9317126239</v>
      </c>
      <c r="AG129" s="25" t="n">
        <v>3668106.813787944</v>
      </c>
      <c r="AH129" s="25" t="n">
        <v>11511530.61313937</v>
      </c>
      <c r="AI129" s="21" t="n">
        <v>9592.942177616145</v>
      </c>
      <c r="AJ129" s="21" t="n">
        <v>6372.125228432333</v>
      </c>
      <c r="AK129" s="21" t="n">
        <v>616745.4453763198</v>
      </c>
      <c r="AL129" s="25" t="n">
        <v>12112310.99110964</v>
      </c>
      <c r="AM129" s="25" t="n">
        <v>104354827.329827</v>
      </c>
      <c r="AN129" s="21" t="n">
        <v>86962.35610818918</v>
      </c>
      <c r="AO129" s="21" t="n">
        <v>57764.86640083259</v>
      </c>
      <c r="AP129" s="21" t="n">
        <v>5590947.600420883</v>
      </c>
      <c r="AQ129" s="25" t="n">
        <v>109801047.7077389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 t="n">
        <v>54724523.01036312</v>
      </c>
      <c r="J130" s="19" t="n">
        <v>45603.76917530261</v>
      </c>
      <c r="K130" s="19" t="n">
        <v>30292.36731475463</v>
      </c>
      <c r="L130" s="19" t="n">
        <v>2978162.937893965</v>
      </c>
      <c r="M130" s="24" t="n">
        <v>57626789.81176703</v>
      </c>
      <c r="N130" s="24" t="n">
        <v>6730634.564673732</v>
      </c>
      <c r="O130" s="19" t="n">
        <v>5608.86213722811</v>
      </c>
      <c r="P130" s="19" t="n">
        <v>3725.694501820884</v>
      </c>
      <c r="Q130" s="19" t="n">
        <v>366287.8231980844</v>
      </c>
      <c r="R130" s="24" t="n">
        <v>7087587.831232768</v>
      </c>
      <c r="S130" s="24" t="n">
        <v>16926063.27588358</v>
      </c>
      <c r="T130" s="19" t="n">
        <v>14105.05272990298</v>
      </c>
      <c r="U130" s="19" t="n">
        <v>9369.300959439139</v>
      </c>
      <c r="V130" s="19" t="n">
        <v>921133.1878240175</v>
      </c>
      <c r="W130" s="24" t="n">
        <v>17823722.11001825</v>
      </c>
      <c r="X130" s="24" t="n">
        <v>15639409.05192084</v>
      </c>
      <c r="Y130" s="19" t="n">
        <v>13032.8408766007</v>
      </c>
      <c r="Z130" s="19" t="n">
        <v>8657.082739611458</v>
      </c>
      <c r="AA130" s="19" t="n">
        <v>851112.1860335607</v>
      </c>
      <c r="AB130" s="24" t="n">
        <v>16468831.31433819</v>
      </c>
      <c r="AC130" s="24" t="n">
        <v>3668106.813787944</v>
      </c>
      <c r="AD130" s="19" t="n">
        <v>3056.75567815662</v>
      </c>
      <c r="AE130" s="19" t="n">
        <v>2030.454224918083</v>
      </c>
      <c r="AF130" s="19" t="n">
        <v>199622.0188706052</v>
      </c>
      <c r="AG130" s="24" t="n">
        <v>3862641.622755474</v>
      </c>
      <c r="AH130" s="24" t="n">
        <v>12112310.99110964</v>
      </c>
      <c r="AI130" s="19" t="n">
        <v>10093.59249259137</v>
      </c>
      <c r="AJ130" s="19" t="n">
        <v>6704.682898812141</v>
      </c>
      <c r="AK130" s="19" t="n">
        <v>659164.003661347</v>
      </c>
      <c r="AL130" s="24" t="n">
        <v>12754676.71937959</v>
      </c>
      <c r="AM130" s="24" t="n">
        <v>109801047.7077389</v>
      </c>
      <c r="AN130" s="19" t="n">
        <v>91500.8730897824</v>
      </c>
      <c r="AO130" s="19" t="n">
        <v>60779.58263935633</v>
      </c>
      <c r="AP130" s="19" t="n">
        <v>5975482.157481579</v>
      </c>
      <c r="AQ130" s="24" t="n">
        <v>115624249.4094913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 t="n">
        <v>57626789.81176703</v>
      </c>
      <c r="J131" s="21" t="n">
        <v>48022.32484313919</v>
      </c>
      <c r="K131" s="21" t="n">
        <v>31898.89629220952</v>
      </c>
      <c r="L131" s="21" t="n">
        <v>2501372.478419842</v>
      </c>
      <c r="M131" s="25" t="n">
        <v>60048241.06905152</v>
      </c>
      <c r="N131" s="25" t="n">
        <v>7087587.831232768</v>
      </c>
      <c r="O131" s="21" t="n">
        <v>5906.323192693973</v>
      </c>
      <c r="P131" s="21" t="n">
        <v>3923.283423020986</v>
      </c>
      <c r="Q131" s="21" t="n">
        <v>307646.7940924402</v>
      </c>
      <c r="R131" s="25" t="n">
        <v>7385405.018709492</v>
      </c>
      <c r="S131" s="25" t="n">
        <v>17823722.11001825</v>
      </c>
      <c r="T131" s="21" t="n">
        <v>14853.10175834854</v>
      </c>
      <c r="U131" s="21" t="n">
        <v>9866.193570486523</v>
      </c>
      <c r="V131" s="21" t="n">
        <v>773663.9173313653</v>
      </c>
      <c r="W131" s="25" t="n">
        <v>18572666.73202078</v>
      </c>
      <c r="X131" s="25" t="n">
        <v>16468831.31433819</v>
      </c>
      <c r="Y131" s="21" t="n">
        <v>13724.02609528183</v>
      </c>
      <c r="Z131" s="21" t="n">
        <v>9116.203485669366</v>
      </c>
      <c r="AA131" s="21" t="n">
        <v>714852.9622417511</v>
      </c>
      <c r="AB131" s="25" t="n">
        <v>17160844.04699899</v>
      </c>
      <c r="AC131" s="25" t="n">
        <v>3862641.622755474</v>
      </c>
      <c r="AD131" s="21" t="n">
        <v>3218.868018962895</v>
      </c>
      <c r="AE131" s="21" t="n">
        <v>2138.137573526423</v>
      </c>
      <c r="AF131" s="21" t="n">
        <v>167663.43363424</v>
      </c>
      <c r="AG131" s="25" t="n">
        <v>4024948.050797225</v>
      </c>
      <c r="AH131" s="25" t="n">
        <v>12754676.71937959</v>
      </c>
      <c r="AI131" s="21" t="n">
        <v>10628.89726614966</v>
      </c>
      <c r="AJ131" s="21" t="n">
        <v>7060.259841666044</v>
      </c>
      <c r="AK131" s="21" t="n">
        <v>553634.8184795771</v>
      </c>
      <c r="AL131" s="25" t="n">
        <v>13290622.38075135</v>
      </c>
      <c r="AM131" s="25" t="n">
        <v>115624249.4094913</v>
      </c>
      <c r="AN131" s="21" t="n">
        <v>96353.54117457606</v>
      </c>
      <c r="AO131" s="21" t="n">
        <v>64002.97418657887</v>
      </c>
      <c r="AP131" s="21" t="n">
        <v>5018834.404199217</v>
      </c>
      <c r="AQ131" s="25" t="n">
        <v>120482727.2983294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 t="n">
        <v>60048241.06905152</v>
      </c>
      <c r="J132" s="19" t="n">
        <v>50040.20089087627</v>
      </c>
      <c r="K132" s="19" t="n">
        <v>33239.2732728649</v>
      </c>
      <c r="L132" s="19" t="n">
        <v>1949073.554415653</v>
      </c>
      <c r="M132" s="24" t="n">
        <v>61914035.14930343</v>
      </c>
      <c r="N132" s="24" t="n">
        <v>7385405.018709492</v>
      </c>
      <c r="O132" s="19" t="n">
        <v>6154.504182257911</v>
      </c>
      <c r="P132" s="19" t="n">
        <v>4088.137991675403</v>
      </c>
      <c r="Q132" s="19" t="n">
        <v>239718.8885859681</v>
      </c>
      <c r="R132" s="24" t="n">
        <v>7614881.265121527</v>
      </c>
      <c r="S132" s="24" t="n">
        <v>18572666.73202078</v>
      </c>
      <c r="T132" s="19" t="n">
        <v>15477.22227668398</v>
      </c>
      <c r="U132" s="19" t="n">
        <v>10280.76649575102</v>
      </c>
      <c r="V132" s="19" t="n">
        <v>602840.1984452812</v>
      </c>
      <c r="W132" s="24" t="n">
        <v>19149748.94169363</v>
      </c>
      <c r="X132" s="24" t="n">
        <v>17160844.04699899</v>
      </c>
      <c r="Y132" s="19" t="n">
        <v>14300.70337249916</v>
      </c>
      <c r="Z132" s="19" t="n">
        <v>9499.26217181412</v>
      </c>
      <c r="AA132" s="19" t="n">
        <v>557014.6053902615</v>
      </c>
      <c r="AB132" s="24" t="n">
        <v>17694058.68684494</v>
      </c>
      <c r="AC132" s="24" t="n">
        <v>4024948.050797225</v>
      </c>
      <c r="AD132" s="19" t="n">
        <v>3354.123375664355</v>
      </c>
      <c r="AE132" s="19" t="n">
        <v>2227.981132964218</v>
      </c>
      <c r="AF132" s="19" t="n">
        <v>130643.6235939794</v>
      </c>
      <c r="AG132" s="24" t="n">
        <v>4150009.569882576</v>
      </c>
      <c r="AH132" s="24" t="n">
        <v>13290622.38075135</v>
      </c>
      <c r="AI132" s="19" t="n">
        <v>11075.51865062613</v>
      </c>
      <c r="AJ132" s="19" t="n">
        <v>7356.928719564679</v>
      </c>
      <c r="AK132" s="19" t="n">
        <v>431393.1622786239</v>
      </c>
      <c r="AL132" s="24" t="n">
        <v>13703583.09565978</v>
      </c>
      <c r="AM132" s="24" t="n">
        <v>120482727.2983294</v>
      </c>
      <c r="AN132" s="19" t="n">
        <v>100402.2727486078</v>
      </c>
      <c r="AO132" s="19" t="n">
        <v>66692.34978463434</v>
      </c>
      <c r="AP132" s="19" t="n">
        <v>3910684.032709767</v>
      </c>
      <c r="AQ132" s="24" t="n">
        <v>124226316.7085059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 t="n">
        <v>61914035.14930343</v>
      </c>
      <c r="J133" s="21" t="n">
        <v>51595.0292910862</v>
      </c>
      <c r="K133" s="21" t="n">
        <v>34272.07020746738</v>
      </c>
      <c r="L133" s="21" t="n">
        <v>2713886.114399039</v>
      </c>
      <c r="M133" s="25" t="n">
        <v>64542054.16420391</v>
      </c>
      <c r="N133" s="25" t="n">
        <v>7614881.265121527</v>
      </c>
      <c r="O133" s="21" t="n">
        <v>6345.734387601273</v>
      </c>
      <c r="P133" s="21" t="n">
        <v>4215.162922436482</v>
      </c>
      <c r="Q133" s="21" t="n">
        <v>333784.1004608339</v>
      </c>
      <c r="R133" s="25" t="n">
        <v>7938104.468272323</v>
      </c>
      <c r="S133" s="25" t="n">
        <v>19149748.94169363</v>
      </c>
      <c r="T133" s="21" t="n">
        <v>15958.12411807803</v>
      </c>
      <c r="U133" s="21" t="n">
        <v>10600.20621499553</v>
      </c>
      <c r="V133" s="21" t="n">
        <v>839393.4852051835</v>
      </c>
      <c r="W133" s="25" t="n">
        <v>19962584.09656574</v>
      </c>
      <c r="X133" s="25" t="n">
        <v>17694058.68684494</v>
      </c>
      <c r="Y133" s="21" t="n">
        <v>14745.04890570412</v>
      </c>
      <c r="Z133" s="21" t="n">
        <v>9794.419312329705</v>
      </c>
      <c r="AA133" s="21" t="n">
        <v>775586.021195235</v>
      </c>
      <c r="AB133" s="25" t="n">
        <v>18445105.23982214</v>
      </c>
      <c r="AC133" s="25" t="n">
        <v>4150009.569882576</v>
      </c>
      <c r="AD133" s="21" t="n">
        <v>3458.34130823548</v>
      </c>
      <c r="AE133" s="21" t="n">
        <v>2297.208040110713</v>
      </c>
      <c r="AF133" s="21" t="n">
        <v>181907.9198951898</v>
      </c>
      <c r="AG133" s="25" t="n">
        <v>4326161.940429419</v>
      </c>
      <c r="AH133" s="25" t="n">
        <v>13703583.09565978</v>
      </c>
      <c r="AI133" s="21" t="n">
        <v>11419.65257971649</v>
      </c>
      <c r="AJ133" s="21" t="n">
        <v>7585.520162201849</v>
      </c>
      <c r="AK133" s="21" t="n">
        <v>600670.9753473869</v>
      </c>
      <c r="AL133" s="25" t="n">
        <v>14285248.89826525</v>
      </c>
      <c r="AM133" s="25" t="n">
        <v>124226316.7085059</v>
      </c>
      <c r="AN133" s="21" t="n">
        <v>103521.9305904216</v>
      </c>
      <c r="AO133" s="21" t="n">
        <v>68764.58685954165</v>
      </c>
      <c r="AP133" s="21" t="n">
        <v>5445228.616502868</v>
      </c>
      <c r="AQ133" s="25" t="n">
        <v>129499258.8075588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 t="n">
        <v>64542054.16420391</v>
      </c>
      <c r="J134" s="19" t="n">
        <v>53785.0451368366</v>
      </c>
      <c r="K134" s="19" t="n">
        <v>35726.79128917419</v>
      </c>
      <c r="L134" s="19" t="n">
        <v>3421210.480256221</v>
      </c>
      <c r="M134" s="24" t="n">
        <v>67873752.80803412</v>
      </c>
      <c r="N134" s="24" t="n">
        <v>7938104.468272323</v>
      </c>
      <c r="O134" s="19" t="n">
        <v>6615.087056893602</v>
      </c>
      <c r="P134" s="19" t="n">
        <v>4394.080808895563</v>
      </c>
      <c r="Q134" s="19" t="n">
        <v>420778.7705536686</v>
      </c>
      <c r="R134" s="24" t="n">
        <v>8347874.070960202</v>
      </c>
      <c r="S134" s="24" t="n">
        <v>19962584.09656574</v>
      </c>
      <c r="T134" s="19" t="n">
        <v>16635.48674713812</v>
      </c>
      <c r="U134" s="19" t="n">
        <v>11050.14528660825</v>
      </c>
      <c r="V134" s="19" t="n">
        <v>1058165.91691383</v>
      </c>
      <c r="W134" s="24" t="n">
        <v>20993064.38144583</v>
      </c>
      <c r="X134" s="24" t="n">
        <v>18445105.23982214</v>
      </c>
      <c r="Y134" s="19" t="n">
        <v>15370.92103318512</v>
      </c>
      <c r="Z134" s="19" t="n">
        <v>10210.15574641351</v>
      </c>
      <c r="AA134" s="19" t="n">
        <v>977728.214155714</v>
      </c>
      <c r="AB134" s="24" t="n">
        <v>19397252.37719826</v>
      </c>
      <c r="AC134" s="24" t="n">
        <v>4326161.940429419</v>
      </c>
      <c r="AD134" s="19" t="n">
        <v>3605.134950357849</v>
      </c>
      <c r="AE134" s="19" t="n">
        <v>2394.715921741024</v>
      </c>
      <c r="AF134" s="19" t="n">
        <v>229318.8644449968</v>
      </c>
      <c r="AG134" s="24" t="n">
        <v>4549480.954002318</v>
      </c>
      <c r="AH134" s="24" t="n">
        <v>14285248.89826525</v>
      </c>
      <c r="AI134" s="19" t="n">
        <v>11904.37408188771</v>
      </c>
      <c r="AJ134" s="19" t="n">
        <v>7907.497096447941</v>
      </c>
      <c r="AK134" s="19" t="n">
        <v>757224.7874149535</v>
      </c>
      <c r="AL134" s="24" t="n">
        <v>15022661.81450187</v>
      </c>
      <c r="AM134" s="24" t="n">
        <v>129499258.8075588</v>
      </c>
      <c r="AN134" s="19" t="n">
        <v>107916.049006299</v>
      </c>
      <c r="AO134" s="19" t="n">
        <v>71683.38614928047</v>
      </c>
      <c r="AP134" s="19" t="n">
        <v>6864427.033739383</v>
      </c>
      <c r="AQ134" s="24" t="n">
        <v>136184086.4061426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 t="n">
        <v>67873752.80803412</v>
      </c>
      <c r="J135" s="21" t="n">
        <v>56561.46067336177</v>
      </c>
      <c r="K135" s="21" t="n">
        <v>37571.02918379892</v>
      </c>
      <c r="L135" s="21" t="n">
        <v>1745244.740388474</v>
      </c>
      <c r="M135" s="25" t="n">
        <v>69524865.05856542</v>
      </c>
      <c r="N135" s="25" t="n">
        <v>8347874.070960202</v>
      </c>
      <c r="O135" s="21" t="n">
        <v>6956.561725800169</v>
      </c>
      <c r="P135" s="21" t="n">
        <v>4620.90583424465</v>
      </c>
      <c r="Q135" s="21" t="n">
        <v>214649.7388611182</v>
      </c>
      <c r="R135" s="25" t="n">
        <v>8550946.342261275</v>
      </c>
      <c r="S135" s="25" t="n">
        <v>20993064.38144583</v>
      </c>
      <c r="T135" s="21" t="n">
        <v>17494.22031787152</v>
      </c>
      <c r="U135" s="21" t="n">
        <v>11620.56025933061</v>
      </c>
      <c r="V135" s="21" t="n">
        <v>539796.8092316557</v>
      </c>
      <c r="W135" s="25" t="n">
        <v>21503746.41010028</v>
      </c>
      <c r="X135" s="25" t="n">
        <v>19397252.37719826</v>
      </c>
      <c r="Y135" s="21" t="n">
        <v>16164.37698099855</v>
      </c>
      <c r="Z135" s="21" t="n">
        <v>10737.20996701636</v>
      </c>
      <c r="AA135" s="21" t="n">
        <v>498763.5321276351</v>
      </c>
      <c r="AB135" s="25" t="n">
        <v>19869114.32237788</v>
      </c>
      <c r="AC135" s="25" t="n">
        <v>4549480.954002318</v>
      </c>
      <c r="AD135" s="21" t="n">
        <v>3791.234128335265</v>
      </c>
      <c r="AE135" s="21" t="n">
        <v>2518.332560413925</v>
      </c>
      <c r="AF135" s="21" t="n">
        <v>116981.2685755935</v>
      </c>
      <c r="AG135" s="25" t="n">
        <v>4660152.655889163</v>
      </c>
      <c r="AH135" s="25" t="n">
        <v>15022661.81450187</v>
      </c>
      <c r="AI135" s="21" t="n">
        <v>12518.88484541822</v>
      </c>
      <c r="AJ135" s="21" t="n">
        <v>8315.686728672856</v>
      </c>
      <c r="AK135" s="21" t="n">
        <v>386279.2380516603</v>
      </c>
      <c r="AL135" s="25" t="n">
        <v>15388106.48097944</v>
      </c>
      <c r="AM135" s="25" t="n">
        <v>136184086.4061426</v>
      </c>
      <c r="AN135" s="21" t="n">
        <v>113486.7386717855</v>
      </c>
      <c r="AO135" s="21" t="n">
        <v>75383.72453347732</v>
      </c>
      <c r="AP135" s="21" t="n">
        <v>3501715.327236137</v>
      </c>
      <c r="AQ135" s="25" t="n">
        <v>139496931.2701735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 t="n">
        <v>69524865.05856542</v>
      </c>
      <c r="J136" s="19" t="n">
        <v>57937.38754880452</v>
      </c>
      <c r="K136" s="19" t="n">
        <v>38484.99053091772</v>
      </c>
      <c r="L136" s="19" t="n">
        <v>1960471.478917845</v>
      </c>
      <c r="M136" s="24" t="n">
        <v>71388914.15940355</v>
      </c>
      <c r="N136" s="24" t="n">
        <v>8550946.342261275</v>
      </c>
      <c r="O136" s="19" t="n">
        <v>7125.788618551063</v>
      </c>
      <c r="P136" s="19" t="n">
        <v>4733.31503391056</v>
      </c>
      <c r="Q136" s="19" t="n">
        <v>241120.7329584712</v>
      </c>
      <c r="R136" s="24" t="n">
        <v>8780207.971567284</v>
      </c>
      <c r="S136" s="24" t="n">
        <v>21503746.41010028</v>
      </c>
      <c r="T136" s="19" t="n">
        <v>17919.78867508357</v>
      </c>
      <c r="U136" s="19" t="n">
        <v>11903.24463448935</v>
      </c>
      <c r="V136" s="19" t="n">
        <v>606365.5282375816</v>
      </c>
      <c r="W136" s="24" t="n">
        <v>22080288.90502829</v>
      </c>
      <c r="X136" s="24" t="n">
        <v>19869114.32237788</v>
      </c>
      <c r="Y136" s="19" t="n">
        <v>16557.59526864823</v>
      </c>
      <c r="Z136" s="19" t="n">
        <v>10998.40576332378</v>
      </c>
      <c r="AA136" s="19" t="n">
        <v>560271.9531719671</v>
      </c>
      <c r="AB136" s="24" t="n">
        <v>20401830.27451787</v>
      </c>
      <c r="AC136" s="24" t="n">
        <v>4660152.655889163</v>
      </c>
      <c r="AD136" s="19" t="n">
        <v>3883.460546574302</v>
      </c>
      <c r="AE136" s="19" t="n">
        <v>2579.594087431173</v>
      </c>
      <c r="AF136" s="19" t="n">
        <v>131407.6102352447</v>
      </c>
      <c r="AG136" s="24" t="n">
        <v>4785097.211490402</v>
      </c>
      <c r="AH136" s="24" t="n">
        <v>15388106.48097944</v>
      </c>
      <c r="AI136" s="19" t="n">
        <v>12823.42206748286</v>
      </c>
      <c r="AJ136" s="19" t="n">
        <v>8517.976003410988</v>
      </c>
      <c r="AK136" s="19" t="n">
        <v>433915.892466653</v>
      </c>
      <c r="AL136" s="24" t="n">
        <v>15800680.9753752</v>
      </c>
      <c r="AM136" s="24" t="n">
        <v>139496931.2701735</v>
      </c>
      <c r="AN136" s="19" t="n">
        <v>116247.4427251446</v>
      </c>
      <c r="AO136" s="19" t="n">
        <v>77217.52605348358</v>
      </c>
      <c r="AP136" s="19" t="n">
        <v>3933553.195987763</v>
      </c>
      <c r="AQ136" s="24" t="n">
        <v>143237019.4973826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 t="n">
        <v>71388914.15940355</v>
      </c>
      <c r="J137" s="21" t="n">
        <v>59490.76179950296</v>
      </c>
      <c r="K137" s="21" t="n">
        <v>39516.82154467793</v>
      </c>
      <c r="L137" s="21" t="n">
        <v>3660159.108965804</v>
      </c>
      <c r="M137" s="25" t="n">
        <v>74950065.68502517</v>
      </c>
      <c r="N137" s="25" t="n">
        <v>8780207.971567284</v>
      </c>
      <c r="O137" s="21" t="n">
        <v>7316.839976306071</v>
      </c>
      <c r="P137" s="21" t="n">
        <v>4860.221164911494</v>
      </c>
      <c r="Q137" s="21" t="n">
        <v>450167.3483082806</v>
      </c>
      <c r="R137" s="25" t="n">
        <v>9218198.258734347</v>
      </c>
      <c r="S137" s="25" t="n">
        <v>22080288.90502829</v>
      </c>
      <c r="T137" s="21" t="n">
        <v>18400.24075419024</v>
      </c>
      <c r="U137" s="21" t="n">
        <v>12222.38559850684</v>
      </c>
      <c r="V137" s="21" t="n">
        <v>1132071.716119391</v>
      </c>
      <c r="W137" s="25" t="n">
        <v>23181737.99479498</v>
      </c>
      <c r="X137" s="25" t="n">
        <v>20401830.27451787</v>
      </c>
      <c r="Y137" s="21" t="n">
        <v>17001.52522876489</v>
      </c>
      <c r="Z137" s="21" t="n">
        <v>11293.28685883554</v>
      </c>
      <c r="AA137" s="21" t="n">
        <v>1046015.978785057</v>
      </c>
      <c r="AB137" s="25" t="n">
        <v>21419551.44121533</v>
      </c>
      <c r="AC137" s="25" t="n">
        <v>4785097.211490402</v>
      </c>
      <c r="AD137" s="21" t="n">
        <v>3987.581009575335</v>
      </c>
      <c r="AE137" s="21" t="n">
        <v>2648.756250279715</v>
      </c>
      <c r="AF137" s="21" t="n">
        <v>245335.2506079046</v>
      </c>
      <c r="AG137" s="25" t="n">
        <v>5023796.124838452</v>
      </c>
      <c r="AH137" s="25" t="n">
        <v>15800680.9753752</v>
      </c>
      <c r="AI137" s="21" t="n">
        <v>13167.234146146</v>
      </c>
      <c r="AJ137" s="21" t="n">
        <v>8746.353656452729</v>
      </c>
      <c r="AK137" s="21" t="n">
        <v>810111.8651384374</v>
      </c>
      <c r="AL137" s="25" t="n">
        <v>16588879.25271104</v>
      </c>
      <c r="AM137" s="25" t="n">
        <v>143237019.4973826</v>
      </c>
      <c r="AN137" s="21" t="n">
        <v>119364.1829144855</v>
      </c>
      <c r="AO137" s="21" t="n">
        <v>79287.82507366424</v>
      </c>
      <c r="AP137" s="21" t="n">
        <v>7343861.267924874</v>
      </c>
      <c r="AQ137" s="25" t="n">
        <v>150382228.7573193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 t="n">
        <v>74950065.68502517</v>
      </c>
      <c r="J138" s="19" t="n">
        <v>62458.38807085431</v>
      </c>
      <c r="K138" s="19" t="n">
        <v>41488.07143674552</v>
      </c>
      <c r="L138" s="19" t="n">
        <v>1005129.203677461</v>
      </c>
      <c r="M138" s="24" t="n">
        <v>75851248.42919503</v>
      </c>
      <c r="N138" s="24" t="n">
        <v>9218198.258734347</v>
      </c>
      <c r="O138" s="19" t="n">
        <v>7681.831882278623</v>
      </c>
      <c r="P138" s="19" t="n">
        <v>5102.667547799966</v>
      </c>
      <c r="Q138" s="19" t="n">
        <v>123622.0434292939</v>
      </c>
      <c r="R138" s="24" t="n">
        <v>9329035.802733563</v>
      </c>
      <c r="S138" s="24" t="n">
        <v>23181737.99479498</v>
      </c>
      <c r="T138" s="19" t="n">
        <v>19318.11499566248</v>
      </c>
      <c r="U138" s="19" t="n">
        <v>12832.08484429828</v>
      </c>
      <c r="V138" s="19" t="n">
        <v>310882.2072083018</v>
      </c>
      <c r="W138" s="24" t="n">
        <v>23460470.00216332</v>
      </c>
      <c r="X138" s="24" t="n">
        <v>21419551.44121533</v>
      </c>
      <c r="Y138" s="19" t="n">
        <v>17849.62620101278</v>
      </c>
      <c r="Z138" s="19" t="n">
        <v>11856.6391131761</v>
      </c>
      <c r="AA138" s="19" t="n">
        <v>287250.137627814</v>
      </c>
      <c r="AB138" s="24" t="n">
        <v>21677095.31352895</v>
      </c>
      <c r="AC138" s="24" t="n">
        <v>5023796.124838452</v>
      </c>
      <c r="AD138" s="19" t="n">
        <v>4186.49677069871</v>
      </c>
      <c r="AE138" s="19" t="n">
        <v>2780.886322192861</v>
      </c>
      <c r="AF138" s="19" t="n">
        <v>67372.37855957847</v>
      </c>
      <c r="AG138" s="24" t="n">
        <v>5084201.120305139</v>
      </c>
      <c r="AH138" s="24" t="n">
        <v>16588879.25271104</v>
      </c>
      <c r="AI138" s="19" t="n">
        <v>13824.06604392586</v>
      </c>
      <c r="AJ138" s="19" t="n">
        <v>9182.655161161918</v>
      </c>
      <c r="AK138" s="19" t="n">
        <v>222467.6768563582</v>
      </c>
      <c r="AL138" s="24" t="n">
        <v>16788340.20836231</v>
      </c>
      <c r="AM138" s="24" t="n">
        <v>150382228.7573193</v>
      </c>
      <c r="AN138" s="19" t="n">
        <v>125318.5239644328</v>
      </c>
      <c r="AO138" s="19" t="n">
        <v>83243.00442537465</v>
      </c>
      <c r="AP138" s="19" t="n">
        <v>2016723.647358808</v>
      </c>
      <c r="AQ138" s="24" t="n">
        <v>152190390.8762883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 t="n">
        <v>75851248.42919503</v>
      </c>
      <c r="J139" s="21" t="n">
        <v>63209.37369099586</v>
      </c>
      <c r="K139" s="21" t="n">
        <v>41986.91468292498</v>
      </c>
      <c r="L139" s="21" t="n">
        <v>1557583.333088655</v>
      </c>
      <c r="M139" s="25" t="n">
        <v>77303635.47390977</v>
      </c>
      <c r="N139" s="25" t="n">
        <v>9329035.802733563</v>
      </c>
      <c r="O139" s="21" t="n">
        <v>7774.19650227797</v>
      </c>
      <c r="P139" s="21" t="n">
        <v>5164.02087552936</v>
      </c>
      <c r="Q139" s="21" t="n">
        <v>191569.0378344817</v>
      </c>
      <c r="R139" s="25" t="n">
        <v>9507666.623190239</v>
      </c>
      <c r="S139" s="25" t="n">
        <v>23460470.00216332</v>
      </c>
      <c r="T139" s="21" t="n">
        <v>19550.39166846943</v>
      </c>
      <c r="U139" s="21" t="n">
        <v>12986.37494835239</v>
      </c>
      <c r="V139" s="21" t="n">
        <v>481753.9304696681</v>
      </c>
      <c r="W139" s="25" t="n">
        <v>23909687.16601617</v>
      </c>
      <c r="X139" s="25" t="n">
        <v>21677095.31352895</v>
      </c>
      <c r="Y139" s="21" t="n">
        <v>18064.24609460746</v>
      </c>
      <c r="Z139" s="21" t="n">
        <v>11999.20067699843</v>
      </c>
      <c r="AA139" s="21" t="n">
        <v>445132.8497466262</v>
      </c>
      <c r="AB139" s="25" t="n">
        <v>22092164.71650397</v>
      </c>
      <c r="AC139" s="25" t="n">
        <v>5084201.120305139</v>
      </c>
      <c r="AD139" s="21" t="n">
        <v>4236.834266920949</v>
      </c>
      <c r="AE139" s="21" t="n">
        <v>2814.32307430446</v>
      </c>
      <c r="AF139" s="21" t="n">
        <v>104402.5917971564</v>
      </c>
      <c r="AG139" s="25" t="n">
        <v>5181552.55476107</v>
      </c>
      <c r="AH139" s="25" t="n">
        <v>16788340.20836231</v>
      </c>
      <c r="AI139" s="21" t="n">
        <v>13990.28350696859</v>
      </c>
      <c r="AJ139" s="21" t="n">
        <v>9293.065342944517</v>
      </c>
      <c r="AK139" s="21" t="n">
        <v>344743.6850453003</v>
      </c>
      <c r="AL139" s="25" t="n">
        <v>17109800.54455769</v>
      </c>
      <c r="AM139" s="25" t="n">
        <v>152190390.8762883</v>
      </c>
      <c r="AN139" s="21" t="n">
        <v>126825.3257302403</v>
      </c>
      <c r="AO139" s="21" t="n">
        <v>84243.89960105415</v>
      </c>
      <c r="AP139" s="21" t="n">
        <v>3125185.427981888</v>
      </c>
      <c r="AQ139" s="25" t="n">
        <v>155104507.0789389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 t="n">
        <v>77303635.47390977</v>
      </c>
      <c r="J140" s="19" t="n">
        <v>64419.69622825814</v>
      </c>
      <c r="K140" s="19" t="n">
        <v>42790.87311730655</v>
      </c>
      <c r="L140" s="19" t="n">
        <v>3486539.246925968</v>
      </c>
      <c r="M140" s="24" t="n">
        <v>80682964.15149017</v>
      </c>
      <c r="N140" s="24" t="n">
        <v>9507666.623190239</v>
      </c>
      <c r="O140" s="19" t="n">
        <v>7923.055519325199</v>
      </c>
      <c r="P140" s="19" t="n">
        <v>5262.90068533574</v>
      </c>
      <c r="Q140" s="19" t="n">
        <v>428813.6337343241</v>
      </c>
      <c r="R140" s="24" t="n">
        <v>9923294.300719902</v>
      </c>
      <c r="S140" s="24" t="n">
        <v>23909687.16601617</v>
      </c>
      <c r="T140" s="19" t="n">
        <v>19924.73930501347</v>
      </c>
      <c r="U140" s="19" t="n">
        <v>13235.0358883289</v>
      </c>
      <c r="V140" s="19" t="n">
        <v>1078371.827857597</v>
      </c>
      <c r="W140" s="24" t="n">
        <v>24954899.21868043</v>
      </c>
      <c r="X140" s="24" t="n">
        <v>22092164.71650397</v>
      </c>
      <c r="Y140" s="19" t="n">
        <v>18410.13726375331</v>
      </c>
      <c r="Z140" s="19" t="n">
        <v>12228.95936879469</v>
      </c>
      <c r="AA140" s="19" t="n">
        <v>996398.149471773</v>
      </c>
      <c r="AB140" s="24" t="n">
        <v>23057923.7693432</v>
      </c>
      <c r="AC140" s="24" t="n">
        <v>5181552.55476107</v>
      </c>
      <c r="AD140" s="19" t="n">
        <v>4317.960462300892</v>
      </c>
      <c r="AE140" s="19" t="n">
        <v>2868.211262797192</v>
      </c>
      <c r="AF140" s="19" t="n">
        <v>233697.7586038785</v>
      </c>
      <c r="AG140" s="24" t="n">
        <v>5408064.14163985</v>
      </c>
      <c r="AH140" s="24" t="n">
        <v>17109800.54455769</v>
      </c>
      <c r="AI140" s="19" t="n">
        <v>14258.16712046475</v>
      </c>
      <c r="AJ140" s="19" t="n">
        <v>9471.007407040923</v>
      </c>
      <c r="AK140" s="19" t="n">
        <v>771684.1612941879</v>
      </c>
      <c r="AL140" s="24" t="n">
        <v>17857755.53132438</v>
      </c>
      <c r="AM140" s="24" t="n">
        <v>155104507.0789389</v>
      </c>
      <c r="AN140" s="19" t="n">
        <v>129253.7558991158</v>
      </c>
      <c r="AO140" s="19" t="n">
        <v>85856.98772960399</v>
      </c>
      <c r="AP140" s="19" t="n">
        <v>6995504.777887728</v>
      </c>
      <c r="AQ140" s="24" t="n">
        <v>161884901.113198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 t="n">
        <v>80682964.15149017</v>
      </c>
      <c r="J141" s="21" t="n">
        <v>67235.80345957514</v>
      </c>
      <c r="K141" s="21" t="n">
        <v>44661.47627558651</v>
      </c>
      <c r="L141" s="21" t="n">
        <v>4370201.810199706</v>
      </c>
      <c r="M141" s="25" t="n">
        <v>84941268.68195471</v>
      </c>
      <c r="N141" s="25" t="n">
        <v>9923294.300719902</v>
      </c>
      <c r="O141" s="21" t="n">
        <v>8269.411917266585</v>
      </c>
      <c r="P141" s="21" t="n">
        <v>5492.968406008658</v>
      </c>
      <c r="Q141" s="21" t="n">
        <v>537496.3497216726</v>
      </c>
      <c r="R141" s="25" t="n">
        <v>10447028.2701183</v>
      </c>
      <c r="S141" s="25" t="n">
        <v>24954899.21868043</v>
      </c>
      <c r="T141" s="21" t="n">
        <v>20795.74934890036</v>
      </c>
      <c r="U141" s="21" t="n">
        <v>13813.60552547528</v>
      </c>
      <c r="V141" s="21" t="n">
        <v>1351684.917451241</v>
      </c>
      <c r="W141" s="25" t="n">
        <v>26271974.78125729</v>
      </c>
      <c r="X141" s="25" t="n">
        <v>23057923.7693432</v>
      </c>
      <c r="Y141" s="21" t="n">
        <v>19214.93647445267</v>
      </c>
      <c r="Z141" s="21" t="n">
        <v>12763.54836759903</v>
      </c>
      <c r="AA141" s="21" t="n">
        <v>1248935.029296012</v>
      </c>
      <c r="AB141" s="25" t="n">
        <v>24274880.31379716</v>
      </c>
      <c r="AC141" s="25" t="n">
        <v>5408064.14163985</v>
      </c>
      <c r="AD141" s="21" t="n">
        <v>4506.720118033209</v>
      </c>
      <c r="AE141" s="21" t="n">
        <v>2993.595127531483</v>
      </c>
      <c r="AF141" s="21" t="n">
        <v>292928.4013053217</v>
      </c>
      <c r="AG141" s="25" t="n">
        <v>5693492.227699608</v>
      </c>
      <c r="AH141" s="25" t="n">
        <v>17857755.53132438</v>
      </c>
      <c r="AI141" s="21" t="n">
        <v>14881.46294277032</v>
      </c>
      <c r="AJ141" s="21" t="n">
        <v>9885.032526816716</v>
      </c>
      <c r="AK141" s="21" t="n">
        <v>967267.3329473382</v>
      </c>
      <c r="AL141" s="25" t="n">
        <v>18800256.36880213</v>
      </c>
      <c r="AM141" s="25" t="n">
        <v>161884901.113198</v>
      </c>
      <c r="AN141" s="21" t="n">
        <v>134904.0842609983</v>
      </c>
      <c r="AO141" s="21" t="n">
        <v>89610.22622901769</v>
      </c>
      <c r="AP141" s="21" t="n">
        <v>8768513.840921292</v>
      </c>
      <c r="AQ141" s="25" t="n">
        <v>170428900.6436292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 t="n">
        <v>84941268.68195471</v>
      </c>
      <c r="J142" s="19" t="n">
        <v>70784.3905682956</v>
      </c>
      <c r="K142" s="19" t="n">
        <v>47018.63021460738</v>
      </c>
      <c r="L142" s="19" t="n">
        <v>4119952.22407391</v>
      </c>
      <c r="M142" s="24" t="n">
        <v>88943417.88524573</v>
      </c>
      <c r="N142" s="24" t="n">
        <v>10447028.2701183</v>
      </c>
      <c r="O142" s="19" t="n">
        <v>8705.856891765248</v>
      </c>
      <c r="P142" s="19" t="n">
        <v>5782.877589378359</v>
      </c>
      <c r="Q142" s="19" t="n">
        <v>506717.8536924864</v>
      </c>
      <c r="R142" s="24" t="n">
        <v>10939257.38932964</v>
      </c>
      <c r="S142" s="24" t="n">
        <v>26271974.78125729</v>
      </c>
      <c r="T142" s="19" t="n">
        <v>21893.31231771441</v>
      </c>
      <c r="U142" s="19" t="n">
        <v>14542.66325915913</v>
      </c>
      <c r="V142" s="19" t="n">
        <v>1274283.779962536</v>
      </c>
      <c r="W142" s="24" t="n">
        <v>27509822.58564295</v>
      </c>
      <c r="X142" s="24" t="n">
        <v>24274880.31379716</v>
      </c>
      <c r="Y142" s="19" t="n">
        <v>20229.0669281643</v>
      </c>
      <c r="Z142" s="19" t="n">
        <v>13437.18593669603</v>
      </c>
      <c r="AA142" s="19" t="n">
        <v>1177417.628554957</v>
      </c>
      <c r="AB142" s="24" t="n">
        <v>25418631.68948726</v>
      </c>
      <c r="AC142" s="24" t="n">
        <v>5693492.227699608</v>
      </c>
      <c r="AD142" s="19" t="n">
        <v>4744.57685641634</v>
      </c>
      <c r="AE142" s="19" t="n">
        <v>3151.591797931556</v>
      </c>
      <c r="AF142" s="19" t="n">
        <v>276154.5280667772</v>
      </c>
      <c r="AG142" s="24" t="n">
        <v>5961750.587112037</v>
      </c>
      <c r="AH142" s="24" t="n">
        <v>18800256.36880213</v>
      </c>
      <c r="AI142" s="19" t="n">
        <v>15666.88030733511</v>
      </c>
      <c r="AJ142" s="19" t="n">
        <v>10406.74710727881</v>
      </c>
      <c r="AK142" s="19" t="n">
        <v>911878.9869954127</v>
      </c>
      <c r="AL142" s="24" t="n">
        <v>19686061.72838293</v>
      </c>
      <c r="AM142" s="24" t="n">
        <v>170428900.6436292</v>
      </c>
      <c r="AN142" s="19" t="n">
        <v>142024.083869691</v>
      </c>
      <c r="AO142" s="19" t="n">
        <v>94339.69590505127</v>
      </c>
      <c r="AP142" s="19" t="n">
        <v>8266405.001346079</v>
      </c>
      <c r="AQ142" s="24" t="n">
        <v>178458941.8652005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 t="n">
        <v>88943417.88524573</v>
      </c>
      <c r="J143" s="21" t="n">
        <v>74119.51490437145</v>
      </c>
      <c r="K143" s="21" t="n">
        <v>49233.99120901177</v>
      </c>
      <c r="L143" s="21" t="n">
        <v>1638382.63026204</v>
      </c>
      <c r="M143" s="25" t="n">
        <v>90458447.00939438</v>
      </c>
      <c r="N143" s="25" t="n">
        <v>10939257.38932964</v>
      </c>
      <c r="O143" s="21" t="n">
        <v>9116.04782444137</v>
      </c>
      <c r="P143" s="21" t="n">
        <v>6055.347488829918</v>
      </c>
      <c r="Q143" s="21" t="n">
        <v>201506.6400727606</v>
      </c>
      <c r="R143" s="25" t="n">
        <v>11125592.63408913</v>
      </c>
      <c r="S143" s="25" t="n">
        <v>27509822.58564295</v>
      </c>
      <c r="T143" s="21" t="n">
        <v>22924.85215470246</v>
      </c>
      <c r="U143" s="21" t="n">
        <v>15227.86503539229</v>
      </c>
      <c r="V143" s="21" t="n">
        <v>506744.8109994929</v>
      </c>
      <c r="W143" s="25" t="n">
        <v>27978414.67945235</v>
      </c>
      <c r="X143" s="25" t="n">
        <v>25418631.68948726</v>
      </c>
      <c r="Y143" s="21" t="n">
        <v>21182.19307457271</v>
      </c>
      <c r="Z143" s="21" t="n">
        <v>14070.30130953536</v>
      </c>
      <c r="AA143" s="21" t="n">
        <v>468224.0196662429</v>
      </c>
      <c r="AB143" s="25" t="n">
        <v>25851603.21476939</v>
      </c>
      <c r="AC143" s="25" t="n">
        <v>5961750.587112037</v>
      </c>
      <c r="AD143" s="21" t="n">
        <v>4968.125489260032</v>
      </c>
      <c r="AE143" s="21" t="n">
        <v>3300.084289260095</v>
      </c>
      <c r="AF143" s="21" t="n">
        <v>109818.4535755194</v>
      </c>
      <c r="AG143" s="25" t="n">
        <v>6063300.830909036</v>
      </c>
      <c r="AH143" s="25" t="n">
        <v>19686061.72838293</v>
      </c>
      <c r="AI143" s="21" t="n">
        <v>16405.05144031911</v>
      </c>
      <c r="AJ143" s="21" t="n">
        <v>10897.07831248125</v>
      </c>
      <c r="AK143" s="21" t="n">
        <v>362627.1888456312</v>
      </c>
      <c r="AL143" s="25" t="n">
        <v>20021386.78747576</v>
      </c>
      <c r="AM143" s="25" t="n">
        <v>178458941.8652005</v>
      </c>
      <c r="AN143" s="21" t="n">
        <v>148715.7848876671</v>
      </c>
      <c r="AO143" s="21" t="n">
        <v>98784.66764451067</v>
      </c>
      <c r="AP143" s="21" t="n">
        <v>3287303.743421686</v>
      </c>
      <c r="AQ143" s="25" t="n">
        <v>181498745.1560901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 t="n">
        <v>90458447.00939438</v>
      </c>
      <c r="J144" s="19" t="n">
        <v>75382.03917449532</v>
      </c>
      <c r="K144" s="19" t="n">
        <v>50072.62471729417</v>
      </c>
      <c r="L144" s="19" t="n">
        <v>4514500.188881683</v>
      </c>
      <c r="M144" s="24" t="n">
        <v>94847492.53438427</v>
      </c>
      <c r="N144" s="24" t="n">
        <v>11125592.63408913</v>
      </c>
      <c r="O144" s="19" t="n">
        <v>9271.327195074278</v>
      </c>
      <c r="P144" s="19" t="n">
        <v>6158.492027465189</v>
      </c>
      <c r="Q144" s="19" t="n">
        <v>555243.7799733605</v>
      </c>
      <c r="R144" s="24" t="n">
        <v>11665406.59483995</v>
      </c>
      <c r="S144" s="24" t="n">
        <v>27978414.67945235</v>
      </c>
      <c r="T144" s="19" t="n">
        <v>23315.34556621029</v>
      </c>
      <c r="U144" s="19" t="n">
        <v>15487.25082891992</v>
      </c>
      <c r="V144" s="19" t="n">
        <v>1396315.795050961</v>
      </c>
      <c r="W144" s="24" t="n">
        <v>29335927.87810818</v>
      </c>
      <c r="X144" s="24" t="n">
        <v>25851603.21476939</v>
      </c>
      <c r="Y144" s="19" t="n">
        <v>21543.00267897449</v>
      </c>
      <c r="Z144" s="19" t="n">
        <v>14309.96959276904</v>
      </c>
      <c r="AA144" s="19" t="n">
        <v>1290173.239253714</v>
      </c>
      <c r="AB144" s="24" t="n">
        <v>27105923.48175136</v>
      </c>
      <c r="AC144" s="24" t="n">
        <v>6063300.830909036</v>
      </c>
      <c r="AD144" s="19" t="n">
        <v>5052.750692424197</v>
      </c>
      <c r="AE144" s="19" t="n">
        <v>3356.296698556363</v>
      </c>
      <c r="AF144" s="19" t="n">
        <v>302600.5160528852</v>
      </c>
      <c r="AG144" s="24" t="n">
        <v>6357492.29957094</v>
      </c>
      <c r="AH144" s="24" t="n">
        <v>20021386.78747576</v>
      </c>
      <c r="AI144" s="19" t="n">
        <v>16684.48898956313</v>
      </c>
      <c r="AJ144" s="19" t="n">
        <v>11082.69509452169</v>
      </c>
      <c r="AK144" s="19" t="n">
        <v>999205.2419863635</v>
      </c>
      <c r="AL144" s="24" t="n">
        <v>20992824.84537804</v>
      </c>
      <c r="AM144" s="24" t="n">
        <v>181498745.1560901</v>
      </c>
      <c r="AN144" s="19" t="n">
        <v>151248.9542967417</v>
      </c>
      <c r="AO144" s="19" t="n">
        <v>100467.3289595264</v>
      </c>
      <c r="AP144" s="19" t="n">
        <v>9058038.761198968</v>
      </c>
      <c r="AQ144" s="24" t="n">
        <v>190305067.6340327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 t="n">
        <v>94847492.53438427</v>
      </c>
      <c r="J145" s="21" t="n">
        <v>79039.57711198689</v>
      </c>
      <c r="K145" s="21" t="n">
        <v>52502.14939636715</v>
      </c>
      <c r="L145" s="21" t="n">
        <v>3548261.456172543</v>
      </c>
      <c r="M145" s="25" t="n">
        <v>98264212.26404846</v>
      </c>
      <c r="N145" s="25" t="n">
        <v>11665406.59483995</v>
      </c>
      <c r="O145" s="21" t="n">
        <v>9721.172162366627</v>
      </c>
      <c r="P145" s="21" t="n">
        <v>6457.302174747784</v>
      </c>
      <c r="Q145" s="21" t="n">
        <v>436404.9221021435</v>
      </c>
      <c r="R145" s="25" t="n">
        <v>12085633.04260498</v>
      </c>
      <c r="S145" s="25" t="n">
        <v>29335927.87810818</v>
      </c>
      <c r="T145" s="21" t="n">
        <v>24446.60656509015</v>
      </c>
      <c r="U145" s="21" t="n">
        <v>16238.69252610059</v>
      </c>
      <c r="V145" s="21" t="n">
        <v>1097462.245859725</v>
      </c>
      <c r="W145" s="25" t="n">
        <v>30392704.82487671</v>
      </c>
      <c r="X145" s="25" t="n">
        <v>27105923.48175136</v>
      </c>
      <c r="Y145" s="21" t="n">
        <v>22588.26956812614</v>
      </c>
      <c r="Z145" s="21" t="n">
        <v>15004.28958255796</v>
      </c>
      <c r="AA145" s="21" t="n">
        <v>1014037.38732886</v>
      </c>
      <c r="AB145" s="25" t="n">
        <v>28082368.30992953</v>
      </c>
      <c r="AC145" s="25" t="n">
        <v>6357492.29957094</v>
      </c>
      <c r="AD145" s="21" t="n">
        <v>5297.91024964245</v>
      </c>
      <c r="AE145" s="21" t="n">
        <v>3519.144276558751</v>
      </c>
      <c r="AF145" s="21" t="n">
        <v>237834.9103567871</v>
      </c>
      <c r="AG145" s="25" t="n">
        <v>6586510.155401527</v>
      </c>
      <c r="AH145" s="25" t="n">
        <v>20992824.84537804</v>
      </c>
      <c r="AI145" s="21" t="n">
        <v>17494.0207044817</v>
      </c>
      <c r="AJ145" s="21" t="n">
        <v>11620.42766585786</v>
      </c>
      <c r="AK145" s="21" t="n">
        <v>785345.2870989995</v>
      </c>
      <c r="AL145" s="25" t="n">
        <v>21749055.6841067</v>
      </c>
      <c r="AM145" s="25" t="n">
        <v>190305067.6340327</v>
      </c>
      <c r="AN145" s="21" t="n">
        <v>158587.5563616939</v>
      </c>
      <c r="AO145" s="21" t="n">
        <v>105342.0056221901</v>
      </c>
      <c r="AP145" s="21" t="n">
        <v>7119346.208919059</v>
      </c>
      <c r="AQ145" s="25" t="n">
        <v>197160484.280968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 t="n">
        <v>98264212.26404846</v>
      </c>
      <c r="J146" s="19" t="n">
        <v>81886.84355337372</v>
      </c>
      <c r="K146" s="19" t="n">
        <v>54393.45010341866</v>
      </c>
      <c r="L146" s="19" t="n">
        <v>5837358.003242142</v>
      </c>
      <c r="M146" s="24" t="n">
        <v>103965289.9736338</v>
      </c>
      <c r="N146" s="24" t="n">
        <v>12085633.04260498</v>
      </c>
      <c r="O146" s="19" t="n">
        <v>10071.36086883749</v>
      </c>
      <c r="P146" s="19" t="n">
        <v>6689.915511709391</v>
      </c>
      <c r="Q146" s="19" t="n">
        <v>717943.6454029261</v>
      </c>
      <c r="R146" s="24" t="n">
        <v>12786815.41162736</v>
      </c>
      <c r="S146" s="24" t="n">
        <v>30392704.82487671</v>
      </c>
      <c r="T146" s="19" t="n">
        <v>25327.2540207306</v>
      </c>
      <c r="U146" s="19" t="n">
        <v>16823.66382745328</v>
      </c>
      <c r="V146" s="19" t="n">
        <v>1805470.11635262</v>
      </c>
      <c r="W146" s="24" t="n">
        <v>32156024.02338115</v>
      </c>
      <c r="X146" s="24" t="n">
        <v>28082368.30992953</v>
      </c>
      <c r="Y146" s="19" t="n">
        <v>23401.97359160795</v>
      </c>
      <c r="Z146" s="19" t="n">
        <v>15544.79361567972</v>
      </c>
      <c r="AA146" s="19" t="n">
        <v>1668225.222866168</v>
      </c>
      <c r="AB146" s="24" t="n">
        <v>29711646.76558841</v>
      </c>
      <c r="AC146" s="24" t="n">
        <v>6586510.155401527</v>
      </c>
      <c r="AD146" s="19" t="n">
        <v>5488.758462834606</v>
      </c>
      <c r="AE146" s="19" t="n">
        <v>3645.915468500321</v>
      </c>
      <c r="AF146" s="19" t="n">
        <v>391269.7907327092</v>
      </c>
      <c r="AG146" s="24" t="n">
        <v>6968645.272202902</v>
      </c>
      <c r="AH146" s="24" t="n">
        <v>21749055.6841067</v>
      </c>
      <c r="AI146" s="19" t="n">
        <v>18124.21307008891</v>
      </c>
      <c r="AJ146" s="19" t="n">
        <v>12039.0338241459</v>
      </c>
      <c r="AK146" s="19" t="n">
        <v>1291996.560451017</v>
      </c>
      <c r="AL146" s="24" t="n">
        <v>23010888.99766348</v>
      </c>
      <c r="AM146" s="24" t="n">
        <v>197160484.280968</v>
      </c>
      <c r="AN146" s="19" t="n">
        <v>164300.4035674733</v>
      </c>
      <c r="AO146" s="19" t="n">
        <v>109136.7723509073</v>
      </c>
      <c r="AP146" s="19" t="n">
        <v>11712263.33904758</v>
      </c>
      <c r="AQ146" s="24" t="n">
        <v>208599310.4440971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 t="n">
        <v>103965289.9736338</v>
      </c>
      <c r="J147" s="21" t="n">
        <v>86637.74164469483</v>
      </c>
      <c r="K147" s="21" t="n">
        <v>57549.240790457</v>
      </c>
      <c r="L147" s="21" t="n">
        <v>4186965.181354996</v>
      </c>
      <c r="M147" s="25" t="n">
        <v>108008068.1725536</v>
      </c>
      <c r="N147" s="25" t="n">
        <v>12786815.41162736</v>
      </c>
      <c r="O147" s="21" t="n">
        <v>10655.67950968947</v>
      </c>
      <c r="P147" s="21" t="n">
        <v>7078.049984311985</v>
      </c>
      <c r="Q147" s="21" t="n">
        <v>514959.8574916181</v>
      </c>
      <c r="R147" s="25" t="n">
        <v>13284041.53962498</v>
      </c>
      <c r="S147" s="25" t="n">
        <v>32156024.02338115</v>
      </c>
      <c r="T147" s="21" t="n">
        <v>26796.68668615096</v>
      </c>
      <c r="U147" s="21" t="n">
        <v>17799.73652605204</v>
      </c>
      <c r="V147" s="21" t="n">
        <v>1295010.60393191</v>
      </c>
      <c r="W147" s="25" t="n">
        <v>33406438.20410086</v>
      </c>
      <c r="X147" s="25" t="n">
        <v>29711646.76558841</v>
      </c>
      <c r="Y147" s="21" t="n">
        <v>24759.70563799035</v>
      </c>
      <c r="Z147" s="21" t="n">
        <v>16446.6690222043</v>
      </c>
      <c r="AA147" s="21" t="n">
        <v>1196568.879092113</v>
      </c>
      <c r="AB147" s="25" t="n">
        <v>30867009.27002033</v>
      </c>
      <c r="AC147" s="25" t="n">
        <v>6968645.272202902</v>
      </c>
      <c r="AD147" s="21" t="n">
        <v>5807.204393502418</v>
      </c>
      <c r="AE147" s="21" t="n">
        <v>3857.443622337712</v>
      </c>
      <c r="AF147" s="21" t="n">
        <v>280646.3111229453</v>
      </c>
      <c r="AG147" s="25" t="n">
        <v>7239626.935310007</v>
      </c>
      <c r="AH147" s="25" t="n">
        <v>23010888.99766348</v>
      </c>
      <c r="AI147" s="21" t="n">
        <v>19175.74083138623</v>
      </c>
      <c r="AJ147" s="21" t="n">
        <v>12737.51260699463</v>
      </c>
      <c r="AK147" s="21" t="n">
        <v>926711.1268546992</v>
      </c>
      <c r="AL147" s="25" t="n">
        <v>23905686.8710798</v>
      </c>
      <c r="AM147" s="25" t="n">
        <v>208599310.4440971</v>
      </c>
      <c r="AN147" s="21" t="n">
        <v>173832.7587034143</v>
      </c>
      <c r="AO147" s="21" t="n">
        <v>115468.6525523577</v>
      </c>
      <c r="AP147" s="21" t="n">
        <v>8400861.959848283</v>
      </c>
      <c r="AQ147" s="25" t="n">
        <v>216710870.9926896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 t="n">
        <v>108008068.1725536</v>
      </c>
      <c r="J148" s="19" t="n">
        <v>90006.72347712805</v>
      </c>
      <c r="K148" s="19" t="n">
        <v>59787.0916740649</v>
      </c>
      <c r="L148" s="19" t="n">
        <v>3758212.112623124</v>
      </c>
      <c r="M148" s="24" t="n">
        <v>111616486.4700256</v>
      </c>
      <c r="N148" s="24" t="n">
        <v>13284041.53962498</v>
      </c>
      <c r="O148" s="19" t="n">
        <v>11070.03461635415</v>
      </c>
      <c r="P148" s="19" t="n">
        <v>7353.28594214655</v>
      </c>
      <c r="Q148" s="19" t="n">
        <v>462227.0045516264</v>
      </c>
      <c r="R148" s="24" t="n">
        <v>13727845.22361811</v>
      </c>
      <c r="S148" s="24" t="n">
        <v>33406438.20410086</v>
      </c>
      <c r="T148" s="19" t="n">
        <v>27838.69850341738</v>
      </c>
      <c r="U148" s="19" t="n">
        <v>18491.89432979876</v>
      </c>
      <c r="V148" s="19" t="n">
        <v>1162399.095016416</v>
      </c>
      <c r="W148" s="24" t="n">
        <v>34522506.70628406</v>
      </c>
      <c r="X148" s="24" t="n">
        <v>30867009.27002033</v>
      </c>
      <c r="Y148" s="19" t="n">
        <v>25722.50772501695</v>
      </c>
      <c r="Z148" s="19" t="n">
        <v>17086.21165210203</v>
      </c>
      <c r="AA148" s="19" t="n">
        <v>1074037.986992893</v>
      </c>
      <c r="AB148" s="24" t="n">
        <v>31898238.5376361</v>
      </c>
      <c r="AC148" s="24" t="n">
        <v>7239626.935310007</v>
      </c>
      <c r="AD148" s="19" t="n">
        <v>6033.022446091673</v>
      </c>
      <c r="AE148" s="19" t="n">
        <v>4007.443578899217</v>
      </c>
      <c r="AF148" s="19" t="n">
        <v>251907.6037512968</v>
      </c>
      <c r="AG148" s="24" t="n">
        <v>7481494.073036314</v>
      </c>
      <c r="AH148" s="24" t="n">
        <v>23905686.8710798</v>
      </c>
      <c r="AI148" s="19" t="n">
        <v>19921.40572589983</v>
      </c>
      <c r="AJ148" s="19" t="n">
        <v>13232.82155375065</v>
      </c>
      <c r="AK148" s="19" t="n">
        <v>831814.1735109559</v>
      </c>
      <c r="AL148" s="24" t="n">
        <v>24704346.8173111</v>
      </c>
      <c r="AM148" s="24" t="n">
        <v>216710870.9926896</v>
      </c>
      <c r="AN148" s="19" t="n">
        <v>180592.392493908</v>
      </c>
      <c r="AO148" s="19" t="n">
        <v>119958.7487307621</v>
      </c>
      <c r="AP148" s="19" t="n">
        <v>7540597.976446312</v>
      </c>
      <c r="AQ148" s="24" t="n">
        <v>223950917.8279113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 t="n">
        <v>111616486.4700256</v>
      </c>
      <c r="J149" s="21" t="n">
        <v>93013.73872502132</v>
      </c>
      <c r="K149" s="21" t="n">
        <v>61784.50574876779</v>
      </c>
      <c r="L149" s="21" t="n">
        <v>6290408.79744513</v>
      </c>
      <c r="M149" s="25" t="n">
        <v>117752097.0229969</v>
      </c>
      <c r="N149" s="25" t="n">
        <v>13727845.22361811</v>
      </c>
      <c r="O149" s="21" t="n">
        <v>11439.87101968176</v>
      </c>
      <c r="P149" s="21" t="n">
        <v>7598.950289163612</v>
      </c>
      <c r="Q149" s="21" t="n">
        <v>773664.9046716103</v>
      </c>
      <c r="R149" s="25" t="n">
        <v>14482471.30698087</v>
      </c>
      <c r="S149" s="25" t="n">
        <v>34522506.70628406</v>
      </c>
      <c r="T149" s="21" t="n">
        <v>28768.75558857005</v>
      </c>
      <c r="U149" s="21" t="n">
        <v>19109.68604650608</v>
      </c>
      <c r="V149" s="21" t="n">
        <v>1945596.808885271</v>
      </c>
      <c r="W149" s="25" t="n">
        <v>36420225.07353426</v>
      </c>
      <c r="X149" s="25" t="n">
        <v>31898238.5376361</v>
      </c>
      <c r="Y149" s="21" t="n">
        <v>26581.86544803009</v>
      </c>
      <c r="Z149" s="21" t="n">
        <v>17657.04121884721</v>
      </c>
      <c r="AA149" s="21" t="n">
        <v>1797700.023231196</v>
      </c>
      <c r="AB149" s="25" t="n">
        <v>33651699.65420042</v>
      </c>
      <c r="AC149" s="25" t="n">
        <v>7481494.073036314</v>
      </c>
      <c r="AD149" s="21" t="n">
        <v>6234.578394196928</v>
      </c>
      <c r="AE149" s="21" t="n">
        <v>4141.327398699458</v>
      </c>
      <c r="AF149" s="21" t="n">
        <v>421637.1400267966</v>
      </c>
      <c r="AG149" s="25" t="n">
        <v>7892755.307270214</v>
      </c>
      <c r="AH149" s="25" t="n">
        <v>24704346.8173111</v>
      </c>
      <c r="AI149" s="21" t="n">
        <v>20586.95568109259</v>
      </c>
      <c r="AJ149" s="21" t="n">
        <v>13674.9140402624</v>
      </c>
      <c r="AK149" s="21" t="n">
        <v>1392271.388120445</v>
      </c>
      <c r="AL149" s="25" t="n">
        <v>26062356.33571019</v>
      </c>
      <c r="AM149" s="25" t="n">
        <v>223950917.8279113</v>
      </c>
      <c r="AN149" s="21" t="n">
        <v>186625.7648565928</v>
      </c>
      <c r="AO149" s="21" t="n">
        <v>123966.4247422466</v>
      </c>
      <c r="AP149" s="21" t="n">
        <v>12621279.06238045</v>
      </c>
      <c r="AQ149" s="25" t="n">
        <v>236261604.7006929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 t="n">
        <v>117752097.0229969</v>
      </c>
      <c r="J150" s="19" t="n">
        <v>98126.74751916411</v>
      </c>
      <c r="K150" s="19" t="n">
        <v>65180.82897548092</v>
      </c>
      <c r="L150" s="19" t="n">
        <v>1776304.927729145</v>
      </c>
      <c r="M150" s="24" t="n">
        <v>119365094.3742314</v>
      </c>
      <c r="N150" s="24" t="n">
        <v>14482471.30698087</v>
      </c>
      <c r="O150" s="19" t="n">
        <v>12068.72608915073</v>
      </c>
      <c r="P150" s="19" t="n">
        <v>8016.668146625625</v>
      </c>
      <c r="Q150" s="19" t="n">
        <v>218469.8684666476</v>
      </c>
      <c r="R150" s="24" t="n">
        <v>14680855.78121174</v>
      </c>
      <c r="S150" s="24" t="n">
        <v>36420225.07353426</v>
      </c>
      <c r="T150" s="19" t="n">
        <v>30350.18756127855</v>
      </c>
      <c r="U150" s="19" t="n">
        <v>20160.15444126602</v>
      </c>
      <c r="V150" s="19" t="n">
        <v>549403.5936743348</v>
      </c>
      <c r="W150" s="24" t="n">
        <v>36919118.32520604</v>
      </c>
      <c r="X150" s="24" t="n">
        <v>33651699.65420042</v>
      </c>
      <c r="Y150" s="19" t="n">
        <v>28043.08304516702</v>
      </c>
      <c r="Z150" s="19" t="n">
        <v>18627.65704687458</v>
      </c>
      <c r="AA150" s="19" t="n">
        <v>507640.045769573</v>
      </c>
      <c r="AB150" s="24" t="n">
        <v>34112668.95987795</v>
      </c>
      <c r="AC150" s="24" t="n">
        <v>7892755.307270214</v>
      </c>
      <c r="AD150" s="19" t="n">
        <v>6577.296089391845</v>
      </c>
      <c r="AE150" s="19" t="n">
        <v>4368.978105995225</v>
      </c>
      <c r="AF150" s="19" t="n">
        <v>119063.1886829697</v>
      </c>
      <c r="AG150" s="24" t="n">
        <v>8000872.221757797</v>
      </c>
      <c r="AH150" s="24" t="n">
        <v>26062356.33571019</v>
      </c>
      <c r="AI150" s="19" t="n">
        <v>21718.6302797585</v>
      </c>
      <c r="AJ150" s="19" t="n">
        <v>14426.63047167813</v>
      </c>
      <c r="AK150" s="19" t="n">
        <v>393153.8644132476</v>
      </c>
      <c r="AL150" s="24" t="n">
        <v>26419364.93937201</v>
      </c>
      <c r="AM150" s="24" t="n">
        <v>236261604.7006929</v>
      </c>
      <c r="AN150" s="19" t="n">
        <v>196884.6705839108</v>
      </c>
      <c r="AO150" s="19" t="n">
        <v>130780.9171879205</v>
      </c>
      <c r="AP150" s="19" t="n">
        <v>3564035.488735917</v>
      </c>
      <c r="AQ150" s="24" t="n">
        <v>239497974.6016569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 t="n">
        <v>119365094.3742314</v>
      </c>
      <c r="J151" s="21" t="n">
        <v>99470.9119785262</v>
      </c>
      <c r="K151" s="21" t="n">
        <v>66073.69209339368</v>
      </c>
      <c r="L151" s="21" t="n">
        <v>5739365.336808485</v>
      </c>
      <c r="M151" s="25" t="n">
        <v>124938915.106968</v>
      </c>
      <c r="N151" s="25" t="n">
        <v>14680855.78121174</v>
      </c>
      <c r="O151" s="21" t="n">
        <v>12234.04648434312</v>
      </c>
      <c r="P151" s="21" t="n">
        <v>8126.482449836783</v>
      </c>
      <c r="Q151" s="21" t="n">
        <v>705891.4101069142</v>
      </c>
      <c r="R151" s="25" t="n">
        <v>15366386.66238447</v>
      </c>
      <c r="S151" s="25" t="n">
        <v>36919118.32520604</v>
      </c>
      <c r="T151" s="21" t="n">
        <v>30765.9319376717</v>
      </c>
      <c r="U151" s="21" t="n">
        <v>20436.31322345644</v>
      </c>
      <c r="V151" s="21" t="n">
        <v>1775161.39950342</v>
      </c>
      <c r="W151" s="25" t="n">
        <v>38643077.47954833</v>
      </c>
      <c r="X151" s="25" t="n">
        <v>34112668.95987795</v>
      </c>
      <c r="Y151" s="21" t="n">
        <v>28427.22413323162</v>
      </c>
      <c r="Z151" s="21" t="n">
        <v>18882.82330069038</v>
      </c>
      <c r="AA151" s="21" t="n">
        <v>1640220.458089064</v>
      </c>
      <c r="AB151" s="25" t="n">
        <v>35705579.37053309</v>
      </c>
      <c r="AC151" s="25" t="n">
        <v>8000872.221757797</v>
      </c>
      <c r="AD151" s="21" t="n">
        <v>6667.393518131497</v>
      </c>
      <c r="AE151" s="21" t="n">
        <v>4428.825448766501</v>
      </c>
      <c r="AF151" s="21" t="n">
        <v>384701.4819074595</v>
      </c>
      <c r="AG151" s="25" t="n">
        <v>8374477.484698359</v>
      </c>
      <c r="AH151" s="25" t="n">
        <v>26419364.93937201</v>
      </c>
      <c r="AI151" s="21" t="n">
        <v>22016.13744947668</v>
      </c>
      <c r="AJ151" s="21" t="n">
        <v>14624.25002433469</v>
      </c>
      <c r="AK151" s="21" t="n">
        <v>1270307.606662096</v>
      </c>
      <c r="AL151" s="25" t="n">
        <v>27653032.15856029</v>
      </c>
      <c r="AM151" s="25" t="n">
        <v>239497974.6016569</v>
      </c>
      <c r="AN151" s="21" t="n">
        <v>199581.6455013808</v>
      </c>
      <c r="AO151" s="21" t="n">
        <v>132572.3865404784</v>
      </c>
      <c r="AP151" s="21" t="n">
        <v>11515647.69307744</v>
      </c>
      <c r="AQ151" s="25" t="n">
        <v>250681468.2626925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 t="n">
        <v>124938915.106968</v>
      </c>
      <c r="J152" s="19" t="n">
        <v>104115.76258914</v>
      </c>
      <c r="K152" s="19" t="n">
        <v>69159.04059338293</v>
      </c>
      <c r="L152" s="19" t="n">
        <v>6770822.106785099</v>
      </c>
      <c r="M152" s="24" t="n">
        <v>131536462.4105706</v>
      </c>
      <c r="N152" s="24" t="n">
        <v>15366386.66238447</v>
      </c>
      <c r="O152" s="19" t="n">
        <v>12805.32221865373</v>
      </c>
      <c r="P152" s="19" t="n">
        <v>8505.953153567894</v>
      </c>
      <c r="Q152" s="19" t="n">
        <v>832751.5124171099</v>
      </c>
      <c r="R152" s="24" t="n">
        <v>16177826.89942936</v>
      </c>
      <c r="S152" s="24" t="n">
        <v>38643077.47954833</v>
      </c>
      <c r="T152" s="19" t="n">
        <v>32202.56456629028</v>
      </c>
      <c r="U152" s="19" t="n">
        <v>21390.59845183716</v>
      </c>
      <c r="V152" s="19" t="n">
        <v>2094186.611503103</v>
      </c>
      <c r="W152" s="24" t="n">
        <v>40683670.9280333</v>
      </c>
      <c r="X152" s="24" t="n">
        <v>35705579.37053309</v>
      </c>
      <c r="Y152" s="19" t="n">
        <v>29754.64947544424</v>
      </c>
      <c r="Z152" s="19" t="n">
        <v>19764.56743667717</v>
      </c>
      <c r="AA152" s="19" t="n">
        <v>1934994.600606167</v>
      </c>
      <c r="AB152" s="24" t="n">
        <v>37591054.75422712</v>
      </c>
      <c r="AC152" s="24" t="n">
        <v>8374477.484698359</v>
      </c>
      <c r="AD152" s="19" t="n">
        <v>6978.731237248633</v>
      </c>
      <c r="AE152" s="19" t="n">
        <v>4635.631963161845</v>
      </c>
      <c r="AF152" s="19" t="n">
        <v>453838.5597283562</v>
      </c>
      <c r="AG152" s="24" t="n">
        <v>8816701.681226306</v>
      </c>
      <c r="AH152" s="24" t="n">
        <v>27653032.15856029</v>
      </c>
      <c r="AI152" s="19" t="n">
        <v>23044.19346546691</v>
      </c>
      <c r="AJ152" s="19" t="n">
        <v>15307.13766760837</v>
      </c>
      <c r="AK152" s="19" t="n">
        <v>1498602.427422367</v>
      </c>
      <c r="AL152" s="24" t="n">
        <v>29113283.25484958</v>
      </c>
      <c r="AM152" s="24" t="n">
        <v>250681468.2626925</v>
      </c>
      <c r="AN152" s="19" t="n">
        <v>208901.2235522438</v>
      </c>
      <c r="AO152" s="19" t="n">
        <v>138762.9292662354</v>
      </c>
      <c r="AP152" s="19" t="n">
        <v>13585195.8184622</v>
      </c>
      <c r="AQ152" s="24" t="n">
        <v>263918999.9283363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 t="n">
        <v>131536462.4105706</v>
      </c>
      <c r="J153" s="21" t="n">
        <v>109613.7186754755</v>
      </c>
      <c r="K153" s="21" t="n">
        <v>72811.06559612899</v>
      </c>
      <c r="L153" s="21" t="n">
        <v>6394929.840606503</v>
      </c>
      <c r="M153" s="25" t="n">
        <v>137748967.4669055</v>
      </c>
      <c r="N153" s="25" t="n">
        <v>16177826.89942936</v>
      </c>
      <c r="O153" s="21" t="n">
        <v>13481.52241619114</v>
      </c>
      <c r="P153" s="21" t="n">
        <v>8955.120078419493</v>
      </c>
      <c r="Q153" s="21" t="n">
        <v>786520.0728327741</v>
      </c>
      <c r="R153" s="25" t="n">
        <v>16941910.32976753</v>
      </c>
      <c r="S153" s="25" t="n">
        <v>40683670.9280333</v>
      </c>
      <c r="T153" s="21" t="n">
        <v>33903.05910669442</v>
      </c>
      <c r="U153" s="21" t="n">
        <v>22520.15432334075</v>
      </c>
      <c r="V153" s="21" t="n">
        <v>1977924.725016686</v>
      </c>
      <c r="W153" s="25" t="n">
        <v>42605172.43961995</v>
      </c>
      <c r="X153" s="25" t="n">
        <v>37591054.75422712</v>
      </c>
      <c r="Y153" s="21" t="n">
        <v>31325.87896185594</v>
      </c>
      <c r="Z153" s="21" t="n">
        <v>20808.25881567689</v>
      </c>
      <c r="AA153" s="21" t="n">
        <v>1827570.49552795</v>
      </c>
      <c r="AB153" s="25" t="n">
        <v>39366491.11197755</v>
      </c>
      <c r="AC153" s="25" t="n">
        <v>8816701.681226306</v>
      </c>
      <c r="AD153" s="21" t="n">
        <v>7347.251401021922</v>
      </c>
      <c r="AE153" s="21" t="n">
        <v>4880.421996218141</v>
      </c>
      <c r="AF153" s="21" t="n">
        <v>428643.0366434169</v>
      </c>
      <c r="AG153" s="25" t="n">
        <v>9233117.044472484</v>
      </c>
      <c r="AH153" s="25" t="n">
        <v>29113283.25484958</v>
      </c>
      <c r="AI153" s="21" t="n">
        <v>24261.06937904132</v>
      </c>
      <c r="AJ153" s="21" t="n">
        <v>16115.44919135051</v>
      </c>
      <c r="AK153" s="21" t="n">
        <v>1415405.283314853</v>
      </c>
      <c r="AL153" s="25" t="n">
        <v>30488312.01959404</v>
      </c>
      <c r="AM153" s="25" t="n">
        <v>263918999.9283363</v>
      </c>
      <c r="AN153" s="21" t="n">
        <v>219932.4999402802</v>
      </c>
      <c r="AO153" s="21" t="n">
        <v>146090.4700011348</v>
      </c>
      <c r="AP153" s="21" t="n">
        <v>12830993.45394218</v>
      </c>
      <c r="AQ153" s="25" t="n">
        <v>276383970.4123371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 t="n">
        <v>137748967.4669055</v>
      </c>
      <c r="J154" s="19" t="n">
        <v>114790.8062224212</v>
      </c>
      <c r="K154" s="19" t="n">
        <v>76249.95322381338</v>
      </c>
      <c r="L154" s="19" t="n">
        <v>5722349.90486666</v>
      </c>
      <c r="M154" s="24" t="n">
        <v>143280276.6123259</v>
      </c>
      <c r="N154" s="24" t="n">
        <v>16941910.32976753</v>
      </c>
      <c r="O154" s="19" t="n">
        <v>14118.25860813961</v>
      </c>
      <c r="P154" s="19" t="n">
        <v>9378.072982486618</v>
      </c>
      <c r="Q154" s="19" t="n">
        <v>703798.6617728844</v>
      </c>
      <c r="R154" s="24" t="n">
        <v>17622212.65994978</v>
      </c>
      <c r="S154" s="24" t="n">
        <v>42605172.43961995</v>
      </c>
      <c r="T154" s="19" t="n">
        <v>35504.31036634996</v>
      </c>
      <c r="U154" s="19" t="n">
        <v>23583.78770711308</v>
      </c>
      <c r="V154" s="19" t="n">
        <v>1769898.598443294</v>
      </c>
      <c r="W154" s="24" t="n">
        <v>44315982.93998978</v>
      </c>
      <c r="X154" s="24" t="n">
        <v>39366491.11197755</v>
      </c>
      <c r="Y154" s="19" t="n">
        <v>32805.40925998129</v>
      </c>
      <c r="Z154" s="19" t="n">
        <v>21791.03888089119</v>
      </c>
      <c r="AA154" s="19" t="n">
        <v>1635357.714922112</v>
      </c>
      <c r="AB154" s="24" t="n">
        <v>40947252.37875879</v>
      </c>
      <c r="AC154" s="24" t="n">
        <v>9233117.044472484</v>
      </c>
      <c r="AD154" s="19" t="n">
        <v>7694.264203727071</v>
      </c>
      <c r="AE154" s="19" t="n">
        <v>5110.925734671402</v>
      </c>
      <c r="AF154" s="19" t="n">
        <v>383560.961745529</v>
      </c>
      <c r="AG154" s="24" t="n">
        <v>9603872.816279614</v>
      </c>
      <c r="AH154" s="24" t="n">
        <v>30488312.01959404</v>
      </c>
      <c r="AI154" s="19" t="n">
        <v>25406.92668299504</v>
      </c>
      <c r="AJ154" s="19" t="n">
        <v>16876.58650454564</v>
      </c>
      <c r="AK154" s="19" t="n">
        <v>1266541.539970415</v>
      </c>
      <c r="AL154" s="24" t="n">
        <v>31712570.04637692</v>
      </c>
      <c r="AM154" s="24" t="n">
        <v>276383970.4123371</v>
      </c>
      <c r="AN154" s="19" t="n">
        <v>230319.9753436142</v>
      </c>
      <c r="AO154" s="19" t="n">
        <v>152990.3650335213</v>
      </c>
      <c r="AP154" s="19" t="n">
        <v>11481507.38172089</v>
      </c>
      <c r="AQ154" s="24" t="n">
        <v>287482167.4536808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 t="n">
        <v>143280276.6123259</v>
      </c>
      <c r="J155" s="21" t="n">
        <v>119400.2305102716</v>
      </c>
      <c r="K155" s="21" t="n">
        <v>79311.76973946957</v>
      </c>
      <c r="L155" s="21" t="n">
        <v>3898950.112692912</v>
      </c>
      <c r="M155" s="25" t="n">
        <v>146980514.7247691</v>
      </c>
      <c r="N155" s="25" t="n">
        <v>17622212.65994978</v>
      </c>
      <c r="O155" s="21" t="n">
        <v>14685.17721662482</v>
      </c>
      <c r="P155" s="21" t="n">
        <v>9754.649459307842</v>
      </c>
      <c r="Q155" s="21" t="n">
        <v>479536.5395776948</v>
      </c>
      <c r="R155" s="25" t="n">
        <v>18077309.37285155</v>
      </c>
      <c r="S155" s="25" t="n">
        <v>44315982.93998978</v>
      </c>
      <c r="T155" s="21" t="n">
        <v>36929.98578332482</v>
      </c>
      <c r="U155" s="21" t="n">
        <v>24530.79459236867</v>
      </c>
      <c r="V155" s="21" t="n">
        <v>1205928.762585221</v>
      </c>
      <c r="W155" s="25" t="n">
        <v>45460450.92219932</v>
      </c>
      <c r="X155" s="25" t="n">
        <v>40947252.37875879</v>
      </c>
      <c r="Y155" s="21" t="n">
        <v>34122.71031563233</v>
      </c>
      <c r="Z155" s="21" t="n">
        <v>22666.05794540101</v>
      </c>
      <c r="AA155" s="21" t="n">
        <v>1114258.696670414</v>
      </c>
      <c r="AB155" s="25" t="n">
        <v>42004722.30716817</v>
      </c>
      <c r="AC155" s="25" t="n">
        <v>9603872.816279614</v>
      </c>
      <c r="AD155" s="21" t="n">
        <v>8003.227346899679</v>
      </c>
      <c r="AE155" s="21" t="n">
        <v>5316.154933681873</v>
      </c>
      <c r="AF155" s="21" t="n">
        <v>261341.0713927986</v>
      </c>
      <c r="AG155" s="25" t="n">
        <v>9851894.505391832</v>
      </c>
      <c r="AH155" s="25" t="n">
        <v>31712570.04637692</v>
      </c>
      <c r="AI155" s="21" t="n">
        <v>26427.1417053141</v>
      </c>
      <c r="AJ155" s="21" t="n">
        <v>17554.26575683114</v>
      </c>
      <c r="AK155" s="21" t="n">
        <v>862964.0553434439</v>
      </c>
      <c r="AL155" s="25" t="n">
        <v>32531552.69425822</v>
      </c>
      <c r="AM155" s="25" t="n">
        <v>287482167.4536808</v>
      </c>
      <c r="AN155" s="21" t="n">
        <v>239568.4728780673</v>
      </c>
      <c r="AO155" s="21" t="n">
        <v>159133.6924270601</v>
      </c>
      <c r="AP155" s="21" t="n">
        <v>7822979.238262484</v>
      </c>
      <c r="AQ155" s="25" t="n">
        <v>294906444.5266382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 t="n">
        <v>146980514.7247691</v>
      </c>
      <c r="J156" s="19" t="n">
        <v>122483.7622706409</v>
      </c>
      <c r="K156" s="19" t="n">
        <v>81360.01001436346</v>
      </c>
      <c r="L156" s="19" t="n">
        <v>1240416.408579825</v>
      </c>
      <c r="M156" s="24" t="n">
        <v>148017087.3610639</v>
      </c>
      <c r="N156" s="24" t="n">
        <v>18077309.37285155</v>
      </c>
      <c r="O156" s="19" t="n">
        <v>15064.42447737629</v>
      </c>
      <c r="P156" s="19" t="n">
        <v>10006.56498150156</v>
      </c>
      <c r="Q156" s="19" t="n">
        <v>152560.2982888463</v>
      </c>
      <c r="R156" s="24" t="n">
        <v>18204798.68168152</v>
      </c>
      <c r="S156" s="24" t="n">
        <v>45460450.92219932</v>
      </c>
      <c r="T156" s="19" t="n">
        <v>37883.70910183276</v>
      </c>
      <c r="U156" s="19" t="n">
        <v>25164.30663760846</v>
      </c>
      <c r="V156" s="19" t="n">
        <v>383655.5435319283</v>
      </c>
      <c r="W156" s="24" t="n">
        <v>45781058.44999181</v>
      </c>
      <c r="X156" s="24" t="n">
        <v>42004722.30716817</v>
      </c>
      <c r="Y156" s="19" t="n">
        <v>35003.93525597348</v>
      </c>
      <c r="Z156" s="19" t="n">
        <v>23251.41284177203</v>
      </c>
      <c r="AA156" s="19" t="n">
        <v>354491.5248474768</v>
      </c>
      <c r="AB156" s="24" t="n">
        <v>42300958.4839179</v>
      </c>
      <c r="AC156" s="24" t="n">
        <v>9851894.505391832</v>
      </c>
      <c r="AD156" s="19" t="n">
        <v>8209.912087826528</v>
      </c>
      <c r="AE156" s="19" t="n">
        <v>5453.445561271089</v>
      </c>
      <c r="AF156" s="19" t="n">
        <v>83143.34470095625</v>
      </c>
      <c r="AG156" s="24" t="n">
        <v>9921374.492443692</v>
      </c>
      <c r="AH156" s="24" t="n">
        <v>32531552.69425822</v>
      </c>
      <c r="AI156" s="19" t="n">
        <v>27109.62724521519</v>
      </c>
      <c r="AJ156" s="19" t="n">
        <v>18007.607729119</v>
      </c>
      <c r="AK156" s="19" t="n">
        <v>274544.3627959816</v>
      </c>
      <c r="AL156" s="24" t="n">
        <v>32760979.82207987</v>
      </c>
      <c r="AM156" s="24" t="n">
        <v>294906444.5266382</v>
      </c>
      <c r="AN156" s="19" t="n">
        <v>245755.3704388652</v>
      </c>
      <c r="AO156" s="19" t="n">
        <v>163243.3477656356</v>
      </c>
      <c r="AP156" s="19" t="n">
        <v>2488811.482745015</v>
      </c>
      <c r="AQ156" s="24" t="n">
        <v>296986257.2911787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 t="n">
        <v>148017087.3610639</v>
      </c>
      <c r="J157" s="21" t="n">
        <v>123347.5728008866</v>
      </c>
      <c r="K157" s="21" t="n">
        <v>81933.79736452676</v>
      </c>
      <c r="L157" s="21" t="n">
        <v>2733604.216310028</v>
      </c>
      <c r="M157" s="25" t="n">
        <v>150545410.2072085</v>
      </c>
      <c r="N157" s="25" t="n">
        <v>18204798.68168152</v>
      </c>
      <c r="O157" s="21" t="n">
        <v>15170.66556806793</v>
      </c>
      <c r="P157" s="21" t="n">
        <v>10077.13577425292</v>
      </c>
      <c r="Q157" s="21" t="n">
        <v>336209.2534082014</v>
      </c>
      <c r="R157" s="25" t="n">
        <v>18515760.1337474</v>
      </c>
      <c r="S157" s="25" t="n">
        <v>45781058.44999181</v>
      </c>
      <c r="T157" s="21" t="n">
        <v>38150.88204165984</v>
      </c>
      <c r="U157" s="21" t="n">
        <v>25341.77663572843</v>
      </c>
      <c r="V157" s="21" t="n">
        <v>845492.2106442797</v>
      </c>
      <c r="W157" s="25" t="n">
        <v>46563058.0019587</v>
      </c>
      <c r="X157" s="25" t="n">
        <v>42300958.4839179</v>
      </c>
      <c r="Y157" s="21" t="n">
        <v>35250.79873659826</v>
      </c>
      <c r="Z157" s="21" t="n">
        <v>23415.39225327502</v>
      </c>
      <c r="AA157" s="21" t="n">
        <v>781221.1449852586</v>
      </c>
      <c r="AB157" s="25" t="n">
        <v>43023513.43791329</v>
      </c>
      <c r="AC157" s="25" t="n">
        <v>9921374.492443692</v>
      </c>
      <c r="AD157" s="21" t="n">
        <v>8267.812077036411</v>
      </c>
      <c r="AE157" s="21" t="n">
        <v>5491.905709903188</v>
      </c>
      <c r="AF157" s="21" t="n">
        <v>183229.5961747797</v>
      </c>
      <c r="AG157" s="25" t="n">
        <v>10090844.37083153</v>
      </c>
      <c r="AH157" s="25" t="n">
        <v>32760979.82207987</v>
      </c>
      <c r="AI157" s="21" t="n">
        <v>27300.81651839989</v>
      </c>
      <c r="AJ157" s="21" t="n">
        <v>18134.60547063658</v>
      </c>
      <c r="AK157" s="21" t="n">
        <v>605035.2305178717</v>
      </c>
      <c r="AL157" s="25" t="n">
        <v>33320579.63060871</v>
      </c>
      <c r="AM157" s="25" t="n">
        <v>296986257.2911787</v>
      </c>
      <c r="AN157" s="21" t="n">
        <v>247488.547742649</v>
      </c>
      <c r="AO157" s="21" t="n">
        <v>164394.6132083229</v>
      </c>
      <c r="AP157" s="21" t="n">
        <v>5484791.652040419</v>
      </c>
      <c r="AQ157" s="25" t="n">
        <v>302059165.7822682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 t="n">
        <v>150545410.2072085</v>
      </c>
      <c r="J158" s="19" t="n">
        <v>125454.5085060071</v>
      </c>
      <c r="K158" s="19" t="n">
        <v>83333.33234688184</v>
      </c>
      <c r="L158" s="19" t="n">
        <v>8623504.379116062</v>
      </c>
      <c r="M158" s="24" t="n">
        <v>158960126.7454717</v>
      </c>
      <c r="N158" s="24" t="n">
        <v>18515760.1337474</v>
      </c>
      <c r="O158" s="19" t="n">
        <v>15429.80011145617</v>
      </c>
      <c r="P158" s="19" t="n">
        <v>10249.26625632081</v>
      </c>
      <c r="Q158" s="19" t="n">
        <v>1060615.121884252</v>
      </c>
      <c r="R158" s="24" t="n">
        <v>19550696.18926387</v>
      </c>
      <c r="S158" s="24" t="n">
        <v>46563058.0019587</v>
      </c>
      <c r="T158" s="19" t="n">
        <v>38802.54833496558</v>
      </c>
      <c r="U158" s="19" t="n">
        <v>25774.64688045709</v>
      </c>
      <c r="V158" s="19" t="n">
        <v>2667213.394498421</v>
      </c>
      <c r="W158" s="24" t="n">
        <v>49165694.2012417</v>
      </c>
      <c r="X158" s="24" t="n">
        <v>43023513.43791329</v>
      </c>
      <c r="Y158" s="19" t="n">
        <v>35852.92786492775</v>
      </c>
      <c r="Z158" s="19" t="n">
        <v>23815.35736703909</v>
      </c>
      <c r="AA158" s="19" t="n">
        <v>2464462.091711374</v>
      </c>
      <c r="AB158" s="24" t="n">
        <v>45428307.2443927</v>
      </c>
      <c r="AC158" s="24" t="n">
        <v>10090844.37083153</v>
      </c>
      <c r="AD158" s="19" t="n">
        <v>8409.036975692945</v>
      </c>
      <c r="AE158" s="19" t="n">
        <v>5585.714545915137</v>
      </c>
      <c r="AF158" s="19" t="n">
        <v>578021.2130085762</v>
      </c>
      <c r="AG158" s="24" t="n">
        <v>10654870.8323185</v>
      </c>
      <c r="AH158" s="24" t="n">
        <v>33320579.63060871</v>
      </c>
      <c r="AI158" s="19" t="n">
        <v>27767.14969217392</v>
      </c>
      <c r="AJ158" s="19" t="n">
        <v>18444.36793208392</v>
      </c>
      <c r="AK158" s="19" t="n">
        <v>1908661.074181861</v>
      </c>
      <c r="AL158" s="24" t="n">
        <v>35183029.18716631</v>
      </c>
      <c r="AM158" s="24" t="n">
        <v>302059165.7822682</v>
      </c>
      <c r="AN158" s="19" t="n">
        <v>251715.9714852235</v>
      </c>
      <c r="AO158" s="19" t="n">
        <v>167202.6853286979</v>
      </c>
      <c r="AP158" s="19" t="n">
        <v>17302477.27440055</v>
      </c>
      <c r="AQ158" s="24" t="n">
        <v>318942724.3998548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 t="n">
        <v>158960126.7454717</v>
      </c>
      <c r="J159" s="21" t="n">
        <v>132466.7722878931</v>
      </c>
      <c r="K159" s="21" t="n">
        <v>87991.2383496137</v>
      </c>
      <c r="L159" s="21" t="n">
        <v>7650292.765162067</v>
      </c>
      <c r="M159" s="25" t="n">
        <v>166389961.4999963</v>
      </c>
      <c r="N159" s="25" t="n">
        <v>19550696.18926387</v>
      </c>
      <c r="O159" s="21" t="n">
        <v>16292.24682438656</v>
      </c>
      <c r="P159" s="21" t="n">
        <v>10822.14768892922</v>
      </c>
      <c r="Q159" s="21" t="n">
        <v>940918.661005457</v>
      </c>
      <c r="R159" s="25" t="n">
        <v>20464500.45575601</v>
      </c>
      <c r="S159" s="25" t="n">
        <v>49165694.2012417</v>
      </c>
      <c r="T159" s="21" t="n">
        <v>40971.41183436809</v>
      </c>
      <c r="U159" s="21" t="n">
        <v>27215.31748658421</v>
      </c>
      <c r="V159" s="21" t="n">
        <v>2366203.162659751</v>
      </c>
      <c r="W159" s="25" t="n">
        <v>51463710.6345805</v>
      </c>
      <c r="X159" s="25" t="n">
        <v>45428307.2443927</v>
      </c>
      <c r="Y159" s="21" t="n">
        <v>37856.92270366059</v>
      </c>
      <c r="Z159" s="21" t="n">
        <v>25146.51373524217</v>
      </c>
      <c r="AA159" s="21" t="n">
        <v>2186333.499858242</v>
      </c>
      <c r="AB159" s="25" t="n">
        <v>47551637.30781204</v>
      </c>
      <c r="AC159" s="25" t="n">
        <v>10654870.8323185</v>
      </c>
      <c r="AD159" s="21" t="n">
        <v>8879.059026932086</v>
      </c>
      <c r="AE159" s="21" t="n">
        <v>5897.927349366509</v>
      </c>
      <c r="AF159" s="21" t="n">
        <v>512788.2250165897</v>
      </c>
      <c r="AG159" s="25" t="n">
        <v>11152882.07095879</v>
      </c>
      <c r="AH159" s="25" t="n">
        <v>35183029.18716631</v>
      </c>
      <c r="AI159" s="21" t="n">
        <v>29319.19098930526</v>
      </c>
      <c r="AJ159" s="21" t="n">
        <v>19475.31352957704</v>
      </c>
      <c r="AK159" s="21" t="n">
        <v>1693257.794629506</v>
      </c>
      <c r="AL159" s="25" t="n">
        <v>36827492.47727694</v>
      </c>
      <c r="AM159" s="25" t="n">
        <v>318942724.3998548</v>
      </c>
      <c r="AN159" s="21" t="n">
        <v>265785.6036665457</v>
      </c>
      <c r="AO159" s="21" t="n">
        <v>176548.4581393129</v>
      </c>
      <c r="AP159" s="21" t="n">
        <v>15349794.10833161</v>
      </c>
      <c r="AQ159" s="25" t="n">
        <v>333850184.4463806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 t="n">
        <v>166389961.4999963</v>
      </c>
      <c r="J160" s="19" t="n">
        <v>138658.3012499969</v>
      </c>
      <c r="K160" s="19" t="n">
        <v>92103.97010296982</v>
      </c>
      <c r="L160" s="19" t="n">
        <v>1855933.358700116</v>
      </c>
      <c r="M160" s="24" t="n">
        <v>168015132.5873434</v>
      </c>
      <c r="N160" s="24" t="n">
        <v>20464500.45575601</v>
      </c>
      <c r="O160" s="19" t="n">
        <v>17053.75037979668</v>
      </c>
      <c r="P160" s="19" t="n">
        <v>11327.9774882886</v>
      </c>
      <c r="Q160" s="19" t="n">
        <v>228263.464469713</v>
      </c>
      <c r="R160" s="24" t="n">
        <v>20664382.19235764</v>
      </c>
      <c r="S160" s="24" t="n">
        <v>51463710.6345805</v>
      </c>
      <c r="T160" s="19" t="n">
        <v>42886.42552881709</v>
      </c>
      <c r="U160" s="19" t="n">
        <v>28487.36800552357</v>
      </c>
      <c r="V160" s="19" t="n">
        <v>574032.3302449349</v>
      </c>
      <c r="W160" s="24" t="n">
        <v>51966369.1712911</v>
      </c>
      <c r="X160" s="24" t="n">
        <v>47551637.30781204</v>
      </c>
      <c r="Y160" s="19" t="n">
        <v>39626.3644231767</v>
      </c>
      <c r="Z160" s="19" t="n">
        <v>26321.86786668667</v>
      </c>
      <c r="AA160" s="19" t="n">
        <v>530396.600520755</v>
      </c>
      <c r="AB160" s="24" t="n">
        <v>48016085.67604293</v>
      </c>
      <c r="AC160" s="24" t="n">
        <v>11152882.07095879</v>
      </c>
      <c r="AD160" s="19" t="n">
        <v>9294.068392465662</v>
      </c>
      <c r="AE160" s="19" t="n">
        <v>6173.597899567757</v>
      </c>
      <c r="AF160" s="19" t="n">
        <v>124400.568967866</v>
      </c>
      <c r="AG160" s="24" t="n">
        <v>11261814.97363463</v>
      </c>
      <c r="AH160" s="24" t="n">
        <v>36827492.47727694</v>
      </c>
      <c r="AI160" s="19" t="n">
        <v>30689.57706439745</v>
      </c>
      <c r="AJ160" s="19" t="n">
        <v>20385.5943923308</v>
      </c>
      <c r="AK160" s="19" t="n">
        <v>410778.2175660722</v>
      </c>
      <c r="AL160" s="24" t="n">
        <v>37187195.52338628</v>
      </c>
      <c r="AM160" s="24" t="n">
        <v>333850184.4463806</v>
      </c>
      <c r="AN160" s="19" t="n">
        <v>278208.4870386505</v>
      </c>
      <c r="AO160" s="19" t="n">
        <v>184800.3757553672</v>
      </c>
      <c r="AP160" s="19" t="n">
        <v>3723804.540469457</v>
      </c>
      <c r="AQ160" s="24" t="n">
        <v>337110980.124056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 t="n">
        <v>168015132.5873434</v>
      </c>
      <c r="J161" s="21" t="n">
        <v>140012.6104894529</v>
      </c>
      <c r="K161" s="21" t="n">
        <v>93003.57190521699</v>
      </c>
      <c r="L161" s="21" t="n">
        <v>5484975.630950114</v>
      </c>
      <c r="M161" s="25" t="n">
        <v>173267092.0358989</v>
      </c>
      <c r="N161" s="25" t="n">
        <v>20664382.19235764</v>
      </c>
      <c r="O161" s="21" t="n">
        <v>17220.31849363137</v>
      </c>
      <c r="P161" s="21" t="n">
        <v>11438.62059034909</v>
      </c>
      <c r="Q161" s="21" t="n">
        <v>674603.7157980336</v>
      </c>
      <c r="R161" s="25" t="n">
        <v>21310326.9690717</v>
      </c>
      <c r="S161" s="25" t="n">
        <v>51966369.1712911</v>
      </c>
      <c r="T161" s="21" t="n">
        <v>43305.30764274258</v>
      </c>
      <c r="U161" s="21" t="n">
        <v>28765.61103424857</v>
      </c>
      <c r="V161" s="21" t="n">
        <v>1696479.740509758</v>
      </c>
      <c r="W161" s="25" t="n">
        <v>53590777.99312386</v>
      </c>
      <c r="X161" s="25" t="n">
        <v>48016085.67604293</v>
      </c>
      <c r="Y161" s="21" t="n">
        <v>40013.40473003578</v>
      </c>
      <c r="Z161" s="21" t="n">
        <v>26578.95993063256</v>
      </c>
      <c r="AA161" s="21" t="n">
        <v>1567519.87616232</v>
      </c>
      <c r="AB161" s="25" t="n">
        <v>49517013.18754458</v>
      </c>
      <c r="AC161" s="25" t="n">
        <v>11261814.97363463</v>
      </c>
      <c r="AD161" s="21" t="n">
        <v>9384.845811362189</v>
      </c>
      <c r="AE161" s="21" t="n">
        <v>6233.896926749663</v>
      </c>
      <c r="AF161" s="21" t="n">
        <v>367650.1023414853</v>
      </c>
      <c r="AG161" s="25" t="n">
        <v>11613846.333238</v>
      </c>
      <c r="AH161" s="25" t="n">
        <v>37187195.52338628</v>
      </c>
      <c r="AI161" s="21" t="n">
        <v>30989.3296028219</v>
      </c>
      <c r="AJ161" s="21" t="n">
        <v>20584.70543428391</v>
      </c>
      <c r="AK161" s="21" t="n">
        <v>1214002.917999757</v>
      </c>
      <c r="AL161" s="25" t="n">
        <v>38349624.40634894</v>
      </c>
      <c r="AM161" s="25" t="n">
        <v>337110980.124056</v>
      </c>
      <c r="AN161" s="21" t="n">
        <v>280925.8167700467</v>
      </c>
      <c r="AO161" s="21" t="n">
        <v>186605.3658214808</v>
      </c>
      <c r="AP161" s="21" t="n">
        <v>11005231.98376147</v>
      </c>
      <c r="AQ161" s="25" t="n">
        <v>347648680.9252259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 t="n">
        <v>173267092.0358989</v>
      </c>
      <c r="J162" s="19" t="n">
        <v>144389.2433632491</v>
      </c>
      <c r="K162" s="19" t="n">
        <v>95910.75639922728</v>
      </c>
      <c r="L162" s="19" t="n">
        <v>6639106.839805868</v>
      </c>
      <c r="M162" s="24" t="n">
        <v>179665898.8759423</v>
      </c>
      <c r="N162" s="24" t="n">
        <v>21310326.9690717</v>
      </c>
      <c r="O162" s="19" t="n">
        <v>17758.60580755975</v>
      </c>
      <c r="P162" s="19" t="n">
        <v>11796.17868980597</v>
      </c>
      <c r="Q162" s="19" t="n">
        <v>816551.6941298357</v>
      </c>
      <c r="R162" s="24" t="n">
        <v>22097323.87870416</v>
      </c>
      <c r="S162" s="24" t="n">
        <v>53590777.99312386</v>
      </c>
      <c r="T162" s="19" t="n">
        <v>44658.98166093655</v>
      </c>
      <c r="U162" s="19" t="n">
        <v>29664.790889886</v>
      </c>
      <c r="V162" s="19" t="n">
        <v>2053447.637079002</v>
      </c>
      <c r="W162" s="24" t="n">
        <v>55569901.85765203</v>
      </c>
      <c r="X162" s="24" t="n">
        <v>49517013.18754458</v>
      </c>
      <c r="Y162" s="19" t="n">
        <v>41264.17765628715</v>
      </c>
      <c r="Z162" s="19" t="n">
        <v>27409.78759234865</v>
      </c>
      <c r="AA162" s="19" t="n">
        <v>1897352.446314917</v>
      </c>
      <c r="AB162" s="24" t="n">
        <v>51345691.66861086</v>
      </c>
      <c r="AC162" s="24" t="n">
        <v>11613846.333238</v>
      </c>
      <c r="AD162" s="19" t="n">
        <v>9678.205277698336</v>
      </c>
      <c r="AE162" s="19" t="n">
        <v>6428.761361646583</v>
      </c>
      <c r="AF162" s="19" t="n">
        <v>445009.8730316279</v>
      </c>
      <c r="AG162" s="24" t="n">
        <v>12042749.23963028</v>
      </c>
      <c r="AH162" s="24" t="n">
        <v>38349624.40634894</v>
      </c>
      <c r="AI162" s="19" t="n">
        <v>31958.02033862412</v>
      </c>
      <c r="AJ162" s="19" t="n">
        <v>21228.15960734845</v>
      </c>
      <c r="AK162" s="19" t="n">
        <v>1469449.568920022</v>
      </c>
      <c r="AL162" s="24" t="n">
        <v>39765887.79532298</v>
      </c>
      <c r="AM162" s="24" t="n">
        <v>347648680.9252259</v>
      </c>
      <c r="AN162" s="19" t="n">
        <v>289707.234104355</v>
      </c>
      <c r="AO162" s="19" t="n">
        <v>192438.4345402629</v>
      </c>
      <c r="AP162" s="19" t="n">
        <v>13320918.05928127</v>
      </c>
      <c r="AQ162" s="24" t="n">
        <v>360487453.3158625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 t="n">
        <v>179665898.8759423</v>
      </c>
      <c r="J163" s="21" t="n">
        <v>149721.5823966186</v>
      </c>
      <c r="K163" s="21" t="n">
        <v>99452.77004342209</v>
      </c>
      <c r="L163" s="21" t="n">
        <v>10136124.6148675</v>
      </c>
      <c r="M163" s="25" t="n">
        <v>189552849.1383697</v>
      </c>
      <c r="N163" s="25" t="n">
        <v>22097323.87870416</v>
      </c>
      <c r="O163" s="21" t="n">
        <v>18414.43656558681</v>
      </c>
      <c r="P163" s="21" t="n">
        <v>12231.81518603726</v>
      </c>
      <c r="Q163" s="21" t="n">
        <v>1246654.094577456</v>
      </c>
      <c r="R163" s="25" t="n">
        <v>23313331.72153</v>
      </c>
      <c r="S163" s="25" t="n">
        <v>55569901.85765203</v>
      </c>
      <c r="T163" s="21" t="n">
        <v>46308.25154804336</v>
      </c>
      <c r="U163" s="21" t="n">
        <v>30760.32071395283</v>
      </c>
      <c r="V163" s="21" t="n">
        <v>3135060.429325247</v>
      </c>
      <c r="W163" s="25" t="n">
        <v>58627893.71471528</v>
      </c>
      <c r="X163" s="25" t="n">
        <v>51345691.66861086</v>
      </c>
      <c r="Y163" s="21" t="n">
        <v>42788.07639050905</v>
      </c>
      <c r="Z163" s="21" t="n">
        <v>28422.03945315623</v>
      </c>
      <c r="AA163" s="21" t="n">
        <v>2896745.194528914</v>
      </c>
      <c r="AB163" s="25" t="n">
        <v>54171226.7472961</v>
      </c>
      <c r="AC163" s="25" t="n">
        <v>12042749.23963028</v>
      </c>
      <c r="AD163" s="21" t="n">
        <v>10035.62436635857</v>
      </c>
      <c r="AE163" s="21" t="n">
        <v>6666.177490067483</v>
      </c>
      <c r="AF163" s="21" t="n">
        <v>679409.9924481465</v>
      </c>
      <c r="AG163" s="25" t="n">
        <v>12705457.430222</v>
      </c>
      <c r="AH163" s="25" t="n">
        <v>39765887.79532298</v>
      </c>
      <c r="AI163" s="21" t="n">
        <v>33138.23982943582</v>
      </c>
      <c r="AJ163" s="21" t="n">
        <v>22012.12205111642</v>
      </c>
      <c r="AK163" s="21" t="n">
        <v>2243452.968181514</v>
      </c>
      <c r="AL163" s="25" t="n">
        <v>41954190.40162394</v>
      </c>
      <c r="AM163" s="25" t="n">
        <v>360487453.3158625</v>
      </c>
      <c r="AN163" s="21" t="n">
        <v>300406.2110965522</v>
      </c>
      <c r="AO163" s="21" t="n">
        <v>199545.2449377523</v>
      </c>
      <c r="AP163" s="21" t="n">
        <v>20337447.29392878</v>
      </c>
      <c r="AQ163" s="25" t="n">
        <v>380324949.1537571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 t="n">
        <v>189552849.1383697</v>
      </c>
      <c r="J164" s="19" t="n">
        <v>157960.7076153081</v>
      </c>
      <c r="K164" s="19" t="n">
        <v>104925.6204676359</v>
      </c>
      <c r="L164" s="19" t="n">
        <v>5113437.650183723</v>
      </c>
      <c r="M164" s="24" t="n">
        <v>194403400.4604705</v>
      </c>
      <c r="N164" s="24" t="n">
        <v>23313331.72153</v>
      </c>
      <c r="O164" s="19" t="n">
        <v>19427.77643460833</v>
      </c>
      <c r="P164" s="19" t="n">
        <v>12904.9276081506</v>
      </c>
      <c r="Q164" s="19" t="n">
        <v>628907.8149865858</v>
      </c>
      <c r="R164" s="24" t="n">
        <v>23909906.83247383</v>
      </c>
      <c r="S164" s="24" t="n">
        <v>58627893.71471528</v>
      </c>
      <c r="T164" s="19" t="n">
        <v>48856.57809559607</v>
      </c>
      <c r="U164" s="19" t="n">
        <v>32453.05017935442</v>
      </c>
      <c r="V164" s="19" t="n">
        <v>1581564.616066278</v>
      </c>
      <c r="W164" s="24" t="n">
        <v>60128148.70250661</v>
      </c>
      <c r="X164" s="24" t="n">
        <v>54171226.7472961</v>
      </c>
      <c r="Y164" s="19" t="n">
        <v>45142.68895608008</v>
      </c>
      <c r="Z164" s="19" t="n">
        <v>29986.09413569863</v>
      </c>
      <c r="AA164" s="19" t="n">
        <v>1461340.15745687</v>
      </c>
      <c r="AB164" s="24" t="n">
        <v>55557438.12166119</v>
      </c>
      <c r="AC164" s="24" t="n">
        <v>12705457.430222</v>
      </c>
      <c r="AD164" s="19" t="n">
        <v>10587.88119185167</v>
      </c>
      <c r="AE164" s="19" t="n">
        <v>7033.014857075675</v>
      </c>
      <c r="AF164" s="19" t="n">
        <v>342746.4408043691</v>
      </c>
      <c r="AG164" s="24" t="n">
        <v>13030582.97497745</v>
      </c>
      <c r="AH164" s="24" t="n">
        <v>41954190.40162394</v>
      </c>
      <c r="AI164" s="19" t="n">
        <v>34961.82533468662</v>
      </c>
      <c r="AJ164" s="19" t="n">
        <v>23223.44126779284</v>
      </c>
      <c r="AK164" s="19" t="n">
        <v>1131769.51841034</v>
      </c>
      <c r="AL164" s="24" t="n">
        <v>43027774.6534318</v>
      </c>
      <c r="AM164" s="24" t="n">
        <v>380324949.1537571</v>
      </c>
      <c r="AN164" s="19" t="n">
        <v>316937.4576281309</v>
      </c>
      <c r="AO164" s="19" t="n">
        <v>210526.148515708</v>
      </c>
      <c r="AP164" s="19" t="n">
        <v>10259766.19790817</v>
      </c>
      <c r="AQ164" s="24" t="n">
        <v>390057251.7455213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 t="n">
        <v>194403400.4604705</v>
      </c>
      <c r="J165" s="21" t="n">
        <v>162002.8337170588</v>
      </c>
      <c r="K165" s="21" t="n">
        <v>107610.6083715107</v>
      </c>
      <c r="L165" s="21" t="n">
        <v>5977922.003974609</v>
      </c>
      <c r="M165" s="25" t="n">
        <v>200111709.0223566</v>
      </c>
      <c r="N165" s="25" t="n">
        <v>23909906.83247383</v>
      </c>
      <c r="O165" s="21" t="n">
        <v>19924.92236039486</v>
      </c>
      <c r="P165" s="21" t="n">
        <v>13235.15748312143</v>
      </c>
      <c r="Q165" s="21" t="n">
        <v>735231.7800423017</v>
      </c>
      <c r="R165" s="25" t="n">
        <v>24611978.53267261</v>
      </c>
      <c r="S165" s="25" t="n">
        <v>60128148.70250661</v>
      </c>
      <c r="T165" s="21" t="n">
        <v>50106.79058542218</v>
      </c>
      <c r="U165" s="21" t="n">
        <v>33283.50557039294</v>
      </c>
      <c r="V165" s="21" t="n">
        <v>1848945.966663065</v>
      </c>
      <c r="W165" s="25" t="n">
        <v>61893704.37301386</v>
      </c>
      <c r="X165" s="25" t="n">
        <v>55557438.12166119</v>
      </c>
      <c r="Y165" s="21" t="n">
        <v>46297.86510138433</v>
      </c>
      <c r="Z165" s="21" t="n">
        <v>30753.42150226528</v>
      </c>
      <c r="AA165" s="21" t="n">
        <v>1708396.206266301</v>
      </c>
      <c r="AB165" s="25" t="n">
        <v>57188783.04132384</v>
      </c>
      <c r="AC165" s="25" t="n">
        <v>13030582.97497745</v>
      </c>
      <c r="AD165" s="21" t="n">
        <v>10858.81914581454</v>
      </c>
      <c r="AE165" s="21" t="n">
        <v>7212.985771089424</v>
      </c>
      <c r="AF165" s="21" t="n">
        <v>400691.5954465197</v>
      </c>
      <c r="AG165" s="25" t="n">
        <v>13413202.76550706</v>
      </c>
      <c r="AH165" s="25" t="n">
        <v>43027774.6534318</v>
      </c>
      <c r="AI165" s="21" t="n">
        <v>35856.47887785984</v>
      </c>
      <c r="AJ165" s="21" t="n">
        <v>23817.71613233467</v>
      </c>
      <c r="AK165" s="21" t="n">
        <v>1323107.930589479</v>
      </c>
      <c r="AL165" s="25" t="n">
        <v>44291208.38901109</v>
      </c>
      <c r="AM165" s="25" t="n">
        <v>390057251.7455213</v>
      </c>
      <c r="AN165" s="21" t="n">
        <v>325047.7097879345</v>
      </c>
      <c r="AO165" s="21" t="n">
        <v>215913.3948307145</v>
      </c>
      <c r="AP165" s="21" t="n">
        <v>11994295.48298228</v>
      </c>
      <c r="AQ165" s="25" t="n">
        <v>401510586.123885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 t="n">
        <v>200111709.0223566</v>
      </c>
      <c r="J166" s="19" t="n">
        <v>166759.7575186305</v>
      </c>
      <c r="K166" s="19" t="n">
        <v>110770.4016449919</v>
      </c>
      <c r="L166" s="19" t="n">
        <v>11700418.46595552</v>
      </c>
      <c r="M166" s="24" t="n">
        <v>211534597.3291485</v>
      </c>
      <c r="N166" s="24" t="n">
        <v>24611978.53267261</v>
      </c>
      <c r="O166" s="19" t="n">
        <v>20509.98211056051</v>
      </c>
      <c r="P166" s="19" t="n">
        <v>13623.78423861985</v>
      </c>
      <c r="Q166" s="19" t="n">
        <v>1439048.467050028</v>
      </c>
      <c r="R166" s="24" t="n">
        <v>26016893.23337346</v>
      </c>
      <c r="S166" s="24" t="n">
        <v>61893704.37301386</v>
      </c>
      <c r="T166" s="19" t="n">
        <v>51578.08697751156</v>
      </c>
      <c r="U166" s="19" t="n">
        <v>34260.81625203242</v>
      </c>
      <c r="V166" s="19" t="n">
        <v>3618889.894601306</v>
      </c>
      <c r="W166" s="24" t="n">
        <v>65426755.36438563</v>
      </c>
      <c r="X166" s="24" t="n">
        <v>57188783.04132384</v>
      </c>
      <c r="Y166" s="19" t="n">
        <v>47657.3192011032</v>
      </c>
      <c r="Z166" s="19" t="n">
        <v>31656.44078512174</v>
      </c>
      <c r="AA166" s="19" t="n">
        <v>3343795.804909514</v>
      </c>
      <c r="AB166" s="24" t="n">
        <v>60453265.08624712</v>
      </c>
      <c r="AC166" s="24" t="n">
        <v>13413202.76550706</v>
      </c>
      <c r="AD166" s="19" t="n">
        <v>11177.66897125589</v>
      </c>
      <c r="AE166" s="19" t="n">
        <v>7424.78221259377</v>
      </c>
      <c r="AF166" s="19" t="n">
        <v>784262.3807066234</v>
      </c>
      <c r="AG166" s="24" t="n">
        <v>14178862.69502983</v>
      </c>
      <c r="AH166" s="24" t="n">
        <v>44291208.38901109</v>
      </c>
      <c r="AI166" s="19" t="n">
        <v>36909.34032417592</v>
      </c>
      <c r="AJ166" s="19" t="n">
        <v>24517.08081731827</v>
      </c>
      <c r="AK166" s="19" t="n">
        <v>2589681.908400337</v>
      </c>
      <c r="AL166" s="24" t="n">
        <v>46819463.87626993</v>
      </c>
      <c r="AM166" s="24" t="n">
        <v>401510586.123885</v>
      </c>
      <c r="AN166" s="19" t="n">
        <v>334592.1551032375</v>
      </c>
      <c r="AO166" s="19" t="n">
        <v>222253.3059506779</v>
      </c>
      <c r="AP166" s="19" t="n">
        <v>23476096.92162333</v>
      </c>
      <c r="AQ166" s="24" t="n">
        <v>424429837.5844545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 t="n">
        <v>211534597.3291485</v>
      </c>
      <c r="J167" s="21" t="n">
        <v>176278.8311076237</v>
      </c>
      <c r="K167" s="21" t="n">
        <v>117093.4595603479</v>
      </c>
      <c r="L167" s="21" t="n">
        <v>6306863.047737083</v>
      </c>
      <c r="M167" s="25" t="n">
        <v>217548088.0862176</v>
      </c>
      <c r="N167" s="25" t="n">
        <v>26016893.23337346</v>
      </c>
      <c r="O167" s="21" t="n">
        <v>21680.74436114455</v>
      </c>
      <c r="P167" s="21" t="n">
        <v>14401.46469736902</v>
      </c>
      <c r="Q167" s="21" t="n">
        <v>775688.6326030502</v>
      </c>
      <c r="R167" s="25" t="n">
        <v>26756499.65691799</v>
      </c>
      <c r="S167" s="25" t="n">
        <v>65426755.36438563</v>
      </c>
      <c r="T167" s="21" t="n">
        <v>54522.29613698803</v>
      </c>
      <c r="U167" s="21" t="n">
        <v>36216.51129485854</v>
      </c>
      <c r="V167" s="21" t="n">
        <v>1950686.038837006</v>
      </c>
      <c r="W167" s="25" t="n">
        <v>67286702.59579079</v>
      </c>
      <c r="X167" s="25" t="n">
        <v>60453265.08624712</v>
      </c>
      <c r="Y167" s="21" t="n">
        <v>50377.72090520594</v>
      </c>
      <c r="Z167" s="21" t="n">
        <v>33463.47141339256</v>
      </c>
      <c r="AA167" s="21" t="n">
        <v>1802402.389497773</v>
      </c>
      <c r="AB167" s="25" t="n">
        <v>62171826.2834263</v>
      </c>
      <c r="AC167" s="25" t="n">
        <v>14178862.69502983</v>
      </c>
      <c r="AD167" s="21" t="n">
        <v>11815.71891252486</v>
      </c>
      <c r="AE167" s="21" t="n">
        <v>7848.60777648038</v>
      </c>
      <c r="AF167" s="21" t="n">
        <v>422740.044982227</v>
      </c>
      <c r="AG167" s="25" t="n">
        <v>14581938.41332306</v>
      </c>
      <c r="AH167" s="25" t="n">
        <v>46819463.87626993</v>
      </c>
      <c r="AI167" s="21" t="n">
        <v>39016.21989689161</v>
      </c>
      <c r="AJ167" s="21" t="n">
        <v>25916.57851364511</v>
      </c>
      <c r="AK167" s="21" t="n">
        <v>1395913.247120732</v>
      </c>
      <c r="AL167" s="25" t="n">
        <v>48150444.32498012</v>
      </c>
      <c r="AM167" s="25" t="n">
        <v>424429837.5844545</v>
      </c>
      <c r="AN167" s="21" t="n">
        <v>353691.5313203788</v>
      </c>
      <c r="AO167" s="21" t="n">
        <v>234940.0932560935</v>
      </c>
      <c r="AP167" s="21" t="n">
        <v>12654293.40077787</v>
      </c>
      <c r="AQ167" s="25" t="n">
        <v>436495499.3606558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 t="n">
        <v>217548088.0862176</v>
      </c>
      <c r="J168" s="19" t="n">
        <v>181290.0734051813</v>
      </c>
      <c r="K168" s="19" t="n">
        <v>120422.1842496891</v>
      </c>
      <c r="L168" s="19" t="n">
        <v>11248684.70338118</v>
      </c>
      <c r="M168" s="24" t="n">
        <v>228495060.5319439</v>
      </c>
      <c r="N168" s="24" t="n">
        <v>26756499.65691799</v>
      </c>
      <c r="O168" s="19" t="n">
        <v>22297.08304743166</v>
      </c>
      <c r="P168" s="19" t="n">
        <v>14810.86852983587</v>
      </c>
      <c r="Q168" s="19" t="n">
        <v>1383489.191077221</v>
      </c>
      <c r="R168" s="24" t="n">
        <v>28102880.89641795</v>
      </c>
      <c r="S168" s="24" t="n">
        <v>67286702.59579079</v>
      </c>
      <c r="T168" s="19" t="n">
        <v>56072.25216315899</v>
      </c>
      <c r="U168" s="19" t="n">
        <v>37246.07174820625</v>
      </c>
      <c r="V168" s="19" t="n">
        <v>3479170.554375384</v>
      </c>
      <c r="W168" s="24" t="n">
        <v>70672554.8262548</v>
      </c>
      <c r="X168" s="24" t="n">
        <v>62171826.2834263</v>
      </c>
      <c r="Y168" s="19" t="n">
        <v>51809.85523618859</v>
      </c>
      <c r="Z168" s="19" t="n">
        <v>34414.76864129124</v>
      </c>
      <c r="AA168" s="19" t="n">
        <v>3214697.391495741</v>
      </c>
      <c r="AB168" s="24" t="n">
        <v>65300299.05104456</v>
      </c>
      <c r="AC168" s="24" t="n">
        <v>14581938.41332306</v>
      </c>
      <c r="AD168" s="19" t="n">
        <v>12151.61534443588</v>
      </c>
      <c r="AE168" s="19" t="n">
        <v>8071.727450120746</v>
      </c>
      <c r="AF168" s="19" t="n">
        <v>753983.3101662878</v>
      </c>
      <c r="AG168" s="24" t="n">
        <v>15315698.38069479</v>
      </c>
      <c r="AH168" s="24" t="n">
        <v>48150444.32498012</v>
      </c>
      <c r="AI168" s="19" t="n">
        <v>40125.37027081678</v>
      </c>
      <c r="AJ168" s="19" t="n">
        <v>26653.33319734425</v>
      </c>
      <c r="AK168" s="19" t="n">
        <v>2489698.582525603</v>
      </c>
      <c r="AL168" s="24" t="n">
        <v>50573364.20403756</v>
      </c>
      <c r="AM168" s="24" t="n">
        <v>436495499.3606558</v>
      </c>
      <c r="AN168" s="19" t="n">
        <v>363746.2494672133</v>
      </c>
      <c r="AO168" s="19" t="n">
        <v>241618.9538164875</v>
      </c>
      <c r="AP168" s="19" t="n">
        <v>22569723.73302142</v>
      </c>
      <c r="AQ168" s="24" t="n">
        <v>458459857.8903936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 t="n">
        <v>228495060.5319439</v>
      </c>
      <c r="J169" s="21" t="n">
        <v>190412.5504432866</v>
      </c>
      <c r="K169" s="21" t="n">
        <v>126481.8023526672</v>
      </c>
      <c r="L169" s="21" t="n">
        <v>4675341.307776725</v>
      </c>
      <c r="M169" s="25" t="n">
        <v>232853507.4869247</v>
      </c>
      <c r="N169" s="25" t="n">
        <v>28102880.89641795</v>
      </c>
      <c r="O169" s="21" t="n">
        <v>23419.06741368162</v>
      </c>
      <c r="P169" s="21" t="n">
        <v>15556.14821084659</v>
      </c>
      <c r="Q169" s="21" t="n">
        <v>575025.8216377664</v>
      </c>
      <c r="R169" s="25" t="n">
        <v>28638931.50243118</v>
      </c>
      <c r="S169" s="25" t="n">
        <v>70672554.8262548</v>
      </c>
      <c r="T169" s="21" t="n">
        <v>58893.79568854567</v>
      </c>
      <c r="U169" s="21" t="n">
        <v>39120.28597240834</v>
      </c>
      <c r="V169" s="21" t="n">
        <v>1446063.272160369</v>
      </c>
      <c r="W169" s="25" t="n">
        <v>72020604.01675422</v>
      </c>
      <c r="X169" s="25" t="n">
        <v>65300299.05104456</v>
      </c>
      <c r="Y169" s="21" t="n">
        <v>54416.91587587047</v>
      </c>
      <c r="Z169" s="21" t="n">
        <v>36146.51230935306</v>
      </c>
      <c r="AA169" s="21" t="n">
        <v>1336139.104507427</v>
      </c>
      <c r="AB169" s="25" t="n">
        <v>66545874.72736677</v>
      </c>
      <c r="AC169" s="25" t="n">
        <v>15315698.38069479</v>
      </c>
      <c r="AD169" s="21" t="n">
        <v>12763.08198391232</v>
      </c>
      <c r="AE169" s="21" t="n">
        <v>8477.895018694668</v>
      </c>
      <c r="AF169" s="21" t="n">
        <v>313381.4671092236</v>
      </c>
      <c r="AG169" s="25" t="n">
        <v>15607838.8708014</v>
      </c>
      <c r="AH169" s="25" t="n">
        <v>50573364.20403756</v>
      </c>
      <c r="AI169" s="21" t="n">
        <v>42144.4701700313</v>
      </c>
      <c r="AJ169" s="21" t="n">
        <v>27994.52312305141</v>
      </c>
      <c r="AK169" s="21" t="n">
        <v>1034804.595713866</v>
      </c>
      <c r="AL169" s="25" t="n">
        <v>51538029.80645835</v>
      </c>
      <c r="AM169" s="25" t="n">
        <v>458459857.8903936</v>
      </c>
      <c r="AN169" s="21" t="n">
        <v>382049.881575328</v>
      </c>
      <c r="AO169" s="21" t="n">
        <v>253777.1669870213</v>
      </c>
      <c r="AP169" s="21" t="n">
        <v>9380755.568905378</v>
      </c>
      <c r="AQ169" s="25" t="n">
        <v>467204786.4107366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 t="n">
        <v>232853507.4869247</v>
      </c>
      <c r="J170" s="19" t="n">
        <v>194044.5895724373</v>
      </c>
      <c r="K170" s="19" t="n">
        <v>128894.3894127162</v>
      </c>
      <c r="L170" s="19" t="n">
        <v>12608196.84878786</v>
      </c>
      <c r="M170" s="24" t="n">
        <v>245138765.3567274</v>
      </c>
      <c r="N170" s="24" t="n">
        <v>28638931.50243118</v>
      </c>
      <c r="O170" s="19" t="n">
        <v>23865.77625202599</v>
      </c>
      <c r="P170" s="19" t="n">
        <v>15852.87518009902</v>
      </c>
      <c r="Q170" s="19" t="n">
        <v>1550697.216540232</v>
      </c>
      <c r="R170" s="24" t="n">
        <v>30149910.06753929</v>
      </c>
      <c r="S170" s="24" t="n">
        <v>72020604.01675422</v>
      </c>
      <c r="T170" s="19" t="n">
        <v>60017.17001396186</v>
      </c>
      <c r="U170" s="19" t="n">
        <v>39866.48893573491</v>
      </c>
      <c r="V170" s="19" t="n">
        <v>3899661.905083512</v>
      </c>
      <c r="W170" s="24" t="n">
        <v>75820382.26288803</v>
      </c>
      <c r="X170" s="24" t="n">
        <v>66545874.72736677</v>
      </c>
      <c r="Y170" s="19" t="n">
        <v>55454.89560613898</v>
      </c>
      <c r="Z170" s="19" t="n">
        <v>36835.99179368463</v>
      </c>
      <c r="AA170" s="19" t="n">
        <v>3603224.60714718</v>
      </c>
      <c r="AB170" s="24" t="n">
        <v>70056808.44711412</v>
      </c>
      <c r="AC170" s="24" t="n">
        <v>15607838.8708014</v>
      </c>
      <c r="AD170" s="19" t="n">
        <v>13006.5323923345</v>
      </c>
      <c r="AE170" s="19" t="n">
        <v>8639.607292224147</v>
      </c>
      <c r="AF170" s="19" t="n">
        <v>845109.4724363426</v>
      </c>
      <c r="AG170" s="24" t="n">
        <v>16431302.20355319</v>
      </c>
      <c r="AH170" s="24" t="n">
        <v>51538029.80645835</v>
      </c>
      <c r="AI170" s="19" t="n">
        <v>42948.35817204863</v>
      </c>
      <c r="AJ170" s="19" t="n">
        <v>28528.50685021712</v>
      </c>
      <c r="AK170" s="19" t="n">
        <v>2790602.692703741</v>
      </c>
      <c r="AL170" s="24" t="n">
        <v>54257155.63413982</v>
      </c>
      <c r="AM170" s="24" t="n">
        <v>467204786.4107366</v>
      </c>
      <c r="AN170" s="19" t="n">
        <v>389337.3220089472</v>
      </c>
      <c r="AO170" s="19" t="n">
        <v>258617.859464676</v>
      </c>
      <c r="AP170" s="19" t="n">
        <v>25297492.74269886</v>
      </c>
      <c r="AQ170" s="24" t="n">
        <v>491854323.9719618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 t="n">
        <v>245138765.3567274</v>
      </c>
      <c r="J171" s="21" t="n">
        <v>204282.3044639395</v>
      </c>
      <c r="K171" s="21" t="n">
        <v>135694.8058161277</v>
      </c>
      <c r="L171" s="21" t="n">
        <v>1973706.508775523</v>
      </c>
      <c r="M171" s="25" t="n">
        <v>246772494.7552228</v>
      </c>
      <c r="N171" s="25" t="n">
        <v>30149910.06753929</v>
      </c>
      <c r="O171" s="21" t="n">
        <v>25124.92505628274</v>
      </c>
      <c r="P171" s="21" t="n">
        <v>16689.26653046873</v>
      </c>
      <c r="Q171" s="21" t="n">
        <v>242748.5251168004</v>
      </c>
      <c r="R171" s="25" t="n">
        <v>30350844.40106934</v>
      </c>
      <c r="S171" s="25" t="n">
        <v>75820382.26288803</v>
      </c>
      <c r="T171" s="21" t="n">
        <v>63183.65188574003</v>
      </c>
      <c r="U171" s="21" t="n">
        <v>41969.82893788902</v>
      </c>
      <c r="V171" s="21" t="n">
        <v>610459.0669384456</v>
      </c>
      <c r="W171" s="25" t="n">
        <v>76325687.84900285</v>
      </c>
      <c r="X171" s="25" t="n">
        <v>70056808.44711412</v>
      </c>
      <c r="Y171" s="21" t="n">
        <v>58380.67370592844</v>
      </c>
      <c r="Z171" s="21" t="n">
        <v>38779.44397939311</v>
      </c>
      <c r="AA171" s="21" t="n">
        <v>564054.3168066281</v>
      </c>
      <c r="AB171" s="25" t="n">
        <v>70523702.64623542</v>
      </c>
      <c r="AC171" s="25" t="n">
        <v>16431302.20355319</v>
      </c>
      <c r="AD171" s="21" t="n">
        <v>13692.75183629432</v>
      </c>
      <c r="AE171" s="21" t="n">
        <v>9095.429515493692</v>
      </c>
      <c r="AF171" s="21" t="n">
        <v>132294.7354312459</v>
      </c>
      <c r="AG171" s="25" t="n">
        <v>16540808.75763265</v>
      </c>
      <c r="AH171" s="25" t="n">
        <v>54257155.63413982</v>
      </c>
      <c r="AI171" s="21" t="n">
        <v>45214.29636178318</v>
      </c>
      <c r="AJ171" s="21" t="n">
        <v>30033.65945486505</v>
      </c>
      <c r="AK171" s="21" t="n">
        <v>436845.2336247744</v>
      </c>
      <c r="AL171" s="25" t="n">
        <v>54618752.91194794</v>
      </c>
      <c r="AM171" s="25" t="n">
        <v>491854323.9719618</v>
      </c>
      <c r="AN171" s="21" t="n">
        <v>409878.6033099682</v>
      </c>
      <c r="AO171" s="21" t="n">
        <v>272262.4342342372</v>
      </c>
      <c r="AP171" s="21" t="n">
        <v>3960108.386693417</v>
      </c>
      <c r="AQ171" s="25" t="n">
        <v>495132291.321111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 t="n">
        <v>246772494.7552228</v>
      </c>
      <c r="J172" s="19" t="n">
        <v>205643.7456293524</v>
      </c>
      <c r="K172" s="19" t="n">
        <v>136599.1450101443</v>
      </c>
      <c r="L172" s="19" t="n">
        <v>8022861.85086868</v>
      </c>
      <c r="M172" s="24" t="n">
        <v>254453113.715452</v>
      </c>
      <c r="N172" s="24" t="n">
        <v>30350844.40106934</v>
      </c>
      <c r="O172" s="19" t="n">
        <v>25292.37033422445</v>
      </c>
      <c r="P172" s="19" t="n">
        <v>16800.49229001139</v>
      </c>
      <c r="Q172" s="19" t="n">
        <v>986741.3786472525</v>
      </c>
      <c r="R172" s="24" t="n">
        <v>31295492.91709236</v>
      </c>
      <c r="S172" s="24" t="n">
        <v>76325687.84900285</v>
      </c>
      <c r="T172" s="19" t="n">
        <v>63604.73987416905</v>
      </c>
      <c r="U172" s="19" t="n">
        <v>42249.53722183128</v>
      </c>
      <c r="V172" s="19" t="n">
        <v>2481437.203495775</v>
      </c>
      <c r="W172" s="24" t="n">
        <v>78701270.77540262</v>
      </c>
      <c r="X172" s="24" t="n">
        <v>70523702.64623542</v>
      </c>
      <c r="Y172" s="19" t="n">
        <v>58769.75220519619</v>
      </c>
      <c r="Z172" s="19" t="n">
        <v>39037.88991549076</v>
      </c>
      <c r="AA172" s="19" t="n">
        <v>2292807.892158791</v>
      </c>
      <c r="AB172" s="24" t="n">
        <v>72718702.89627352</v>
      </c>
      <c r="AC172" s="24" t="n">
        <v>16540808.75763265</v>
      </c>
      <c r="AD172" s="19" t="n">
        <v>13784.00729802721</v>
      </c>
      <c r="AE172" s="19" t="n">
        <v>9156.046083296755</v>
      </c>
      <c r="AF172" s="19" t="n">
        <v>537761.0000488795</v>
      </c>
      <c r="AG172" s="24" t="n">
        <v>17055629.7043002</v>
      </c>
      <c r="AH172" s="24" t="n">
        <v>54618752.91194794</v>
      </c>
      <c r="AI172" s="19" t="n">
        <v>45515.62742662329</v>
      </c>
      <c r="AJ172" s="19" t="n">
        <v>30233.81903519259</v>
      </c>
      <c r="AK172" s="19" t="n">
        <v>1775719.411168353</v>
      </c>
      <c r="AL172" s="24" t="n">
        <v>56318722.87665448</v>
      </c>
      <c r="AM172" s="24" t="n">
        <v>495132291.321111</v>
      </c>
      <c r="AN172" s="19" t="n">
        <v>412610.2427675926</v>
      </c>
      <c r="AO172" s="19" t="n">
        <v>274076.9295559671</v>
      </c>
      <c r="AP172" s="19" t="n">
        <v>16097328.73638773</v>
      </c>
      <c r="AQ172" s="24" t="n">
        <v>510542932.8851752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 t="n">
        <v>254453113.715452</v>
      </c>
      <c r="J173" s="21" t="n">
        <v>212044.2614295434</v>
      </c>
      <c r="K173" s="21" t="n">
        <v>140850.696562341</v>
      </c>
      <c r="L173" s="21" t="n">
        <v>4427513.307235397</v>
      </c>
      <c r="M173" s="25" t="n">
        <v>258527732.0646955</v>
      </c>
      <c r="N173" s="25" t="n">
        <v>31295492.91709236</v>
      </c>
      <c r="O173" s="21" t="n">
        <v>26079.5774309103</v>
      </c>
      <c r="P173" s="21" t="n">
        <v>17323.39570253247</v>
      </c>
      <c r="Q173" s="21" t="n">
        <v>544545.1593171179</v>
      </c>
      <c r="R173" s="25" t="n">
        <v>31796635.10327603</v>
      </c>
      <c r="S173" s="25" t="n">
        <v>78701270.77540262</v>
      </c>
      <c r="T173" s="21" t="n">
        <v>65584.39231283552</v>
      </c>
      <c r="U173" s="21" t="n">
        <v>43564.52411682046</v>
      </c>
      <c r="V173" s="21" t="n">
        <v>1369411.120840496</v>
      </c>
      <c r="W173" s="25" t="n">
        <v>79961532.97981346</v>
      </c>
      <c r="X173" s="25" t="n">
        <v>72718702.89627352</v>
      </c>
      <c r="Y173" s="21" t="n">
        <v>60598.91908022794</v>
      </c>
      <c r="Z173" s="21" t="n">
        <v>40252.91656483298</v>
      </c>
      <c r="AA173" s="21" t="n">
        <v>1265313.754887632</v>
      </c>
      <c r="AB173" s="25" t="n">
        <v>73883164.81551608</v>
      </c>
      <c r="AC173" s="25" t="n">
        <v>17055629.7043002</v>
      </c>
      <c r="AD173" s="21" t="n">
        <v>14213.0247535835</v>
      </c>
      <c r="AE173" s="21" t="n">
        <v>9441.021526843884</v>
      </c>
      <c r="AF173" s="21" t="n">
        <v>296769.9093024806</v>
      </c>
      <c r="AG173" s="25" t="n">
        <v>17328745.56732226</v>
      </c>
      <c r="AH173" s="25" t="n">
        <v>56318722.87665448</v>
      </c>
      <c r="AI173" s="21" t="n">
        <v>46932.26906387873</v>
      </c>
      <c r="AJ173" s="21" t="n">
        <v>31174.82521966292</v>
      </c>
      <c r="AK173" s="21" t="n">
        <v>979952.2251542723</v>
      </c>
      <c r="AL173" s="25" t="n">
        <v>57220568.00752521</v>
      </c>
      <c r="AM173" s="25" t="n">
        <v>510542932.8851752</v>
      </c>
      <c r="AN173" s="21" t="n">
        <v>425452.4440709794</v>
      </c>
      <c r="AO173" s="21" t="n">
        <v>282607.3796930337</v>
      </c>
      <c r="AP173" s="21" t="n">
        <v>8883505.476737397</v>
      </c>
      <c r="AQ173" s="25" t="n">
        <v>518718378.5381485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 t="n">
        <v>258527732.0646955</v>
      </c>
      <c r="J174" s="19" t="n">
        <v>215439.7767205796</v>
      </c>
      <c r="K174" s="19" t="n">
        <v>143106.1723328534</v>
      </c>
      <c r="L174" s="19" t="n">
        <v>14215446.78951864</v>
      </c>
      <c r="M174" s="24" t="n">
        <v>272384632.9051607</v>
      </c>
      <c r="N174" s="24" t="n">
        <v>31796635.10327603</v>
      </c>
      <c r="O174" s="19" t="n">
        <v>26497.19591939669</v>
      </c>
      <c r="P174" s="19" t="n">
        <v>17600.79936629616</v>
      </c>
      <c r="Q174" s="19" t="n">
        <v>1748374.809876292</v>
      </c>
      <c r="R174" s="24" t="n">
        <v>33500911.91786663</v>
      </c>
      <c r="S174" s="24" t="n">
        <v>79961532.97981346</v>
      </c>
      <c r="T174" s="19" t="n">
        <v>66634.61081651122</v>
      </c>
      <c r="U174" s="19" t="n">
        <v>44262.13322346696</v>
      </c>
      <c r="V174" s="19" t="n">
        <v>4396777.507019736</v>
      </c>
      <c r="W174" s="24" t="n">
        <v>84247413.7427932</v>
      </c>
      <c r="X174" s="24" t="n">
        <v>73883164.81551608</v>
      </c>
      <c r="Y174" s="19" t="n">
        <v>61569.30401293007</v>
      </c>
      <c r="Z174" s="19" t="n">
        <v>40897.49611055255</v>
      </c>
      <c r="AA174" s="19" t="n">
        <v>4062551.393184295</v>
      </c>
      <c r="AB174" s="24" t="n">
        <v>77843249.40857689</v>
      </c>
      <c r="AC174" s="24" t="n">
        <v>17328745.56732226</v>
      </c>
      <c r="AD174" s="19" t="n">
        <v>14440.62130610188</v>
      </c>
      <c r="AE174" s="19" t="n">
        <v>9592.202854465206</v>
      </c>
      <c r="AF174" s="19" t="n">
        <v>952841.1461859419</v>
      </c>
      <c r="AG174" s="24" t="n">
        <v>18257553.88934763</v>
      </c>
      <c r="AH174" s="24" t="n">
        <v>57220568.00752521</v>
      </c>
      <c r="AI174" s="19" t="n">
        <v>47683.80667293768</v>
      </c>
      <c r="AJ174" s="19" t="n">
        <v>31674.03512525106</v>
      </c>
      <c r="AK174" s="19" t="n">
        <v>3146339.208102647</v>
      </c>
      <c r="AL174" s="24" t="n">
        <v>60287549.37382967</v>
      </c>
      <c r="AM174" s="24" t="n">
        <v>518718378.5381485</v>
      </c>
      <c r="AN174" s="19" t="n">
        <v>432265.3154484572</v>
      </c>
      <c r="AO174" s="19" t="n">
        <v>287132.8390128853</v>
      </c>
      <c r="AP174" s="19" t="n">
        <v>28522330.85388755</v>
      </c>
      <c r="AQ174" s="24" t="n">
        <v>546521311.2375748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 t="n">
        <v>272384632.9051607</v>
      </c>
      <c r="J175" s="21" t="n">
        <v>226987.194087634</v>
      </c>
      <c r="K175" s="21" t="n">
        <v>150776.5604333402</v>
      </c>
      <c r="L175" s="21" t="n">
        <v>9765659.023958946</v>
      </c>
      <c r="M175" s="25" t="n">
        <v>281772528.1745987</v>
      </c>
      <c r="N175" s="25" t="n">
        <v>33500911.91786663</v>
      </c>
      <c r="O175" s="21" t="n">
        <v>27917.42659822219</v>
      </c>
      <c r="P175" s="21" t="n">
        <v>18544.18957663791</v>
      </c>
      <c r="Q175" s="21" t="n">
        <v>1201090.088277772</v>
      </c>
      <c r="R175" s="25" t="n">
        <v>34655540.38996954</v>
      </c>
      <c r="S175" s="25" t="n">
        <v>84247413.7427932</v>
      </c>
      <c r="T175" s="21" t="n">
        <v>70206.17811899434</v>
      </c>
      <c r="U175" s="21" t="n">
        <v>46634.55178826355</v>
      </c>
      <c r="V175" s="21" t="n">
        <v>3020476.990524539</v>
      </c>
      <c r="W175" s="25" t="n">
        <v>87151050.00341049</v>
      </c>
      <c r="X175" s="25" t="n">
        <v>77843249.40857689</v>
      </c>
      <c r="Y175" s="21" t="n">
        <v>64869.37450714741</v>
      </c>
      <c r="Z175" s="21" t="n">
        <v>43089.57254158478</v>
      </c>
      <c r="AA175" s="21" t="n">
        <v>2790871.947999504</v>
      </c>
      <c r="AB175" s="25" t="n">
        <v>80526162.40952767</v>
      </c>
      <c r="AC175" s="25" t="n">
        <v>18257553.88934763</v>
      </c>
      <c r="AD175" s="21" t="n">
        <v>15214.62824112303</v>
      </c>
      <c r="AE175" s="21" t="n">
        <v>10106.33804117968</v>
      </c>
      <c r="AF175" s="21" t="n">
        <v>654578.2116754147</v>
      </c>
      <c r="AG175" s="25" t="n">
        <v>18886811.13474074</v>
      </c>
      <c r="AH175" s="25" t="n">
        <v>60287549.37382967</v>
      </c>
      <c r="AI175" s="21" t="n">
        <v>50239.62447819139</v>
      </c>
      <c r="AJ175" s="21" t="n">
        <v>33371.74066903459</v>
      </c>
      <c r="AK175" s="21" t="n">
        <v>2161456.92323216</v>
      </c>
      <c r="AL175" s="25" t="n">
        <v>62365394.93191461</v>
      </c>
      <c r="AM175" s="25" t="n">
        <v>546521311.2375748</v>
      </c>
      <c r="AN175" s="21" t="n">
        <v>455434.4260313123</v>
      </c>
      <c r="AO175" s="21" t="n">
        <v>302522.9530500407</v>
      </c>
      <c r="AP175" s="21" t="n">
        <v>19594133.18566833</v>
      </c>
      <c r="AQ175" s="25" t="n">
        <v>565357487.0441618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 t="n">
        <v>281772528.1745987</v>
      </c>
      <c r="J176" s="19" t="n">
        <v>234810.4401454989</v>
      </c>
      <c r="K176" s="19" t="n">
        <v>155973.1625446168</v>
      </c>
      <c r="L176" s="19" t="n">
        <v>2762223.508634192</v>
      </c>
      <c r="M176" s="24" t="n">
        <v>284143968.0805428</v>
      </c>
      <c r="N176" s="24" t="n">
        <v>34655540.38996954</v>
      </c>
      <c r="O176" s="19" t="n">
        <v>28879.61699164129</v>
      </c>
      <c r="P176" s="19" t="n">
        <v>19183.32588820324</v>
      </c>
      <c r="Q176" s="19" t="n">
        <v>339729.1744150422</v>
      </c>
      <c r="R176" s="24" t="n">
        <v>34947206.62150475</v>
      </c>
      <c r="S176" s="24" t="n">
        <v>87151050.00341049</v>
      </c>
      <c r="T176" s="19" t="n">
        <v>72625.87500284208</v>
      </c>
      <c r="U176" s="19" t="n">
        <v>48241.8388200464</v>
      </c>
      <c r="V176" s="19" t="n">
        <v>854344.0365925491</v>
      </c>
      <c r="W176" s="24" t="n">
        <v>87884526.32618015</v>
      </c>
      <c r="X176" s="24" t="n">
        <v>80526162.40952767</v>
      </c>
      <c r="Y176" s="19" t="n">
        <v>67105.13534127307</v>
      </c>
      <c r="Z176" s="19" t="n">
        <v>44574.67979565699</v>
      </c>
      <c r="AA176" s="19" t="n">
        <v>789400.0891735764</v>
      </c>
      <c r="AB176" s="24" t="n">
        <v>81203882.68356432</v>
      </c>
      <c r="AC176" s="24" t="n">
        <v>18886811.13474074</v>
      </c>
      <c r="AD176" s="19" t="n">
        <v>15739.00927895062</v>
      </c>
      <c r="AE176" s="19" t="n">
        <v>10454.6588773304</v>
      </c>
      <c r="AF176" s="19" t="n">
        <v>185147.9065666342</v>
      </c>
      <c r="AG176" s="24" t="n">
        <v>19045765.3731511</v>
      </c>
      <c r="AH176" s="24" t="n">
        <v>62365394.93191461</v>
      </c>
      <c r="AI176" s="19" t="n">
        <v>51971.16244326218</v>
      </c>
      <c r="AJ176" s="19" t="n">
        <v>34521.91717869408</v>
      </c>
      <c r="AK176" s="19" t="n">
        <v>611369.6076838472</v>
      </c>
      <c r="AL176" s="24" t="n">
        <v>62890271.45997649</v>
      </c>
      <c r="AM176" s="24" t="n">
        <v>565357487.0441618</v>
      </c>
      <c r="AN176" s="19" t="n">
        <v>471131.2392034681</v>
      </c>
      <c r="AO176" s="19" t="n">
        <v>312949.583104548</v>
      </c>
      <c r="AP176" s="19" t="n">
        <v>5542214.323065842</v>
      </c>
      <c r="AQ176" s="24" t="n">
        <v>570115620.5449196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 t="n">
        <v>284143968.0805428</v>
      </c>
      <c r="J177" s="21" t="n">
        <v>236786.640067119</v>
      </c>
      <c r="K177" s="21" t="n">
        <v>157285.85610034</v>
      </c>
      <c r="L177" s="21" t="n">
        <v>6674376.121029904</v>
      </c>
      <c r="M177" s="25" t="n">
        <v>290424271.7054053</v>
      </c>
      <c r="N177" s="25" t="n">
        <v>34947206.62150475</v>
      </c>
      <c r="O177" s="21" t="n">
        <v>29122.67218458729</v>
      </c>
      <c r="P177" s="21" t="n">
        <v>19344.77563930114</v>
      </c>
      <c r="Q177" s="21" t="n">
        <v>820889.5052283942</v>
      </c>
      <c r="R177" s="25" t="n">
        <v>35719628.67890925</v>
      </c>
      <c r="S177" s="25" t="n">
        <v>87884526.32618015</v>
      </c>
      <c r="T177" s="21" t="n">
        <v>73237.10527181679</v>
      </c>
      <c r="U177" s="21" t="n">
        <v>48647.8493791847</v>
      </c>
      <c r="V177" s="21" t="n">
        <v>2064356.276439455</v>
      </c>
      <c r="W177" s="25" t="n">
        <v>89826997.64796861</v>
      </c>
      <c r="X177" s="25" t="n">
        <v>81203882.68356432</v>
      </c>
      <c r="Y177" s="21" t="n">
        <v>67669.90223630361</v>
      </c>
      <c r="Z177" s="21" t="n">
        <v>44949.82699381324</v>
      </c>
      <c r="AA177" s="21" t="n">
        <v>1907431.852871378</v>
      </c>
      <c r="AB177" s="25" t="n">
        <v>82998694.80720559</v>
      </c>
      <c r="AC177" s="25" t="n">
        <v>19045765.3731511</v>
      </c>
      <c r="AD177" s="21" t="n">
        <v>15871.47114429258</v>
      </c>
      <c r="AE177" s="21" t="n">
        <v>10542.64685623433</v>
      </c>
      <c r="AF177" s="21" t="n">
        <v>447373.9227054967</v>
      </c>
      <c r="AG177" s="25" t="n">
        <v>19466725.17785607</v>
      </c>
      <c r="AH177" s="25" t="n">
        <v>62890271.45997649</v>
      </c>
      <c r="AI177" s="21" t="n">
        <v>52408.55954998042</v>
      </c>
      <c r="AJ177" s="21" t="n">
        <v>34812.45881721934</v>
      </c>
      <c r="AK177" s="21" t="n">
        <v>1477255.804207581</v>
      </c>
      <c r="AL177" s="25" t="n">
        <v>64280306.24581687</v>
      </c>
      <c r="AM177" s="25" t="n">
        <v>570115620.5449196</v>
      </c>
      <c r="AN177" s="21" t="n">
        <v>475096.3504540997</v>
      </c>
      <c r="AO177" s="21" t="n">
        <v>315583.4137860928</v>
      </c>
      <c r="AP177" s="21" t="n">
        <v>13391683.48248221</v>
      </c>
      <c r="AQ177" s="25" t="n">
        <v>582716624.2631617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 t="n">
        <v>290424271.7054053</v>
      </c>
      <c r="J178" s="19" t="n">
        <v>242020.2264211711</v>
      </c>
      <c r="K178" s="19" t="n">
        <v>160762.2731394888</v>
      </c>
      <c r="L178" s="19" t="n">
        <v>12455908.76078328</v>
      </c>
      <c r="M178" s="24" t="n">
        <v>302477397.9666279</v>
      </c>
      <c r="N178" s="24" t="n">
        <v>35719628.67890925</v>
      </c>
      <c r="O178" s="19" t="n">
        <v>29766.35723242438</v>
      </c>
      <c r="P178" s="19" t="n">
        <v>19772.34433058941</v>
      </c>
      <c r="Q178" s="19" t="n">
        <v>1531967.122379017</v>
      </c>
      <c r="R178" s="24" t="n">
        <v>37202057.09972526</v>
      </c>
      <c r="S178" s="24" t="n">
        <v>89826997.64796861</v>
      </c>
      <c r="T178" s="19" t="n">
        <v>74855.83137330717</v>
      </c>
      <c r="U178" s="19" t="n">
        <v>49723.09045103197</v>
      </c>
      <c r="V178" s="19" t="n">
        <v>3852559.844216929</v>
      </c>
      <c r="W178" s="24" t="n">
        <v>93554978.5703612</v>
      </c>
      <c r="X178" s="24" t="n">
        <v>82998694.80720559</v>
      </c>
      <c r="Y178" s="19" t="n">
        <v>69165.57900600466</v>
      </c>
      <c r="Z178" s="19" t="n">
        <v>45943.33237530409</v>
      </c>
      <c r="AA178" s="19" t="n">
        <v>3559703.063769131</v>
      </c>
      <c r="AB178" s="24" t="n">
        <v>86443288.95959342</v>
      </c>
      <c r="AC178" s="24" t="n">
        <v>19466725.17785607</v>
      </c>
      <c r="AD178" s="19" t="n">
        <v>16222.27098154673</v>
      </c>
      <c r="AE178" s="19" t="n">
        <v>10775.66613767157</v>
      </c>
      <c r="AF178" s="19" t="n">
        <v>834901.8188554692</v>
      </c>
      <c r="AG178" s="24" t="n">
        <v>20274629.05959232</v>
      </c>
      <c r="AH178" s="24" t="n">
        <v>64280306.24581687</v>
      </c>
      <c r="AI178" s="19" t="n">
        <v>53566.92187151406</v>
      </c>
      <c r="AJ178" s="19" t="n">
        <v>35581.90260579268</v>
      </c>
      <c r="AK178" s="19" t="n">
        <v>2756896.401982785</v>
      </c>
      <c r="AL178" s="24" t="n">
        <v>66948053.82332235</v>
      </c>
      <c r="AM178" s="24" t="n">
        <v>582716624.2631617</v>
      </c>
      <c r="AN178" s="19" t="n">
        <v>485597.1868859681</v>
      </c>
      <c r="AO178" s="19" t="n">
        <v>322558.6090398785</v>
      </c>
      <c r="AP178" s="19" t="n">
        <v>24991937.01198661</v>
      </c>
      <c r="AQ178" s="24" t="n">
        <v>606900405.4792224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 t="n">
        <v>302477397.9666279</v>
      </c>
      <c r="J179" s="21" t="n">
        <v>252064.4983055233</v>
      </c>
      <c r="K179" s="21" t="n">
        <v>167434.1947554512</v>
      </c>
      <c r="L179" s="21" t="n">
        <v>7819498.565210692</v>
      </c>
      <c r="M179" s="25" t="n">
        <v>309877397.8387777</v>
      </c>
      <c r="N179" s="25" t="n">
        <v>37202057.09972526</v>
      </c>
      <c r="O179" s="21" t="n">
        <v>31001.71424977105</v>
      </c>
      <c r="P179" s="21" t="n">
        <v>20592.93195330266</v>
      </c>
      <c r="Q179" s="21" t="n">
        <v>961729.4848135491</v>
      </c>
      <c r="R179" s="25" t="n">
        <v>38112191.93833574</v>
      </c>
      <c r="S179" s="25" t="n">
        <v>93554978.5703612</v>
      </c>
      <c r="T179" s="21" t="n">
        <v>77962.48214196767</v>
      </c>
      <c r="U179" s="21" t="n">
        <v>51786.68755944584</v>
      </c>
      <c r="V179" s="21" t="n">
        <v>2418537.800235798</v>
      </c>
      <c r="W179" s="25" t="n">
        <v>95843767.20089558</v>
      </c>
      <c r="X179" s="25" t="n">
        <v>86443288.95959342</v>
      </c>
      <c r="Y179" s="21" t="n">
        <v>72036.07413299452</v>
      </c>
      <c r="Z179" s="21" t="n">
        <v>47850.06276918305</v>
      </c>
      <c r="AA179" s="21" t="n">
        <v>2234689.85959146</v>
      </c>
      <c r="AB179" s="25" t="n">
        <v>88558092.68228269</v>
      </c>
      <c r="AC179" s="25" t="n">
        <v>20274629.05959232</v>
      </c>
      <c r="AD179" s="21" t="n">
        <v>16895.52421632693</v>
      </c>
      <c r="AE179" s="21" t="n">
        <v>11222.87553839921</v>
      </c>
      <c r="AF179" s="21" t="n">
        <v>524129.8487338628</v>
      </c>
      <c r="AG179" s="25" t="n">
        <v>20770640.50857145</v>
      </c>
      <c r="AH179" s="25" t="n">
        <v>66948053.82332235</v>
      </c>
      <c r="AI179" s="21" t="n">
        <v>55790.04485276862</v>
      </c>
      <c r="AJ179" s="21" t="n">
        <v>37058.61514845915</v>
      </c>
      <c r="AK179" s="21" t="n">
        <v>1730708.523460899</v>
      </c>
      <c r="AL179" s="25" t="n">
        <v>68585913.68678202</v>
      </c>
      <c r="AM179" s="25" t="n">
        <v>606900405.4792224</v>
      </c>
      <c r="AN179" s="21" t="n">
        <v>505750.3378993521</v>
      </c>
      <c r="AO179" s="21" t="n">
        <v>335945.3677242412</v>
      </c>
      <c r="AP179" s="21" t="n">
        <v>15689294.08204626</v>
      </c>
      <c r="AQ179" s="25" t="n">
        <v>621748003.8556452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 t="n">
        <v>309877397.8387777</v>
      </c>
      <c r="J180" s="19" t="n">
        <v>258231.1648656481</v>
      </c>
      <c r="K180" s="19" t="n">
        <v>171530.4116235973</v>
      </c>
      <c r="L180" s="19" t="n">
        <v>9044096.817323079</v>
      </c>
      <c r="M180" s="24" t="n">
        <v>318491733.0796115</v>
      </c>
      <c r="N180" s="24" t="n">
        <v>38112191.93833574</v>
      </c>
      <c r="O180" s="19" t="n">
        <v>31760.15994861312</v>
      </c>
      <c r="P180" s="19" t="n">
        <v>21096.73056716947</v>
      </c>
      <c r="Q180" s="19" t="n">
        <v>1112344.289111539</v>
      </c>
      <c r="R180" s="24" t="n">
        <v>39171679.3369315</v>
      </c>
      <c r="S180" s="24" t="n">
        <v>95843767.20089558</v>
      </c>
      <c r="T180" s="19" t="n">
        <v>79869.80600074632</v>
      </c>
      <c r="U180" s="19" t="n">
        <v>53053.63009431001</v>
      </c>
      <c r="V180" s="19" t="n">
        <v>2797300.854942836</v>
      </c>
      <c r="W180" s="24" t="n">
        <v>98508144.61974338</v>
      </c>
      <c r="X180" s="24" t="n">
        <v>88558092.68228269</v>
      </c>
      <c r="Y180" s="19" t="n">
        <v>73798.41056856891</v>
      </c>
      <c r="Z180" s="19" t="n">
        <v>49020.69720585384</v>
      </c>
      <c r="AA180" s="19" t="n">
        <v>2584660.803795507</v>
      </c>
      <c r="AB180" s="24" t="n">
        <v>91019934.37830377</v>
      </c>
      <c r="AC180" s="24" t="n">
        <v>20770640.50857145</v>
      </c>
      <c r="AD180" s="19" t="n">
        <v>17308.86709047621</v>
      </c>
      <c r="AE180" s="19" t="n">
        <v>11497.43911937285</v>
      </c>
      <c r="AF180" s="19" t="n">
        <v>606212.9249422315</v>
      </c>
      <c r="AG180" s="24" t="n">
        <v>21348047.12730384</v>
      </c>
      <c r="AH180" s="24" t="n">
        <v>68585913.68678202</v>
      </c>
      <c r="AI180" s="19" t="n">
        <v>57154.92807231835</v>
      </c>
      <c r="AJ180" s="19" t="n">
        <v>37965.24073173958</v>
      </c>
      <c r="AK180" s="19" t="n">
        <v>2001751.815440724</v>
      </c>
      <c r="AL180" s="24" t="n">
        <v>70492545.33341868</v>
      </c>
      <c r="AM180" s="24" t="n">
        <v>621748003.8556452</v>
      </c>
      <c r="AN180" s="19" t="n">
        <v>518123.336546371</v>
      </c>
      <c r="AO180" s="19" t="n">
        <v>344164.149342043</v>
      </c>
      <c r="AP180" s="19" t="n">
        <v>18146367.50555592</v>
      </c>
      <c r="AQ180" s="24" t="n">
        <v>639032083.8753127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 t="n">
        <v>318491733.0796115</v>
      </c>
      <c r="J181" s="21" t="n">
        <v>265409.7775663429</v>
      </c>
      <c r="K181" s="21" t="n">
        <v>176298.8151277878</v>
      </c>
      <c r="L181" s="21" t="n">
        <v>18873514.84039433</v>
      </c>
      <c r="M181" s="25" t="n">
        <v>336923539.3273117</v>
      </c>
      <c r="N181" s="25" t="n">
        <v>39171679.3369315</v>
      </c>
      <c r="O181" s="21" t="n">
        <v>32643.06611410958</v>
      </c>
      <c r="P181" s="21" t="n">
        <v>21683.20221969605</v>
      </c>
      <c r="Q181" s="21" t="n">
        <v>2321276.172979799</v>
      </c>
      <c r="R181" s="25" t="n">
        <v>41438629.24157749</v>
      </c>
      <c r="S181" s="25" t="n">
        <v>98508144.61974338</v>
      </c>
      <c r="T181" s="21" t="n">
        <v>82090.12051645282</v>
      </c>
      <c r="U181" s="21" t="n">
        <v>54528.47710981696</v>
      </c>
      <c r="V181" s="21" t="n">
        <v>5837498.233951665</v>
      </c>
      <c r="W181" s="25" t="n">
        <v>104209024.2560688</v>
      </c>
      <c r="X181" s="25" t="n">
        <v>91019934.37830377</v>
      </c>
      <c r="Y181" s="21" t="n">
        <v>75849.94531525315</v>
      </c>
      <c r="Z181" s="21" t="n">
        <v>50383.43202425558</v>
      </c>
      <c r="AA181" s="21" t="n">
        <v>5393754.072201394</v>
      </c>
      <c r="AB181" s="25" t="n">
        <v>96287455.07316566</v>
      </c>
      <c r="AC181" s="25" t="n">
        <v>21348047.12730384</v>
      </c>
      <c r="AD181" s="21" t="n">
        <v>17790.0392727532</v>
      </c>
      <c r="AE181" s="21" t="n">
        <v>11817.05841292612</v>
      </c>
      <c r="AF181" s="21" t="n">
        <v>1265064.81149353</v>
      </c>
      <c r="AG181" s="25" t="n">
        <v>22583504.84111169</v>
      </c>
      <c r="AH181" s="25" t="n">
        <v>70492545.33341868</v>
      </c>
      <c r="AI181" s="21" t="n">
        <v>58743.78777784891</v>
      </c>
      <c r="AJ181" s="21" t="n">
        <v>39020.64300839197</v>
      </c>
      <c r="AK181" s="21" t="n">
        <v>4177320.672103236</v>
      </c>
      <c r="AL181" s="25" t="n">
        <v>74572101.57473567</v>
      </c>
      <c r="AM181" s="25" t="n">
        <v>639032083.8753127</v>
      </c>
      <c r="AN181" s="21" t="n">
        <v>532526.7365627605</v>
      </c>
      <c r="AO181" s="21" t="n">
        <v>353731.6279028745</v>
      </c>
      <c r="AP181" s="21" t="n">
        <v>37868428.80312394</v>
      </c>
      <c r="AQ181" s="25" t="n">
        <v>676014254.3139709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 t="n">
        <v>336923539.3273117</v>
      </c>
      <c r="J182" s="19" t="n">
        <v>280769.6161060931</v>
      </c>
      <c r="K182" s="19" t="n">
        <v>186501.6093124716</v>
      </c>
      <c r="L182" s="19" t="n">
        <v>19647160.17017765</v>
      </c>
      <c r="M182" s="24" t="n">
        <v>356103428.2720708</v>
      </c>
      <c r="N182" s="24" t="n">
        <v>41438629.24157749</v>
      </c>
      <c r="O182" s="19" t="n">
        <v>34532.19103464791</v>
      </c>
      <c r="P182" s="19" t="n">
        <v>22938.05608443746</v>
      </c>
      <c r="Q182" s="19" t="n">
        <v>2416427.73778105</v>
      </c>
      <c r="R182" s="24" t="n">
        <v>43797586.73223945</v>
      </c>
      <c r="S182" s="24" t="n">
        <v>104209024.2560688</v>
      </c>
      <c r="T182" s="19" t="n">
        <v>86840.85354672397</v>
      </c>
      <c r="U182" s="19" t="n">
        <v>57684.15815482251</v>
      </c>
      <c r="V182" s="19" t="n">
        <v>6076783.459014744</v>
      </c>
      <c r="W182" s="24" t="n">
        <v>110141282.703382</v>
      </c>
      <c r="X182" s="24" t="n">
        <v>96287455.07316566</v>
      </c>
      <c r="Y182" s="19" t="n">
        <v>80239.54589430471</v>
      </c>
      <c r="Z182" s="19" t="n">
        <v>53299.23033457819</v>
      </c>
      <c r="AA182" s="19" t="n">
        <v>5614849.754868165</v>
      </c>
      <c r="AB182" s="24" t="n">
        <v>101768766.0518049</v>
      </c>
      <c r="AC182" s="24" t="n">
        <v>22583504.84111169</v>
      </c>
      <c r="AD182" s="19" t="n">
        <v>18819.58736759308</v>
      </c>
      <c r="AE182" s="19" t="n">
        <v>12500.93717165787</v>
      </c>
      <c r="AF182" s="19" t="n">
        <v>1316921.155770776</v>
      </c>
      <c r="AG182" s="24" t="n">
        <v>23869105.47234322</v>
      </c>
      <c r="AH182" s="24" t="n">
        <v>74572101.57473567</v>
      </c>
      <c r="AI182" s="19" t="n">
        <v>62143.4179789464</v>
      </c>
      <c r="AJ182" s="19" t="n">
        <v>41278.85211365493</v>
      </c>
      <c r="AK182" s="19" t="n">
        <v>4348553.463467736</v>
      </c>
      <c r="AL182" s="24" t="n">
        <v>78817232.76811081</v>
      </c>
      <c r="AM182" s="24" t="n">
        <v>676014254.3139709</v>
      </c>
      <c r="AN182" s="19" t="n">
        <v>563345.2119283092</v>
      </c>
      <c r="AO182" s="19" t="n">
        <v>374202.8431716226</v>
      </c>
      <c r="AP182" s="19" t="n">
        <v>39420695.74108012</v>
      </c>
      <c r="AQ182" s="24" t="n">
        <v>714497401.9999511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 t="n">
        <v>356103428.2720708</v>
      </c>
      <c r="J183" s="21" t="n">
        <v>296752.8568933923</v>
      </c>
      <c r="K183" s="21" t="n">
        <v>197118.4993100476</v>
      </c>
      <c r="L183" s="21" t="n">
        <v>8591216.62161844</v>
      </c>
      <c r="M183" s="25" t="n">
        <v>364200773.5374857</v>
      </c>
      <c r="N183" s="25" t="n">
        <v>43797586.73223945</v>
      </c>
      <c r="O183" s="21" t="n">
        <v>36497.98894353288</v>
      </c>
      <c r="P183" s="21" t="n">
        <v>24243.84008868528</v>
      </c>
      <c r="Q183" s="21" t="n">
        <v>1056644.011956293</v>
      </c>
      <c r="R183" s="25" t="n">
        <v>44793488.91516353</v>
      </c>
      <c r="S183" s="25" t="n">
        <v>110141282.703382</v>
      </c>
      <c r="T183" s="21" t="n">
        <v>91784.40225281831</v>
      </c>
      <c r="U183" s="21" t="n">
        <v>60967.9172815679</v>
      </c>
      <c r="V183" s="21" t="n">
        <v>2657226.92780345</v>
      </c>
      <c r="W183" s="25" t="n">
        <v>112645757.311651</v>
      </c>
      <c r="X183" s="25" t="n">
        <v>101768766.0518049</v>
      </c>
      <c r="Y183" s="21" t="n">
        <v>84807.30504317078</v>
      </c>
      <c r="Z183" s="21" t="n">
        <v>56333.37072352036</v>
      </c>
      <c r="AA183" s="21" t="n">
        <v>2455234.75780151</v>
      </c>
      <c r="AB183" s="25" t="n">
        <v>104082860.1338397</v>
      </c>
      <c r="AC183" s="25" t="n">
        <v>23869105.47234322</v>
      </c>
      <c r="AD183" s="21" t="n">
        <v>19890.92122695268</v>
      </c>
      <c r="AE183" s="21" t="n">
        <v>13212.57218278389</v>
      </c>
      <c r="AF183" s="21" t="n">
        <v>575857.0106224446</v>
      </c>
      <c r="AG183" s="25" t="n">
        <v>24411858.98955593</v>
      </c>
      <c r="AH183" s="25" t="n">
        <v>78817232.76811081</v>
      </c>
      <c r="AI183" s="21" t="n">
        <v>65681.02730675902</v>
      </c>
      <c r="AJ183" s="21" t="n">
        <v>43628.71404638827</v>
      </c>
      <c r="AK183" s="21" t="n">
        <v>1901514.74674941</v>
      </c>
      <c r="AL183" s="25" t="n">
        <v>80609437.77350707</v>
      </c>
      <c r="AM183" s="25" t="n">
        <v>714497401.9999511</v>
      </c>
      <c r="AN183" s="21" t="n">
        <v>595414.5016666261</v>
      </c>
      <c r="AO183" s="21" t="n">
        <v>395504.9136329933</v>
      </c>
      <c r="AP183" s="21" t="n">
        <v>17237694.07655155</v>
      </c>
      <c r="AQ183" s="25" t="n">
        <v>730744176.6612031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 t="n">
        <v>364200773.5374857</v>
      </c>
      <c r="J184" s="19" t="n">
        <v>303500.6446145715</v>
      </c>
      <c r="K184" s="19" t="n">
        <v>201600.7267203786</v>
      </c>
      <c r="L184" s="19" t="n">
        <v>18573000.66989196</v>
      </c>
      <c r="M184" s="24" t="n">
        <v>382268672.8360427</v>
      </c>
      <c r="N184" s="24" t="n">
        <v>44793488.91516353</v>
      </c>
      <c r="O184" s="19" t="n">
        <v>37327.90742930295</v>
      </c>
      <c r="P184" s="19" t="n">
        <v>24795.1146010093</v>
      </c>
      <c r="Q184" s="19" t="n">
        <v>2284315.575574968</v>
      </c>
      <c r="R184" s="24" t="n">
        <v>47015681.46870819</v>
      </c>
      <c r="S184" s="24" t="n">
        <v>112645757.311651</v>
      </c>
      <c r="T184" s="19" t="n">
        <v>93871.46442637587</v>
      </c>
      <c r="U184" s="19" t="n">
        <v>62354.25124284877</v>
      </c>
      <c r="V184" s="19" t="n">
        <v>5744550.47332414</v>
      </c>
      <c r="W184" s="24" t="n">
        <v>118234082.069306</v>
      </c>
      <c r="X184" s="24" t="n">
        <v>104082860.1338397</v>
      </c>
      <c r="Y184" s="19" t="n">
        <v>86735.71677819979</v>
      </c>
      <c r="Z184" s="19" t="n">
        <v>57614.32090961196</v>
      </c>
      <c r="AA184" s="19" t="n">
        <v>5307871.842812291</v>
      </c>
      <c r="AB184" s="24" t="n">
        <v>109246381.9389642</v>
      </c>
      <c r="AC184" s="24" t="n">
        <v>24411858.98955593</v>
      </c>
      <c r="AD184" s="19" t="n">
        <v>20343.21582462994</v>
      </c>
      <c r="AE184" s="19" t="n">
        <v>13513.00950046812</v>
      </c>
      <c r="AF184" s="19" t="n">
        <v>1244921.774773944</v>
      </c>
      <c r="AG184" s="24" t="n">
        <v>25622924.53900477</v>
      </c>
      <c r="AH184" s="24" t="n">
        <v>80609437.77350707</v>
      </c>
      <c r="AI184" s="19" t="n">
        <v>67174.53147792256</v>
      </c>
      <c r="AJ184" s="19" t="n">
        <v>44620.77627626873</v>
      </c>
      <c r="AK184" s="19" t="n">
        <v>4110807.14416128</v>
      </c>
      <c r="AL184" s="24" t="n">
        <v>84608449.60991415</v>
      </c>
      <c r="AM184" s="24" t="n">
        <v>730744176.6612031</v>
      </c>
      <c r="AN184" s="19" t="n">
        <v>608953.4805510025</v>
      </c>
      <c r="AO184" s="19" t="n">
        <v>404498.1992505854</v>
      </c>
      <c r="AP184" s="19" t="n">
        <v>37265467.48053858</v>
      </c>
      <c r="AQ184" s="24" t="n">
        <v>766996192.4619401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 t="n">
        <v>382268672.8360427</v>
      </c>
      <c r="J185" s="21" t="n">
        <v>318557.227363369</v>
      </c>
      <c r="K185" s="21" t="n">
        <v>211602.0828227286</v>
      </c>
      <c r="L185" s="21" t="n">
        <v>14636937.03017804</v>
      </c>
      <c r="M185" s="25" t="n">
        <v>396375450.5560346</v>
      </c>
      <c r="N185" s="25" t="n">
        <v>47015681.46870819</v>
      </c>
      <c r="O185" s="21" t="n">
        <v>39179.73455725682</v>
      </c>
      <c r="P185" s="21" t="n">
        <v>26025.19335497741</v>
      </c>
      <c r="Q185" s="21" t="n">
        <v>1800214.398901446</v>
      </c>
      <c r="R185" s="25" t="n">
        <v>48750690.9396974</v>
      </c>
      <c r="S185" s="25" t="n">
        <v>118234082.069306</v>
      </c>
      <c r="T185" s="21" t="n">
        <v>98528.40172442164</v>
      </c>
      <c r="U185" s="21" t="n">
        <v>65447.62834183166</v>
      </c>
      <c r="V185" s="21" t="n">
        <v>4527142.653961579</v>
      </c>
      <c r="W185" s="25" t="n">
        <v>122597248.6932013</v>
      </c>
      <c r="X185" s="25" t="n">
        <v>109246381.9389642</v>
      </c>
      <c r="Y185" s="21" t="n">
        <v>91038.65161580351</v>
      </c>
      <c r="Z185" s="21" t="n">
        <v>60472.5513802358</v>
      </c>
      <c r="AA185" s="21" t="n">
        <v>4183006.683106446</v>
      </c>
      <c r="AB185" s="25" t="n">
        <v>113277877.4190746</v>
      </c>
      <c r="AC185" s="25" t="n">
        <v>25622924.53900477</v>
      </c>
      <c r="AD185" s="21" t="n">
        <v>21352.43711583731</v>
      </c>
      <c r="AE185" s="21" t="n">
        <v>14183.38615152093</v>
      </c>
      <c r="AF185" s="21" t="n">
        <v>981093.0365389208</v>
      </c>
      <c r="AG185" s="25" t="n">
        <v>26568481.75227633</v>
      </c>
      <c r="AH185" s="25" t="n">
        <v>84608449.60991415</v>
      </c>
      <c r="AI185" s="21" t="n">
        <v>70507.04134159513</v>
      </c>
      <c r="AJ185" s="21" t="n">
        <v>46834.40060373076</v>
      </c>
      <c r="AK185" s="21" t="n">
        <v>3239628.662149006</v>
      </c>
      <c r="AL185" s="25" t="n">
        <v>87730736.83011785</v>
      </c>
      <c r="AM185" s="25" t="n">
        <v>766996192.4619401</v>
      </c>
      <c r="AN185" s="21" t="n">
        <v>639163.4937182834</v>
      </c>
      <c r="AO185" s="21" t="n">
        <v>424565.2426550252</v>
      </c>
      <c r="AP185" s="21" t="n">
        <v>29368022.46483543</v>
      </c>
      <c r="AQ185" s="25" t="n">
        <v>795300486.190402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 t="n">
        <v>396375450.5560346</v>
      </c>
      <c r="J186" s="19" t="n">
        <v>330312.8754633622</v>
      </c>
      <c r="K186" s="19" t="n">
        <v>219410.788478156</v>
      </c>
      <c r="L186" s="19" t="n">
        <v>4625115.426383408</v>
      </c>
      <c r="M186" s="24" t="n">
        <v>400450842.3184766</v>
      </c>
      <c r="N186" s="24" t="n">
        <v>48750690.9396974</v>
      </c>
      <c r="O186" s="19" t="n">
        <v>40625.57578308117</v>
      </c>
      <c r="P186" s="19" t="n">
        <v>26985.59540690267</v>
      </c>
      <c r="Q186" s="19" t="n">
        <v>568848.480388341</v>
      </c>
      <c r="R186" s="24" t="n">
        <v>49251928.24889576</v>
      </c>
      <c r="S186" s="24" t="n">
        <v>122597248.6932013</v>
      </c>
      <c r="T186" s="19" t="n">
        <v>102164.3739110011</v>
      </c>
      <c r="U186" s="19" t="n">
        <v>67862.82794076623</v>
      </c>
      <c r="V186" s="19" t="n">
        <v>1430528.619690409</v>
      </c>
      <c r="W186" s="24" t="n">
        <v>123857750.1110399</v>
      </c>
      <c r="X186" s="24" t="n">
        <v>113277877.4190746</v>
      </c>
      <c r="Y186" s="19" t="n">
        <v>94398.23118256219</v>
      </c>
      <c r="Z186" s="19" t="n">
        <v>62704.15679574854</v>
      </c>
      <c r="AA186" s="19" t="n">
        <v>1321785.336564039</v>
      </c>
      <c r="AB186" s="24" t="n">
        <v>114442560.3676603</v>
      </c>
      <c r="AC186" s="24" t="n">
        <v>26568481.75227633</v>
      </c>
      <c r="AD186" s="19" t="n">
        <v>22140.40146023028</v>
      </c>
      <c r="AE186" s="19" t="n">
        <v>14706.7925668882</v>
      </c>
      <c r="AF186" s="19" t="n">
        <v>310014.8978340115</v>
      </c>
      <c r="AG186" s="24" t="n">
        <v>26841649.45608323</v>
      </c>
      <c r="AH186" s="24" t="n">
        <v>87730736.83011785</v>
      </c>
      <c r="AI186" s="19" t="n">
        <v>73108.94735843154</v>
      </c>
      <c r="AJ186" s="19" t="n">
        <v>48562.72030637418</v>
      </c>
      <c r="AK186" s="19" t="n">
        <v>1023687.979948695</v>
      </c>
      <c r="AL186" s="24" t="n">
        <v>88632753.14240174</v>
      </c>
      <c r="AM186" s="24" t="n">
        <v>795300486.190402</v>
      </c>
      <c r="AN186" s="19" t="n">
        <v>662750.4051586684</v>
      </c>
      <c r="AO186" s="19" t="n">
        <v>440232.8814948358</v>
      </c>
      <c r="AP186" s="19" t="n">
        <v>9279980.740808904</v>
      </c>
      <c r="AQ186" s="24" t="n">
        <v>803477483.6445574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 t="n">
        <v>400450842.3184766</v>
      </c>
      <c r="J187" s="21" t="n">
        <v>333709.0352653972</v>
      </c>
      <c r="K187" s="21" t="n">
        <v>221666.6923659987</v>
      </c>
      <c r="L187" s="21" t="n">
        <v>4666799.683641197</v>
      </c>
      <c r="M187" s="25" t="n">
        <v>404562266.2744864</v>
      </c>
      <c r="N187" s="25" t="n">
        <v>49251928.24889576</v>
      </c>
      <c r="O187" s="21" t="n">
        <v>41043.27354074646</v>
      </c>
      <c r="P187" s="21" t="n">
        <v>27263.05172532906</v>
      </c>
      <c r="Q187" s="21" t="n">
        <v>573975.2770650135</v>
      </c>
      <c r="R187" s="25" t="n">
        <v>49757597.2006947</v>
      </c>
      <c r="S187" s="25" t="n">
        <v>123857750.1110399</v>
      </c>
      <c r="T187" s="21" t="n">
        <v>103214.7917591999</v>
      </c>
      <c r="U187" s="21" t="n">
        <v>68560.56946229044</v>
      </c>
      <c r="V187" s="21" t="n">
        <v>1443421.38397855</v>
      </c>
      <c r="W187" s="25" t="n">
        <v>125129396.133797</v>
      </c>
      <c r="X187" s="25" t="n">
        <v>114442560.3676603</v>
      </c>
      <c r="Y187" s="21" t="n">
        <v>95368.80030638362</v>
      </c>
      <c r="Z187" s="21" t="n">
        <v>63348.85869067614</v>
      </c>
      <c r="AA187" s="21" t="n">
        <v>1333698.04250314</v>
      </c>
      <c r="AB187" s="25" t="n">
        <v>115617540.7511664</v>
      </c>
      <c r="AC187" s="25" t="n">
        <v>26841649.45608323</v>
      </c>
      <c r="AD187" s="21" t="n">
        <v>22368.04121340269</v>
      </c>
      <c r="AE187" s="21" t="n">
        <v>14858.00259060425</v>
      </c>
      <c r="AF187" s="21" t="n">
        <v>312808.9342122916</v>
      </c>
      <c r="AG187" s="25" t="n">
        <v>27117232.34649151</v>
      </c>
      <c r="AH187" s="25" t="n">
        <v>88632753.14240174</v>
      </c>
      <c r="AI187" s="21" t="n">
        <v>73860.62761866812</v>
      </c>
      <c r="AJ187" s="21" t="n">
        <v>49062.02496820613</v>
      </c>
      <c r="AK187" s="21" t="n">
        <v>1032914.057391968</v>
      </c>
      <c r="AL187" s="25" t="n">
        <v>89542744.54720683</v>
      </c>
      <c r="AM187" s="25" t="n">
        <v>803477483.6445574</v>
      </c>
      <c r="AN187" s="21" t="n">
        <v>669564.5697037979</v>
      </c>
      <c r="AO187" s="21" t="n">
        <v>444759.1998031047</v>
      </c>
      <c r="AP187" s="21" t="n">
        <v>9363617.378792161</v>
      </c>
      <c r="AQ187" s="25" t="n">
        <v>811726777.2538428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 t="n">
        <v>404562266.2744864</v>
      </c>
      <c r="J188" s="19" t="n">
        <v>337135.2218954053</v>
      </c>
      <c r="K188" s="19" t="n">
        <v>223942.5416162251</v>
      </c>
      <c r="L188" s="19" t="n">
        <v>4306253.438147624</v>
      </c>
      <c r="M188" s="24" t="n">
        <v>408307441.9491224</v>
      </c>
      <c r="N188" s="24" t="n">
        <v>49757597.2006947</v>
      </c>
      <c r="O188" s="19" t="n">
        <v>41464.66433391225</v>
      </c>
      <c r="P188" s="19" t="n">
        <v>27542.96114774029</v>
      </c>
      <c r="Q188" s="19" t="n">
        <v>529631.2629267297</v>
      </c>
      <c r="R188" s="24" t="n">
        <v>50218220.83813977</v>
      </c>
      <c r="S188" s="24" t="n">
        <v>125129396.133797</v>
      </c>
      <c r="T188" s="19" t="n">
        <v>104274.4967781641</v>
      </c>
      <c r="U188" s="19" t="n">
        <v>69264.47999995579</v>
      </c>
      <c r="V188" s="19" t="n">
        <v>1331905.956718438</v>
      </c>
      <c r="W188" s="24" t="n">
        <v>126287763.1137373</v>
      </c>
      <c r="X188" s="24" t="n">
        <v>115617540.7511664</v>
      </c>
      <c r="Y188" s="19" t="n">
        <v>96347.95062597202</v>
      </c>
      <c r="Z188" s="19" t="n">
        <v>63999.260656867</v>
      </c>
      <c r="AA188" s="19" t="n">
        <v>1230659.589078147</v>
      </c>
      <c r="AB188" s="24" t="n">
        <v>116687853.1289617</v>
      </c>
      <c r="AC188" s="24" t="n">
        <v>27117232.34649151</v>
      </c>
      <c r="AD188" s="19" t="n">
        <v>22597.69362207626</v>
      </c>
      <c r="AE188" s="19" t="n">
        <v>15010.5495235456</v>
      </c>
      <c r="AF188" s="19" t="n">
        <v>288642.0330310754</v>
      </c>
      <c r="AG188" s="24" t="n">
        <v>27368266.13637696</v>
      </c>
      <c r="AH188" s="24" t="n">
        <v>89542744.54720683</v>
      </c>
      <c r="AI188" s="19" t="n">
        <v>74618.95378933904</v>
      </c>
      <c r="AJ188" s="19" t="n">
        <v>49565.74418531846</v>
      </c>
      <c r="AK188" s="19" t="n">
        <v>953113.4851463562</v>
      </c>
      <c r="AL188" s="24" t="n">
        <v>90371673.33437854</v>
      </c>
      <c r="AM188" s="24" t="n">
        <v>811726777.2538428</v>
      </c>
      <c r="AN188" s="19" t="n">
        <v>676438.9810448691</v>
      </c>
      <c r="AO188" s="19" t="n">
        <v>449325.5371296522</v>
      </c>
      <c r="AP188" s="19" t="n">
        <v>8640205.76504837</v>
      </c>
      <c r="AQ188" s="24" t="n">
        <v>819241218.5007167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 t="n">
        <v>408307441.9491224</v>
      </c>
      <c r="J189" s="21" t="n">
        <v>340256.2016242687</v>
      </c>
      <c r="K189" s="21" t="n">
        <v>226015.6567564498</v>
      </c>
      <c r="L189" s="21" t="n">
        <v>18619892.60982589</v>
      </c>
      <c r="M189" s="25" t="n">
        <v>426361062.7005675</v>
      </c>
      <c r="N189" s="25" t="n">
        <v>50218220.83813977</v>
      </c>
      <c r="O189" s="21" t="n">
        <v>41848.51736511648</v>
      </c>
      <c r="P189" s="21" t="n">
        <v>27797.9360593846</v>
      </c>
      <c r="Q189" s="21" t="n">
        <v>2290082.871375137</v>
      </c>
      <c r="R189" s="25" t="n">
        <v>52438657.25609041</v>
      </c>
      <c r="S189" s="25" t="n">
        <v>126287763.1137373</v>
      </c>
      <c r="T189" s="21" t="n">
        <v>105239.8025947811</v>
      </c>
      <c r="U189" s="21" t="n">
        <v>69905.68573572785</v>
      </c>
      <c r="V189" s="21" t="n">
        <v>5759053.951815863</v>
      </c>
      <c r="W189" s="25" t="n">
        <v>131871671.5772226</v>
      </c>
      <c r="X189" s="25" t="n">
        <v>116687853.1289617</v>
      </c>
      <c r="Y189" s="21" t="n">
        <v>97239.87760746811</v>
      </c>
      <c r="Z189" s="21" t="n">
        <v>64591.72439900989</v>
      </c>
      <c r="AA189" s="21" t="n">
        <v>5321272.822656847</v>
      </c>
      <c r="AB189" s="25" t="n">
        <v>121847294.3496121</v>
      </c>
      <c r="AC189" s="25" t="n">
        <v>27368266.13637696</v>
      </c>
      <c r="AD189" s="21" t="n">
        <v>22806.8884469808</v>
      </c>
      <c r="AE189" s="21" t="n">
        <v>15149.50747791982</v>
      </c>
      <c r="AF189" s="21" t="n">
        <v>1248064.874702852</v>
      </c>
      <c r="AG189" s="25" t="n">
        <v>28578374.61515491</v>
      </c>
      <c r="AH189" s="25" t="n">
        <v>90371673.33437854</v>
      </c>
      <c r="AI189" s="21" t="n">
        <v>75309.72777864878</v>
      </c>
      <c r="AJ189" s="21" t="n">
        <v>50024.59177169257</v>
      </c>
      <c r="AK189" s="21" t="n">
        <v>4121185.850602425</v>
      </c>
      <c r="AL189" s="25" t="n">
        <v>94367524.86543062</v>
      </c>
      <c r="AM189" s="25" t="n">
        <v>819241218.5007167</v>
      </c>
      <c r="AN189" s="21" t="n">
        <v>682701.0154172641</v>
      </c>
      <c r="AO189" s="21" t="n">
        <v>453485.1022001845</v>
      </c>
      <c r="AP189" s="21" t="n">
        <v>37359552.98097901</v>
      </c>
      <c r="AQ189" s="25" t="n">
        <v>855464585.3640782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 t="n">
        <v>426361062.7005675</v>
      </c>
      <c r="J190" s="19" t="n">
        <v>355300.8855838063</v>
      </c>
      <c r="K190" s="19" t="n">
        <v>236009.1090714291</v>
      </c>
      <c r="L190" s="19" t="n">
        <v>22489594.28830559</v>
      </c>
      <c r="M190" s="24" t="n">
        <v>448259346.9942179</v>
      </c>
      <c r="N190" s="24" t="n">
        <v>52438657.25609041</v>
      </c>
      <c r="O190" s="19" t="n">
        <v>43698.88104674201</v>
      </c>
      <c r="P190" s="19" t="n">
        <v>29027.04271708688</v>
      </c>
      <c r="Q190" s="19" t="n">
        <v>2766022.111032268</v>
      </c>
      <c r="R190" s="24" t="n">
        <v>55131953.44335885</v>
      </c>
      <c r="S190" s="24" t="n">
        <v>131871671.5772226</v>
      </c>
      <c r="T190" s="19" t="n">
        <v>109893.0596476855</v>
      </c>
      <c r="U190" s="19" t="n">
        <v>72996.61822673985</v>
      </c>
      <c r="V190" s="19" t="n">
        <v>6955936.297530176</v>
      </c>
      <c r="W190" s="24" t="n">
        <v>138644718.1968784</v>
      </c>
      <c r="X190" s="24" t="n">
        <v>121847294.3496121</v>
      </c>
      <c r="Y190" s="19" t="n">
        <v>101539.4119580101</v>
      </c>
      <c r="Z190" s="19" t="n">
        <v>67447.69609135757</v>
      </c>
      <c r="AA190" s="19" t="n">
        <v>6427172.776269746</v>
      </c>
      <c r="AB190" s="24" t="n">
        <v>128105480.0178325</v>
      </c>
      <c r="AC190" s="24" t="n">
        <v>28578374.61515491</v>
      </c>
      <c r="AD190" s="19" t="n">
        <v>23815.31217929576</v>
      </c>
      <c r="AE190" s="19" t="n">
        <v>15819.35434936535</v>
      </c>
      <c r="AF190" s="19" t="n">
        <v>1507445.465219284</v>
      </c>
      <c r="AG190" s="24" t="n">
        <v>30046185.41384554</v>
      </c>
      <c r="AH190" s="24" t="n">
        <v>94367524.86543062</v>
      </c>
      <c r="AI190" s="19" t="n">
        <v>78639.60405452552</v>
      </c>
      <c r="AJ190" s="19" t="n">
        <v>52236.46673478603</v>
      </c>
      <c r="AK190" s="19" t="n">
        <v>4977676.279284447</v>
      </c>
      <c r="AL190" s="24" t="n">
        <v>99214325.07392576</v>
      </c>
      <c r="AM190" s="24" t="n">
        <v>855464585.3640782</v>
      </c>
      <c r="AN190" s="19" t="n">
        <v>712887.1544700653</v>
      </c>
      <c r="AO190" s="19" t="n">
        <v>473536.2871907648</v>
      </c>
      <c r="AP190" s="19" t="n">
        <v>45123847.21764151</v>
      </c>
      <c r="AQ190" s="24" t="n">
        <v>899402009.1400589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 t="n">
        <v>448259346.9942179</v>
      </c>
      <c r="J191" s="21" t="n">
        <v>373549.4558285149</v>
      </c>
      <c r="K191" s="21" t="n">
        <v>248130.7473223566</v>
      </c>
      <c r="L191" s="21" t="n">
        <v>20274713.19186392</v>
      </c>
      <c r="M191" s="25" t="n">
        <v>467912379.9829309</v>
      </c>
      <c r="N191" s="25" t="n">
        <v>55131953.44335885</v>
      </c>
      <c r="O191" s="21" t="n">
        <v>45943.29453613238</v>
      </c>
      <c r="P191" s="21" t="n">
        <v>30517.89750949345</v>
      </c>
      <c r="Q191" s="21" t="n">
        <v>2493611.234805358</v>
      </c>
      <c r="R191" s="25" t="n">
        <v>57549103.48611858</v>
      </c>
      <c r="S191" s="25" t="n">
        <v>138644718.1968784</v>
      </c>
      <c r="T191" s="21" t="n">
        <v>115537.2651640653</v>
      </c>
      <c r="U191" s="21" t="n">
        <v>76745.78961748393</v>
      </c>
      <c r="V191" s="21" t="n">
        <v>6270882.951705109</v>
      </c>
      <c r="W191" s="25" t="n">
        <v>144723318.0938019</v>
      </c>
      <c r="X191" s="25" t="n">
        <v>128105480.0178325</v>
      </c>
      <c r="Y191" s="21" t="n">
        <v>106754.5666815271</v>
      </c>
      <c r="Z191" s="21" t="n">
        <v>70911.86989420214</v>
      </c>
      <c r="AA191" s="21" t="n">
        <v>5794194.550729826</v>
      </c>
      <c r="AB191" s="25" t="n">
        <v>133722008.1319866</v>
      </c>
      <c r="AC191" s="25" t="n">
        <v>30046185.41384554</v>
      </c>
      <c r="AD191" s="21" t="n">
        <v>25038.48784487128</v>
      </c>
      <c r="AE191" s="21" t="n">
        <v>16631.85049216554</v>
      </c>
      <c r="AF191" s="21" t="n">
        <v>1358985.140767497</v>
      </c>
      <c r="AG191" s="25" t="n">
        <v>31363500.216276</v>
      </c>
      <c r="AH191" s="25" t="n">
        <v>99214325.07392576</v>
      </c>
      <c r="AI191" s="21" t="n">
        <v>82678.60422827148</v>
      </c>
      <c r="AJ191" s="21" t="n">
        <v>54919.37823662152</v>
      </c>
      <c r="AK191" s="21" t="n">
        <v>4487451.291058399</v>
      </c>
      <c r="AL191" s="25" t="n">
        <v>103564178.3825193</v>
      </c>
      <c r="AM191" s="25" t="n">
        <v>899402009.1400589</v>
      </c>
      <c r="AN191" s="21" t="n">
        <v>749501.6742833825</v>
      </c>
      <c r="AO191" s="21" t="n">
        <v>497857.5330723232</v>
      </c>
      <c r="AP191" s="21" t="n">
        <v>40679838.36093011</v>
      </c>
      <c r="AQ191" s="25" t="n">
        <v>938834488.2936333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 t="n">
        <v>467912379.9829309</v>
      </c>
      <c r="J192" s="19" t="n">
        <v>389926.9833191091</v>
      </c>
      <c r="K192" s="19" t="n">
        <v>259009.5428128234</v>
      </c>
      <c r="L192" s="19" t="n">
        <v>12418630.43730105</v>
      </c>
      <c r="M192" s="24" t="n">
        <v>479682073.8941</v>
      </c>
      <c r="N192" s="24" t="n">
        <v>57549103.48611858</v>
      </c>
      <c r="O192" s="19" t="n">
        <v>47957.58623843216</v>
      </c>
      <c r="P192" s="19" t="n">
        <v>31855.89358369015</v>
      </c>
      <c r="Q192" s="19" t="n">
        <v>1527382.216769241</v>
      </c>
      <c r="R192" s="24" t="n">
        <v>58996672.2230657</v>
      </c>
      <c r="S192" s="24" t="n">
        <v>144723318.0938019</v>
      </c>
      <c r="T192" s="19" t="n">
        <v>120602.7650781683</v>
      </c>
      <c r="U192" s="19" t="n">
        <v>80110.55500433195</v>
      </c>
      <c r="V192" s="19" t="n">
        <v>3841029.816591845</v>
      </c>
      <c r="W192" s="24" t="n">
        <v>148363634.5903113</v>
      </c>
      <c r="X192" s="24" t="n">
        <v>133722008.1319866</v>
      </c>
      <c r="Y192" s="19" t="n">
        <v>111435.0067766555</v>
      </c>
      <c r="Z192" s="19" t="n">
        <v>74020.85875894534</v>
      </c>
      <c r="AA192" s="19" t="n">
        <v>3549049.504493738</v>
      </c>
      <c r="AB192" s="24" t="n">
        <v>137085601.7709447</v>
      </c>
      <c r="AC192" s="24" t="n">
        <v>31363500.216276</v>
      </c>
      <c r="AD192" s="19" t="n">
        <v>26136.25018023</v>
      </c>
      <c r="AE192" s="19" t="n">
        <v>17361.0406553549</v>
      </c>
      <c r="AF192" s="19" t="n">
        <v>832403.1059412268</v>
      </c>
      <c r="AG192" s="24" t="n">
        <v>32152406.03138164</v>
      </c>
      <c r="AH192" s="24" t="n">
        <v>103564178.3825193</v>
      </c>
      <c r="AI192" s="19" t="n">
        <v>86303.48198543274</v>
      </c>
      <c r="AJ192" s="19" t="n">
        <v>57327.20834533279</v>
      </c>
      <c r="AK192" s="19" t="n">
        <v>2748645.500514746</v>
      </c>
      <c r="AL192" s="24" t="n">
        <v>106169193.1927032</v>
      </c>
      <c r="AM192" s="24" t="n">
        <v>938834488.2936333</v>
      </c>
      <c r="AN192" s="19" t="n">
        <v>782362.0735780278</v>
      </c>
      <c r="AO192" s="19" t="n">
        <v>519685.0991604786</v>
      </c>
      <c r="AP192" s="19" t="n">
        <v>24917140.58161185</v>
      </c>
      <c r="AQ192" s="24" t="n">
        <v>962449581.7025065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 t="n">
        <v>479682073.8941</v>
      </c>
      <c r="J193" s="21" t="n">
        <v>399735.0615784167</v>
      </c>
      <c r="K193" s="21" t="n">
        <v>265524.5724837417</v>
      </c>
      <c r="L193" s="21" t="n">
        <v>28427619.05161329</v>
      </c>
      <c r="M193" s="25" t="n">
        <v>507444433.3116512</v>
      </c>
      <c r="N193" s="25" t="n">
        <v>58996672.2230657</v>
      </c>
      <c r="O193" s="21" t="n">
        <v>49163.89351922143</v>
      </c>
      <c r="P193" s="21" t="n">
        <v>32657.18487835623</v>
      </c>
      <c r="Q193" s="21" t="n">
        <v>3496346.881706633</v>
      </c>
      <c r="R193" s="25" t="n">
        <v>62411198.02637476</v>
      </c>
      <c r="S193" s="25" t="n">
        <v>148363634.5903113</v>
      </c>
      <c r="T193" s="21" t="n">
        <v>123636.3621585928</v>
      </c>
      <c r="U193" s="21" t="n">
        <v>82125.62609838863</v>
      </c>
      <c r="V193" s="21" t="n">
        <v>8792542.216570839</v>
      </c>
      <c r="W193" s="25" t="n">
        <v>156950414.8186252</v>
      </c>
      <c r="X193" s="25" t="n">
        <v>137085601.7709447</v>
      </c>
      <c r="Y193" s="21" t="n">
        <v>114238.0014757872</v>
      </c>
      <c r="Z193" s="21" t="n">
        <v>75882.75189942273</v>
      </c>
      <c r="AA193" s="21" t="n">
        <v>8124166.977867781</v>
      </c>
      <c r="AB193" s="25" t="n">
        <v>145019647.9954373</v>
      </c>
      <c r="AC193" s="25" t="n">
        <v>32152406.03138164</v>
      </c>
      <c r="AD193" s="21" t="n">
        <v>26793.67169281804</v>
      </c>
      <c r="AE193" s="21" t="n">
        <v>17797.73381252323</v>
      </c>
      <c r="AF193" s="21" t="n">
        <v>1905462.805463728</v>
      </c>
      <c r="AG193" s="25" t="n">
        <v>34013277.43134003</v>
      </c>
      <c r="AH193" s="25" t="n">
        <v>106169193.1927032</v>
      </c>
      <c r="AI193" s="21" t="n">
        <v>88474.32766058604</v>
      </c>
      <c r="AJ193" s="21" t="n">
        <v>58769.19561446852</v>
      </c>
      <c r="AK193" s="21" t="n">
        <v>6291953.657133373</v>
      </c>
      <c r="AL193" s="25" t="n">
        <v>112313903.3265616</v>
      </c>
      <c r="AM193" s="25" t="n">
        <v>962449581.7025065</v>
      </c>
      <c r="AN193" s="21" t="n">
        <v>802041.3180854223</v>
      </c>
      <c r="AO193" s="21" t="n">
        <v>532757.064786901</v>
      </c>
      <c r="AP193" s="21" t="n">
        <v>57038091.59035565</v>
      </c>
      <c r="AQ193" s="25" t="n">
        <v>1018152874.90999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 t="n">
        <v>507444433.3116512</v>
      </c>
      <c r="J194" s="19" t="n">
        <v>422870.3610930427</v>
      </c>
      <c r="K194" s="19" t="n">
        <v>280892.2274716424</v>
      </c>
      <c r="L194" s="19" t="n">
        <v>8836579.425416946</v>
      </c>
      <c r="M194" s="24" t="n">
        <v>515577250.1485034</v>
      </c>
      <c r="N194" s="24" t="n">
        <v>62411198.02637476</v>
      </c>
      <c r="O194" s="19" t="n">
        <v>52009.33168864564</v>
      </c>
      <c r="P194" s="19" t="n">
        <v>34547.27115320523</v>
      </c>
      <c r="Q194" s="19" t="n">
        <v>1086821.476779856</v>
      </c>
      <c r="R194" s="24" t="n">
        <v>63411462.90031277</v>
      </c>
      <c r="S194" s="24" t="n">
        <v>156950414.8186252</v>
      </c>
      <c r="T194" s="19" t="n">
        <v>130792.0123488543</v>
      </c>
      <c r="U194" s="19" t="n">
        <v>86878.77672297969</v>
      </c>
      <c r="V194" s="19" t="n">
        <v>2733116.604207852</v>
      </c>
      <c r="W194" s="24" t="n">
        <v>159465860.6337612</v>
      </c>
      <c r="X194" s="24" t="n">
        <v>145019647.9954373</v>
      </c>
      <c r="Y194" s="19" t="n">
        <v>120849.7066628644</v>
      </c>
      <c r="Z194" s="19" t="n">
        <v>80274.58629657331</v>
      </c>
      <c r="AA194" s="19" t="n">
        <v>2525355.59291604</v>
      </c>
      <c r="AB194" s="24" t="n">
        <v>147343879.2953939</v>
      </c>
      <c r="AC194" s="24" t="n">
        <v>34013277.43134003</v>
      </c>
      <c r="AD194" s="19" t="n">
        <v>28344.39785945003</v>
      </c>
      <c r="AE194" s="19" t="n">
        <v>18827.80583274689</v>
      </c>
      <c r="AF194" s="19" t="n">
        <v>592303.3298035725</v>
      </c>
      <c r="AG194" s="24" t="n">
        <v>34558408.55745141</v>
      </c>
      <c r="AH194" s="24" t="n">
        <v>112313903.3265616</v>
      </c>
      <c r="AI194" s="19" t="n">
        <v>93594.9194388013</v>
      </c>
      <c r="AJ194" s="19" t="n">
        <v>62170.55584893384</v>
      </c>
      <c r="AK194" s="19" t="n">
        <v>1955821.48935355</v>
      </c>
      <c r="AL194" s="24" t="n">
        <v>114113959.3406274</v>
      </c>
      <c r="AM194" s="24" t="n">
        <v>1018152874.90999</v>
      </c>
      <c r="AN194" s="19" t="n">
        <v>848460.7290916585</v>
      </c>
      <c r="AO194" s="19" t="n">
        <v>563591.2233260814</v>
      </c>
      <c r="AP194" s="19" t="n">
        <v>17729997.91847781</v>
      </c>
      <c r="AQ194" s="24" t="n">
        <v>1034470820.87605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 t="n">
        <v>515577250.1485034</v>
      </c>
      <c r="J195" s="21" t="n">
        <v>429647.7084570862</v>
      </c>
      <c r="K195" s="21" t="n">
        <v>285394.0899159966</v>
      </c>
      <c r="L195" s="21" t="n">
        <v>11065329.62134469</v>
      </c>
      <c r="M195" s="25" t="n">
        <v>525927537.971475</v>
      </c>
      <c r="N195" s="25" t="n">
        <v>63411462.90031277</v>
      </c>
      <c r="O195" s="21" t="n">
        <v>52842.88575026064</v>
      </c>
      <c r="P195" s="21" t="n">
        <v>35100.96060185769</v>
      </c>
      <c r="Q195" s="21" t="n">
        <v>1360938.130147377</v>
      </c>
      <c r="R195" s="25" t="n">
        <v>64684457.18410802</v>
      </c>
      <c r="S195" s="25" t="n">
        <v>159465860.6337612</v>
      </c>
      <c r="T195" s="21" t="n">
        <v>132888.217194801</v>
      </c>
      <c r="U195" s="21" t="n">
        <v>88271.18371715363</v>
      </c>
      <c r="V195" s="21" t="n">
        <v>3422459.60378534</v>
      </c>
      <c r="W195" s="25" t="n">
        <v>162667160.8366345</v>
      </c>
      <c r="X195" s="25" t="n">
        <v>147343879.2953939</v>
      </c>
      <c r="Y195" s="21" t="n">
        <v>122786.5660794949</v>
      </c>
      <c r="Z195" s="21" t="n">
        <v>81561.14786695743</v>
      </c>
      <c r="AA195" s="21" t="n">
        <v>3162297.389230317</v>
      </c>
      <c r="AB195" s="25" t="n">
        <v>150301828.9706777</v>
      </c>
      <c r="AC195" s="25" t="n">
        <v>34558408.55745141</v>
      </c>
      <c r="AD195" s="21" t="n">
        <v>28798.67379787618</v>
      </c>
      <c r="AE195" s="21" t="n">
        <v>19129.55925878853</v>
      </c>
      <c r="AF195" s="21" t="n">
        <v>741693.2802352218</v>
      </c>
      <c r="AG195" s="25" t="n">
        <v>35252173.60462997</v>
      </c>
      <c r="AH195" s="25" t="n">
        <v>114113959.3406274</v>
      </c>
      <c r="AI195" s="21" t="n">
        <v>95094.96611718948</v>
      </c>
      <c r="AJ195" s="21" t="n">
        <v>63166.96394836832</v>
      </c>
      <c r="AK195" s="21" t="n">
        <v>2449116.158901631</v>
      </c>
      <c r="AL195" s="25" t="n">
        <v>116404813.5694634</v>
      </c>
      <c r="AM195" s="25" t="n">
        <v>1034470820.87605</v>
      </c>
      <c r="AN195" s="21" t="n">
        <v>862059.0173967085</v>
      </c>
      <c r="AO195" s="21" t="n">
        <v>572623.9053091222</v>
      </c>
      <c r="AP195" s="21" t="n">
        <v>22201834.18364458</v>
      </c>
      <c r="AQ195" s="25" t="n">
        <v>1055237972.136989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 t="n">
        <v>525927537.971475</v>
      </c>
      <c r="J196" s="19" t="n">
        <v>438272.9483095625</v>
      </c>
      <c r="K196" s="19" t="n">
        <v>291123.4175245262</v>
      </c>
      <c r="L196" s="19" t="n">
        <v>14438483.39837277</v>
      </c>
      <c r="M196" s="24" t="n">
        <v>539636625.0040138</v>
      </c>
      <c r="N196" s="24" t="n">
        <v>64684457.18410802</v>
      </c>
      <c r="O196" s="19" t="n">
        <v>53903.71432009002</v>
      </c>
      <c r="P196" s="19" t="n">
        <v>35805.61745975312</v>
      </c>
      <c r="Q196" s="19" t="n">
        <v>1775806.349269645</v>
      </c>
      <c r="R196" s="24" t="n">
        <v>66370554.20159782</v>
      </c>
      <c r="S196" s="24" t="n">
        <v>162667160.8366345</v>
      </c>
      <c r="T196" s="19" t="n">
        <v>135555.9673638621</v>
      </c>
      <c r="U196" s="19" t="n">
        <v>90043.24048979786</v>
      </c>
      <c r="V196" s="19" t="n">
        <v>4465761.785851888</v>
      </c>
      <c r="W196" s="24" t="n">
        <v>166907323.4146328</v>
      </c>
      <c r="X196" s="24" t="n">
        <v>150301828.9706777</v>
      </c>
      <c r="Y196" s="19" t="n">
        <v>125251.5241422314</v>
      </c>
      <c r="Z196" s="19" t="n">
        <v>83198.49969997915</v>
      </c>
      <c r="AA196" s="19" t="n">
        <v>4126291.752488336</v>
      </c>
      <c r="AB196" s="24" t="n">
        <v>154219670.6993238</v>
      </c>
      <c r="AC196" s="24" t="n">
        <v>35252173.60462997</v>
      </c>
      <c r="AD196" s="19" t="n">
        <v>29376.81133719164</v>
      </c>
      <c r="AE196" s="19" t="n">
        <v>19513.58792606977</v>
      </c>
      <c r="AF196" s="19" t="n">
        <v>967790.9723270865</v>
      </c>
      <c r="AG196" s="24" t="n">
        <v>36171074.17769379</v>
      </c>
      <c r="AH196" s="24" t="n">
        <v>116404813.5694634</v>
      </c>
      <c r="AI196" s="19" t="n">
        <v>97004.01130788621</v>
      </c>
      <c r="AJ196" s="19" t="n">
        <v>64435.04988036118</v>
      </c>
      <c r="AK196" s="19" t="n">
        <v>3195704.439999361</v>
      </c>
      <c r="AL196" s="24" t="n">
        <v>119439078.9482746</v>
      </c>
      <c r="AM196" s="24" t="n">
        <v>1055237972.136989</v>
      </c>
      <c r="AN196" s="19" t="n">
        <v>879364.9767808239</v>
      </c>
      <c r="AO196" s="19" t="n">
        <v>584119.4129804873</v>
      </c>
      <c r="AP196" s="19" t="n">
        <v>28969838.69830909</v>
      </c>
      <c r="AQ196" s="24" t="n">
        <v>1082744326.445537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 t="n">
        <v>539636625.0040138</v>
      </c>
      <c r="J197" s="21" t="n">
        <v>449697.1875033448</v>
      </c>
      <c r="K197" s="21" t="n">
        <v>298711.9843515219</v>
      </c>
      <c r="L197" s="21" t="n">
        <v>28964835.9577058</v>
      </c>
      <c r="M197" s="25" t="n">
        <v>567853051.7898648</v>
      </c>
      <c r="N197" s="25" t="n">
        <v>66370554.20159782</v>
      </c>
      <c r="O197" s="21" t="n">
        <v>55308.79516799819</v>
      </c>
      <c r="P197" s="21" t="n">
        <v>36738.94437376645</v>
      </c>
      <c r="Q197" s="21" t="n">
        <v>3562419.831784034</v>
      </c>
      <c r="R197" s="25" t="n">
        <v>69840926.2938401</v>
      </c>
      <c r="S197" s="25" t="n">
        <v>166907323.4146328</v>
      </c>
      <c r="T197" s="21" t="n">
        <v>139089.4361788607</v>
      </c>
      <c r="U197" s="21" t="n">
        <v>92390.35208111636</v>
      </c>
      <c r="V197" s="21" t="n">
        <v>8958701.131170681</v>
      </c>
      <c r="W197" s="25" t="n">
        <v>175634544.7575435</v>
      </c>
      <c r="X197" s="25" t="n">
        <v>154219670.6993238</v>
      </c>
      <c r="Y197" s="21" t="n">
        <v>128516.3922494365</v>
      </c>
      <c r="Z197" s="21" t="n">
        <v>85367.19289631359</v>
      </c>
      <c r="AA197" s="21" t="n">
        <v>8277695.130911655</v>
      </c>
      <c r="AB197" s="25" t="n">
        <v>162283482.2450897</v>
      </c>
      <c r="AC197" s="25" t="n">
        <v>36171074.17769379</v>
      </c>
      <c r="AD197" s="21" t="n">
        <v>30142.56181474483</v>
      </c>
      <c r="AE197" s="21" t="n">
        <v>20022.23874938926</v>
      </c>
      <c r="AF197" s="21" t="n">
        <v>1941471.689330049</v>
      </c>
      <c r="AG197" s="25" t="n">
        <v>38062381.0664597</v>
      </c>
      <c r="AH197" s="25" t="n">
        <v>119439078.9482746</v>
      </c>
      <c r="AI197" s="21" t="n">
        <v>99532.56579022881</v>
      </c>
      <c r="AJ197" s="21" t="n">
        <v>66114.64572385504</v>
      </c>
      <c r="AK197" s="21" t="n">
        <v>6410857.173844554</v>
      </c>
      <c r="AL197" s="25" t="n">
        <v>125684288.910605</v>
      </c>
      <c r="AM197" s="25" t="n">
        <v>1082744326.445537</v>
      </c>
      <c r="AN197" s="21" t="n">
        <v>902286.9387046139</v>
      </c>
      <c r="AO197" s="21" t="n">
        <v>599345.3581759626</v>
      </c>
      <c r="AP197" s="21" t="n">
        <v>58115980.91474678</v>
      </c>
      <c r="AQ197" s="25" t="n">
        <v>1139358675.063403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 t="n">
        <v>567853051.7898648</v>
      </c>
      <c r="J198" s="19" t="n">
        <v>473210.876491554</v>
      </c>
      <c r="K198" s="19" t="n">
        <v>314330.9850752928</v>
      </c>
      <c r="L198" s="19" t="n">
        <v>27481094.35805178</v>
      </c>
      <c r="M198" s="24" t="n">
        <v>594546604.2863498</v>
      </c>
      <c r="N198" s="24" t="n">
        <v>69840926.2938401</v>
      </c>
      <c r="O198" s="19" t="n">
        <v>58200.77191153342</v>
      </c>
      <c r="P198" s="19" t="n">
        <v>38659.94396141327</v>
      </c>
      <c r="Q198" s="19" t="n">
        <v>3379932.677098656</v>
      </c>
      <c r="R198" s="24" t="n">
        <v>73123998.25506581</v>
      </c>
      <c r="S198" s="24" t="n">
        <v>175634544.7575435</v>
      </c>
      <c r="T198" s="19" t="n">
        <v>146362.1206312862</v>
      </c>
      <c r="U198" s="19" t="n">
        <v>97221.2428776712</v>
      </c>
      <c r="V198" s="19" t="n">
        <v>8499786.13622319</v>
      </c>
      <c r="W198" s="24" t="n">
        <v>183890747.5302577</v>
      </c>
      <c r="X198" s="24" t="n">
        <v>162283482.2450897</v>
      </c>
      <c r="Y198" s="19" t="n">
        <v>135236.2352042415</v>
      </c>
      <c r="Z198" s="19" t="n">
        <v>89830.8579565836</v>
      </c>
      <c r="AA198" s="19" t="n">
        <v>7853665.088659001</v>
      </c>
      <c r="AB198" s="24" t="n">
        <v>169912080.2405879</v>
      </c>
      <c r="AC198" s="24" t="n">
        <v>38062381.0664597</v>
      </c>
      <c r="AD198" s="19" t="n">
        <v>31718.65088871642</v>
      </c>
      <c r="AE198" s="19" t="n">
        <v>21069.15811620719</v>
      </c>
      <c r="AF198" s="19" t="n">
        <v>1842018.603725979</v>
      </c>
      <c r="AG198" s="24" t="n">
        <v>39851611.86118075</v>
      </c>
      <c r="AH198" s="24" t="n">
        <v>125684288.910605</v>
      </c>
      <c r="AI198" s="19" t="n">
        <v>104736.9074255042</v>
      </c>
      <c r="AJ198" s="19" t="n">
        <v>69571.63691774546</v>
      </c>
      <c r="AK198" s="19" t="n">
        <v>6082457.058195255</v>
      </c>
      <c r="AL198" s="24" t="n">
        <v>131592437.424457</v>
      </c>
      <c r="AM198" s="24" t="n">
        <v>1139358675.063403</v>
      </c>
      <c r="AN198" s="19" t="n">
        <v>949465.5625528357</v>
      </c>
      <c r="AO198" s="19" t="n">
        <v>630683.8249049135</v>
      </c>
      <c r="AP198" s="19" t="n">
        <v>55138953.92195386</v>
      </c>
      <c r="AQ198" s="24" t="n">
        <v>1192917479.597899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 t="n">
        <v>594546604.2863498</v>
      </c>
      <c r="J199" s="21" t="n">
        <v>495455.5035719582</v>
      </c>
      <c r="K199" s="21" t="n">
        <v>329107.0096558284</v>
      </c>
      <c r="L199" s="21" t="n">
        <v>25142742.63034404</v>
      </c>
      <c r="M199" s="25" t="n">
        <v>618864784.403466</v>
      </c>
      <c r="N199" s="25" t="n">
        <v>73123998.25506581</v>
      </c>
      <c r="O199" s="21" t="n">
        <v>60936.66521255485</v>
      </c>
      <c r="P199" s="21" t="n">
        <v>40477.26490455585</v>
      </c>
      <c r="Q199" s="21" t="n">
        <v>3092336.000195801</v>
      </c>
      <c r="R199" s="25" t="n">
        <v>76114920.3251445</v>
      </c>
      <c r="S199" s="25" t="n">
        <v>183890747.5302577</v>
      </c>
      <c r="T199" s="21" t="n">
        <v>153242.2896085481</v>
      </c>
      <c r="U199" s="21" t="n">
        <v>101791.4047220932</v>
      </c>
      <c r="V199" s="21" t="n">
        <v>7776543.846894184</v>
      </c>
      <c r="W199" s="25" t="n">
        <v>191412257.6828213</v>
      </c>
      <c r="X199" s="25" t="n">
        <v>169912080.2405879</v>
      </c>
      <c r="Y199" s="21" t="n">
        <v>141593.4002004899</v>
      </c>
      <c r="Z199" s="21" t="n">
        <v>94053.6136767654</v>
      </c>
      <c r="AA199" s="21" t="n">
        <v>7185400.89620616</v>
      </c>
      <c r="AB199" s="25" t="n">
        <v>176861834.1229168</v>
      </c>
      <c r="AC199" s="25" t="n">
        <v>39851611.86118075</v>
      </c>
      <c r="AD199" s="21" t="n">
        <v>33209.67655098396</v>
      </c>
      <c r="AE199" s="21" t="n">
        <v>22059.57399309472</v>
      </c>
      <c r="AF199" s="21" t="n">
        <v>1685282.218763549</v>
      </c>
      <c r="AG199" s="25" t="n">
        <v>41481624.82940023</v>
      </c>
      <c r="AH199" s="25" t="n">
        <v>131592437.424457</v>
      </c>
      <c r="AI199" s="21" t="n">
        <v>109660.3645203809</v>
      </c>
      <c r="AJ199" s="21" t="n">
        <v>72842.05016370167</v>
      </c>
      <c r="AK199" s="21" t="n">
        <v>5564904.016623174</v>
      </c>
      <c r="AL199" s="25" t="n">
        <v>136974839.0263961</v>
      </c>
      <c r="AM199" s="25" t="n">
        <v>1192917479.597899</v>
      </c>
      <c r="AN199" s="21" t="n">
        <v>994097.8996649159</v>
      </c>
      <c r="AO199" s="21" t="n">
        <v>660330.9171160392</v>
      </c>
      <c r="AP199" s="21" t="n">
        <v>50447209.60902692</v>
      </c>
      <c r="AQ199" s="25" t="n">
        <v>1241710260.390145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 t="n">
        <v>618864784.403466</v>
      </c>
      <c r="J200" s="19" t="n">
        <v>515720.653669555</v>
      </c>
      <c r="K200" s="19" t="n">
        <v>342568.1638881741</v>
      </c>
      <c r="L200" s="19" t="n">
        <v>8627731.668111967</v>
      </c>
      <c r="M200" s="24" t="n">
        <v>626634227.2540201</v>
      </c>
      <c r="N200" s="24" t="n">
        <v>76114920.3251445</v>
      </c>
      <c r="O200" s="19" t="n">
        <v>63429.10027095376</v>
      </c>
      <c r="P200" s="19" t="n">
        <v>42132.86837029045</v>
      </c>
      <c r="Q200" s="19" t="n">
        <v>1061135.041215944</v>
      </c>
      <c r="R200" s="24" t="n">
        <v>77070493.39771919</v>
      </c>
      <c r="S200" s="24" t="n">
        <v>191412257.6828213</v>
      </c>
      <c r="T200" s="19" t="n">
        <v>159510.2147356844</v>
      </c>
      <c r="U200" s="19" t="n">
        <v>105954.882734683</v>
      </c>
      <c r="V200" s="19" t="n">
        <v>2668520.87708747</v>
      </c>
      <c r="W200" s="24" t="n">
        <v>193815313.4624384</v>
      </c>
      <c r="X200" s="24" t="n">
        <v>176861834.1229168</v>
      </c>
      <c r="Y200" s="19" t="n">
        <v>147384.8617690974</v>
      </c>
      <c r="Z200" s="19" t="n">
        <v>97900.60010569749</v>
      </c>
      <c r="AA200" s="19" t="n">
        <v>2465670.184503245</v>
      </c>
      <c r="AB200" s="24" t="n">
        <v>179082218.8455453</v>
      </c>
      <c r="AC200" s="24" t="n">
        <v>41481624.82940023</v>
      </c>
      <c r="AD200" s="19" t="n">
        <v>34568.02069116686</v>
      </c>
      <c r="AE200" s="19" t="n">
        <v>22961.85598378046</v>
      </c>
      <c r="AF200" s="19" t="n">
        <v>578304.5621675409</v>
      </c>
      <c r="AG200" s="24" t="n">
        <v>42002399.51489282</v>
      </c>
      <c r="AH200" s="24" t="n">
        <v>136974839.0263961</v>
      </c>
      <c r="AI200" s="19" t="n">
        <v>114145.6991886634</v>
      </c>
      <c r="AJ200" s="19" t="n">
        <v>75821.43997639291</v>
      </c>
      <c r="AK200" s="19" t="n">
        <v>1909596.710276084</v>
      </c>
      <c r="AL200" s="24" t="n">
        <v>138694468.5975072</v>
      </c>
      <c r="AM200" s="24" t="n">
        <v>1241710260.390145</v>
      </c>
      <c r="AN200" s="19" t="n">
        <v>1034758.550325121</v>
      </c>
      <c r="AO200" s="19" t="n">
        <v>687339.8110590184</v>
      </c>
      <c r="AP200" s="19" t="n">
        <v>17310959.04336225</v>
      </c>
      <c r="AQ200" s="24" t="n">
        <v>1257299121.072123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 t="n">
        <v>626634227.2540201</v>
      </c>
      <c r="J201" s="21" t="n">
        <v>522195.1893783501</v>
      </c>
      <c r="K201" s="21" t="n">
        <v>346868.8832679557</v>
      </c>
      <c r="L201" s="21" t="n">
        <v>28004996.36814255</v>
      </c>
      <c r="M201" s="25" t="n">
        <v>653770159.5495162</v>
      </c>
      <c r="N201" s="25" t="n">
        <v>77070493.39771919</v>
      </c>
      <c r="O201" s="21" t="n">
        <v>64225.411164766</v>
      </c>
      <c r="P201" s="21" t="n">
        <v>42661.81899275709</v>
      </c>
      <c r="Q201" s="21" t="n">
        <v>3444368.012185108</v>
      </c>
      <c r="R201" s="25" t="n">
        <v>80407974.17974678</v>
      </c>
      <c r="S201" s="25" t="n">
        <v>193815313.4624384</v>
      </c>
      <c r="T201" s="21" t="n">
        <v>161512.7612186987</v>
      </c>
      <c r="U201" s="21" t="n">
        <v>107285.0770305788</v>
      </c>
      <c r="V201" s="21" t="n">
        <v>8661826.809861949</v>
      </c>
      <c r="W201" s="25" t="n">
        <v>202208342.4340511</v>
      </c>
      <c r="X201" s="25" t="n">
        <v>179082218.8455453</v>
      </c>
      <c r="Y201" s="21" t="n">
        <v>149235.1823712877</v>
      </c>
      <c r="Z201" s="21" t="n">
        <v>99129.67814782486</v>
      </c>
      <c r="AA201" s="21" t="n">
        <v>8003388.053578795</v>
      </c>
      <c r="AB201" s="25" t="n">
        <v>186837242.0386049</v>
      </c>
      <c r="AC201" s="25" t="n">
        <v>42002399.51489282</v>
      </c>
      <c r="AD201" s="21" t="n">
        <v>35001.99959574402</v>
      </c>
      <c r="AE201" s="21" t="n">
        <v>23250.1270767634</v>
      </c>
      <c r="AF201" s="21" t="n">
        <v>1877135.009082445</v>
      </c>
      <c r="AG201" s="25" t="n">
        <v>43821282.39730276</v>
      </c>
      <c r="AH201" s="25" t="n">
        <v>138694468.5975072</v>
      </c>
      <c r="AI201" s="21" t="n">
        <v>115578.723831256</v>
      </c>
      <c r="AJ201" s="21" t="n">
        <v>76773.32859502088</v>
      </c>
      <c r="AK201" s="21" t="n">
        <v>6198413.55678155</v>
      </c>
      <c r="AL201" s="25" t="n">
        <v>144700530.1018625</v>
      </c>
      <c r="AM201" s="25" t="n">
        <v>1257299121.072123</v>
      </c>
      <c r="AN201" s="21" t="n">
        <v>1047749.267560103</v>
      </c>
      <c r="AO201" s="21" t="n">
        <v>695968.9131109009</v>
      </c>
      <c r="AP201" s="21" t="n">
        <v>56190127.80963239</v>
      </c>
      <c r="AQ201" s="25" t="n">
        <v>1311745530.701084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 t="n">
        <v>653770159.5495162</v>
      </c>
      <c r="J202" s="19" t="n">
        <v>544808.4662912636</v>
      </c>
      <c r="K202" s="19" t="n">
        <v>361889.7840141864</v>
      </c>
      <c r="L202" s="19" t="n">
        <v>20585203.46727235</v>
      </c>
      <c r="M202" s="24" t="n">
        <v>673448664.7664831</v>
      </c>
      <c r="N202" s="24" t="n">
        <v>80407974.17974678</v>
      </c>
      <c r="O202" s="19" t="n">
        <v>67006.64514978898</v>
      </c>
      <c r="P202" s="19" t="n">
        <v>44509.25754852063</v>
      </c>
      <c r="Q202" s="19" t="n">
        <v>2531798.805289314</v>
      </c>
      <c r="R202" s="24" t="n">
        <v>82828257.08233778</v>
      </c>
      <c r="S202" s="24" t="n">
        <v>202208342.4340511</v>
      </c>
      <c r="T202" s="19" t="n">
        <v>168506.9520283759</v>
      </c>
      <c r="U202" s="19" t="n">
        <v>111930.9780363002</v>
      </c>
      <c r="V202" s="19" t="n">
        <v>6366916.279343517</v>
      </c>
      <c r="W202" s="24" t="n">
        <v>208294820.7833299</v>
      </c>
      <c r="X202" s="24" t="n">
        <v>186837242.0386049</v>
      </c>
      <c r="Y202" s="19" t="n">
        <v>155697.7016988375</v>
      </c>
      <c r="Z202" s="19" t="n">
        <v>103422.4156295955</v>
      </c>
      <c r="AA202" s="19" t="n">
        <v>5882927.794194304</v>
      </c>
      <c r="AB202" s="24" t="n">
        <v>192461049.7154708</v>
      </c>
      <c r="AC202" s="24" t="n">
        <v>43821282.39730276</v>
      </c>
      <c r="AD202" s="19" t="n">
        <v>36517.73533108563</v>
      </c>
      <c r="AE202" s="19" t="n">
        <v>24256.95665417328</v>
      </c>
      <c r="AF202" s="19" t="n">
        <v>1379796.861586423</v>
      </c>
      <c r="AG202" s="24" t="n">
        <v>45140304.56690392</v>
      </c>
      <c r="AH202" s="24" t="n">
        <v>144700530.1018625</v>
      </c>
      <c r="AI202" s="19" t="n">
        <v>120583.7750848854</v>
      </c>
      <c r="AJ202" s="19" t="n">
        <v>80097.94087479323</v>
      </c>
      <c r="AK202" s="19" t="n">
        <v>4556172.854419492</v>
      </c>
      <c r="AL202" s="24" t="n">
        <v>149056021.2403223</v>
      </c>
      <c r="AM202" s="24" t="n">
        <v>1311745530.701084</v>
      </c>
      <c r="AN202" s="19" t="n">
        <v>1093121.275584237</v>
      </c>
      <c r="AO202" s="19" t="n">
        <v>726107.3327575693</v>
      </c>
      <c r="AP202" s="19" t="n">
        <v>41302816.06210539</v>
      </c>
      <c r="AQ202" s="24" t="n">
        <v>1351229118.154848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 t="n">
        <v>673448664.7664831</v>
      </c>
      <c r="J203" s="21" t="n">
        <v>561207.2206387359</v>
      </c>
      <c r="K203" s="21" t="n">
        <v>372782.6794739566</v>
      </c>
      <c r="L203" s="21" t="n">
        <v>25667360.59144307</v>
      </c>
      <c r="M203" s="25" t="n">
        <v>698182035.4578134</v>
      </c>
      <c r="N203" s="25" t="n">
        <v>82828257.08233778</v>
      </c>
      <c r="O203" s="21" t="n">
        <v>69023.54756861483</v>
      </c>
      <c r="P203" s="21" t="n">
        <v>45848.98779481302</v>
      </c>
      <c r="Q203" s="21" t="n">
        <v>3156859.390953417</v>
      </c>
      <c r="R203" s="25" t="n">
        <v>85870243.93792777</v>
      </c>
      <c r="S203" s="25" t="n">
        <v>208294820.7833299</v>
      </c>
      <c r="T203" s="21" t="n">
        <v>173579.0173194416</v>
      </c>
      <c r="U203" s="21" t="n">
        <v>115300.1044839577</v>
      </c>
      <c r="V203" s="21" t="n">
        <v>7938805.961148626</v>
      </c>
      <c r="W203" s="25" t="n">
        <v>215944747.6226751</v>
      </c>
      <c r="X203" s="25" t="n">
        <v>192461049.7154708</v>
      </c>
      <c r="Y203" s="21" t="n">
        <v>160384.2080962257</v>
      </c>
      <c r="Z203" s="21" t="n">
        <v>106535.4340440803</v>
      </c>
      <c r="AA203" s="21" t="n">
        <v>7335328.468677809</v>
      </c>
      <c r="AB203" s="25" t="n">
        <v>199529458.5420083</v>
      </c>
      <c r="AC203" s="25" t="n">
        <v>45140304.56690392</v>
      </c>
      <c r="AD203" s="21" t="n">
        <v>37616.92047241994</v>
      </c>
      <c r="AE203" s="21" t="n">
        <v>24987.09191821745</v>
      </c>
      <c r="AF203" s="21" t="n">
        <v>1720446.613296116</v>
      </c>
      <c r="AG203" s="25" t="n">
        <v>46798147.1678094</v>
      </c>
      <c r="AH203" s="25" t="n">
        <v>149056021.2403223</v>
      </c>
      <c r="AI203" s="21" t="n">
        <v>124213.3510336019</v>
      </c>
      <c r="AJ203" s="21" t="n">
        <v>82508.89176380142</v>
      </c>
      <c r="AK203" s="21" t="n">
        <v>5681018.978377162</v>
      </c>
      <c r="AL203" s="25" t="n">
        <v>154530317.9759021</v>
      </c>
      <c r="AM203" s="25" t="n">
        <v>1351229118.154848</v>
      </c>
      <c r="AN203" s="21" t="n">
        <v>1126024.26512904</v>
      </c>
      <c r="AO203" s="21" t="n">
        <v>747963.1894788266</v>
      </c>
      <c r="AP203" s="21" t="n">
        <v>51499820.0038962</v>
      </c>
      <c r="AQ203" s="25" t="n">
        <v>1400854950.704136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 t="n">
        <v>698182035.4578134</v>
      </c>
      <c r="J204" s="19" t="n">
        <v>581818.3628815112</v>
      </c>
      <c r="K204" s="19" t="n">
        <v>386473.6594715691</v>
      </c>
      <c r="L204" s="19" t="n">
        <v>39531815.57406108</v>
      </c>
      <c r="M204" s="24" t="n">
        <v>736745559.0095214</v>
      </c>
      <c r="N204" s="24" t="n">
        <v>85870243.93792777</v>
      </c>
      <c r="O204" s="19" t="n">
        <v>71558.53661493982</v>
      </c>
      <c r="P204" s="19" t="n">
        <v>47532.85780641161</v>
      </c>
      <c r="Q204" s="19" t="n">
        <v>4862065.298526163</v>
      </c>
      <c r="R204" s="24" t="n">
        <v>90613217.84203258</v>
      </c>
      <c r="S204" s="24" t="n">
        <v>215944747.6226751</v>
      </c>
      <c r="T204" s="19" t="n">
        <v>179953.9563522293</v>
      </c>
      <c r="U204" s="19" t="n">
        <v>119534.6666327144</v>
      </c>
      <c r="V204" s="19" t="n">
        <v>12227023.18831372</v>
      </c>
      <c r="W204" s="24" t="n">
        <v>227872282.1880039</v>
      </c>
      <c r="X204" s="24" t="n">
        <v>199529458.5420083</v>
      </c>
      <c r="Y204" s="19" t="n">
        <v>166274.5487850069</v>
      </c>
      <c r="Z204" s="19" t="n">
        <v>110448.1010665737</v>
      </c>
      <c r="AA204" s="19" t="n">
        <v>11297571.91690382</v>
      </c>
      <c r="AB204" s="24" t="n">
        <v>210550307.8090606</v>
      </c>
      <c r="AC204" s="24" t="n">
        <v>46798147.1678094</v>
      </c>
      <c r="AD204" s="19" t="n">
        <v>38998.4559731745</v>
      </c>
      <c r="AE204" s="19" t="n">
        <v>25904.77880252646</v>
      </c>
      <c r="AF204" s="19" t="n">
        <v>2649761.278707943</v>
      </c>
      <c r="AG204" s="24" t="n">
        <v>49383005.21174163</v>
      </c>
      <c r="AH204" s="24" t="n">
        <v>154530317.9759021</v>
      </c>
      <c r="AI204" s="19" t="n">
        <v>128775.2649799184</v>
      </c>
      <c r="AJ204" s="19" t="n">
        <v>85539.14946879304</v>
      </c>
      <c r="AK204" s="19" t="n">
        <v>8749672.321228744</v>
      </c>
      <c r="AL204" s="24" t="n">
        <v>163065675.8826821</v>
      </c>
      <c r="AM204" s="24" t="n">
        <v>1400854950.704136</v>
      </c>
      <c r="AN204" s="19" t="n">
        <v>1167379.12558678</v>
      </c>
      <c r="AO204" s="19" t="n">
        <v>775433.2132485883</v>
      </c>
      <c r="AP204" s="19" t="n">
        <v>79317909.57774146</v>
      </c>
      <c r="AQ204" s="24" t="n">
        <v>1478230047.943042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 t="n">
        <v>736745559.0095214</v>
      </c>
      <c r="J205" s="21" t="n">
        <v>613954.6325079345</v>
      </c>
      <c r="K205" s="21" t="n">
        <v>407820.2214170851</v>
      </c>
      <c r="L205" s="21" t="n">
        <v>12778858.00979131</v>
      </c>
      <c r="M205" s="25" t="n">
        <v>748502642.1653876</v>
      </c>
      <c r="N205" s="25" t="n">
        <v>90613217.84203258</v>
      </c>
      <c r="O205" s="21" t="n">
        <v>75511.01486836049</v>
      </c>
      <c r="P205" s="21" t="n">
        <v>50158.29700192969</v>
      </c>
      <c r="Q205" s="21" t="n">
        <v>1571687.036933545</v>
      </c>
      <c r="R205" s="25" t="n">
        <v>92059235.56709583</v>
      </c>
      <c r="S205" s="25" t="n">
        <v>227872282.1880039</v>
      </c>
      <c r="T205" s="21" t="n">
        <v>189893.5684900033</v>
      </c>
      <c r="U205" s="21" t="n">
        <v>126137.0678659595</v>
      </c>
      <c r="V205" s="21" t="n">
        <v>3952446.679641223</v>
      </c>
      <c r="W205" s="25" t="n">
        <v>231508698.2312891</v>
      </c>
      <c r="X205" s="25" t="n">
        <v>210550307.8090606</v>
      </c>
      <c r="Y205" s="21" t="n">
        <v>175458.5898408838</v>
      </c>
      <c r="Z205" s="21" t="n">
        <v>116548.6131542692</v>
      </c>
      <c r="AA205" s="21" t="n">
        <v>3651996.886180168</v>
      </c>
      <c r="AB205" s="25" t="n">
        <v>213910297.4922456</v>
      </c>
      <c r="AC205" s="25" t="n">
        <v>49383005.21174163</v>
      </c>
      <c r="AD205" s="21" t="n">
        <v>41152.50434311803</v>
      </c>
      <c r="AE205" s="21" t="n">
        <v>27335.60843823596</v>
      </c>
      <c r="AF205" s="21" t="n">
        <v>856548.6469250304</v>
      </c>
      <c r="AG205" s="25" t="n">
        <v>50171065.74588531</v>
      </c>
      <c r="AH205" s="25" t="n">
        <v>163065675.8826821</v>
      </c>
      <c r="AI205" s="21" t="n">
        <v>135888.0632355684</v>
      </c>
      <c r="AJ205" s="21" t="n">
        <v>90263.83563601854</v>
      </c>
      <c r="AK205" s="21" t="n">
        <v>2828375.540094047</v>
      </c>
      <c r="AL205" s="25" t="n">
        <v>165667899.5239045</v>
      </c>
      <c r="AM205" s="25" t="n">
        <v>1478230047.943042</v>
      </c>
      <c r="AN205" s="21" t="n">
        <v>1231858.373285868</v>
      </c>
      <c r="AO205" s="21" t="n">
        <v>818263.6435134979</v>
      </c>
      <c r="AP205" s="21" t="n">
        <v>25639912.79956533</v>
      </c>
      <c r="AQ205" s="25" t="n">
        <v>1501819838.725808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 t="n">
        <v>748502642.1653876</v>
      </c>
      <c r="J206" s="19" t="n">
        <v>623752.2018044897</v>
      </c>
      <c r="K206" s="19" t="n">
        <v>414328.2704948298</v>
      </c>
      <c r="L206" s="19" t="n">
        <v>37813351.47892449</v>
      </c>
      <c r="M206" s="24" t="n">
        <v>785277913.1720128</v>
      </c>
      <c r="N206" s="24" t="n">
        <v>92059235.56709583</v>
      </c>
      <c r="O206" s="19" t="n">
        <v>76716.02963924652</v>
      </c>
      <c r="P206" s="19" t="n">
        <v>50958.72974508886</v>
      </c>
      <c r="Q206" s="19" t="n">
        <v>4650709.343268466</v>
      </c>
      <c r="R206" s="24" t="n">
        <v>96582270.15097997</v>
      </c>
      <c r="S206" s="24" t="n">
        <v>231508698.2312891</v>
      </c>
      <c r="T206" s="19" t="n">
        <v>192923.915192741</v>
      </c>
      <c r="U206" s="19" t="n">
        <v>128149.9798921018</v>
      </c>
      <c r="V206" s="19" t="n">
        <v>11695509.51927529</v>
      </c>
      <c r="W206" s="24" t="n">
        <v>242883133.8554796</v>
      </c>
      <c r="X206" s="24" t="n">
        <v>213910297.4922456</v>
      </c>
      <c r="Y206" s="19" t="n">
        <v>178258.581243538</v>
      </c>
      <c r="Z206" s="19" t="n">
        <v>118408.5113508702</v>
      </c>
      <c r="AA206" s="19" t="n">
        <v>10806461.87251311</v>
      </c>
      <c r="AB206" s="24" t="n">
        <v>224420092.2721643</v>
      </c>
      <c r="AC206" s="24" t="n">
        <v>50171065.74588531</v>
      </c>
      <c r="AD206" s="19" t="n">
        <v>41809.22145490443</v>
      </c>
      <c r="AE206" s="19" t="n">
        <v>27771.8336961888</v>
      </c>
      <c r="AF206" s="19" t="n">
        <v>2534575.078630388</v>
      </c>
      <c r="AG206" s="24" t="n">
        <v>52636059.76936461</v>
      </c>
      <c r="AH206" s="24" t="n">
        <v>165667899.5239045</v>
      </c>
      <c r="AI206" s="19" t="n">
        <v>138056.5829365871</v>
      </c>
      <c r="AJ206" s="19" t="n">
        <v>91704.27787358947</v>
      </c>
      <c r="AK206" s="19" t="n">
        <v>8369320.508141062</v>
      </c>
      <c r="AL206" s="24" t="n">
        <v>173807459.1712354</v>
      </c>
      <c r="AM206" s="24" t="n">
        <v>1501819838.725808</v>
      </c>
      <c r="AN206" s="19" t="n">
        <v>1251516.532271507</v>
      </c>
      <c r="AO206" s="19" t="n">
        <v>831321.6030526689</v>
      </c>
      <c r="AP206" s="19" t="n">
        <v>75869927.8007528</v>
      </c>
      <c r="AQ206" s="24" t="n">
        <v>1575606928.391237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 t="n">
        <v>785277913.1720128</v>
      </c>
      <c r="J207" s="21" t="n">
        <v>654398.2609766774</v>
      </c>
      <c r="K207" s="21" t="n">
        <v>434684.958066531</v>
      </c>
      <c r="L207" s="21" t="n">
        <v>12475390.41287071</v>
      </c>
      <c r="M207" s="25" t="n">
        <v>796664220.3658403</v>
      </c>
      <c r="N207" s="25" t="n">
        <v>96582270.15097997</v>
      </c>
      <c r="O207" s="21" t="n">
        <v>80485.22512581665</v>
      </c>
      <c r="P207" s="21" t="n">
        <v>53462.42310695536</v>
      </c>
      <c r="Q207" s="21" t="n">
        <v>1534363.194079666</v>
      </c>
      <c r="R207" s="25" t="n">
        <v>97982685.69682686</v>
      </c>
      <c r="S207" s="25" t="n">
        <v>242883133.8554796</v>
      </c>
      <c r="T207" s="21" t="n">
        <v>202402.611546233</v>
      </c>
      <c r="U207" s="21" t="n">
        <v>134446.2171724297</v>
      </c>
      <c r="V207" s="21" t="n">
        <v>3858585.436726675</v>
      </c>
      <c r="W207" s="25" t="n">
        <v>246404870.4634876</v>
      </c>
      <c r="X207" s="25" t="n">
        <v>224420092.2721643</v>
      </c>
      <c r="Y207" s="21" t="n">
        <v>187016.7435601369</v>
      </c>
      <c r="Z207" s="21" t="n">
        <v>124226.1328916866</v>
      </c>
      <c r="AA207" s="21" t="n">
        <v>3565270.613913785</v>
      </c>
      <c r="AB207" s="25" t="n">
        <v>227674120.0096262</v>
      </c>
      <c r="AC207" s="25" t="n">
        <v>52636059.76936461</v>
      </c>
      <c r="AD207" s="21" t="n">
        <v>43863.38314113718</v>
      </c>
      <c r="AE207" s="21" t="n">
        <v>29136.31346285154</v>
      </c>
      <c r="AF207" s="21" t="n">
        <v>836207.6462402457</v>
      </c>
      <c r="AG207" s="25" t="n">
        <v>53399267.71900087</v>
      </c>
      <c r="AH207" s="25" t="n">
        <v>173807459.1712354</v>
      </c>
      <c r="AI207" s="21" t="n">
        <v>144839.5493093629</v>
      </c>
      <c r="AJ207" s="21" t="n">
        <v>96209.87275233533</v>
      </c>
      <c r="AK207" s="21" t="n">
        <v>2761208.323142134</v>
      </c>
      <c r="AL207" s="25" t="n">
        <v>176327618.0723159</v>
      </c>
      <c r="AM207" s="25" t="n">
        <v>1575606928.391237</v>
      </c>
      <c r="AN207" s="21" t="n">
        <v>1313005.773659364</v>
      </c>
      <c r="AO207" s="21" t="n">
        <v>872165.9174527894</v>
      </c>
      <c r="AP207" s="21" t="n">
        <v>25031025.62697321</v>
      </c>
      <c r="AQ207" s="25" t="n">
        <v>1598452782.327098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 t="n">
        <v>796664220.3658403</v>
      </c>
      <c r="J208" s="19" t="n">
        <v>663886.850304867</v>
      </c>
      <c r="K208" s="19" t="n">
        <v>440987.7667691074</v>
      </c>
      <c r="L208" s="19" t="n">
        <v>11696434.10569394</v>
      </c>
      <c r="M208" s="24" t="n">
        <v>807255779.8544604</v>
      </c>
      <c r="N208" s="24" t="n">
        <v>97982685.69682686</v>
      </c>
      <c r="O208" s="19" t="n">
        <v>81652.23808068906</v>
      </c>
      <c r="P208" s="19" t="n">
        <v>54237.61309079593</v>
      </c>
      <c r="Q208" s="19" t="n">
        <v>1438558.425814043</v>
      </c>
      <c r="R208" s="24" t="n">
        <v>99285354.27146941</v>
      </c>
      <c r="S208" s="24" t="n">
        <v>246404870.4634876</v>
      </c>
      <c r="T208" s="19" t="n">
        <v>205337.3920529064</v>
      </c>
      <c r="U208" s="19" t="n">
        <v>136395.6492194736</v>
      </c>
      <c r="V208" s="19" t="n">
        <v>3617657.548841277</v>
      </c>
      <c r="W208" s="24" t="n">
        <v>249680794.9710565</v>
      </c>
      <c r="X208" s="24" t="n">
        <v>227674120.0096262</v>
      </c>
      <c r="Y208" s="19" t="n">
        <v>189728.4333413552</v>
      </c>
      <c r="Z208" s="19" t="n">
        <v>126027.3766130239</v>
      </c>
      <c r="AA208" s="19" t="n">
        <v>3342657.13733393</v>
      </c>
      <c r="AB208" s="24" t="n">
        <v>230701021.3370058</v>
      </c>
      <c r="AC208" s="24" t="n">
        <v>53399267.71900087</v>
      </c>
      <c r="AD208" s="19" t="n">
        <v>44499.38976583406</v>
      </c>
      <c r="AE208" s="19" t="n">
        <v>29558.78175085369</v>
      </c>
      <c r="AF208" s="19" t="n">
        <v>783995.3147146308</v>
      </c>
      <c r="AG208" s="24" t="n">
        <v>54109204.86219881</v>
      </c>
      <c r="AH208" s="24" t="n">
        <v>176327618.0723159</v>
      </c>
      <c r="AI208" s="19" t="n">
        <v>146939.6817269299</v>
      </c>
      <c r="AJ208" s="19" t="n">
        <v>97604.88864143901</v>
      </c>
      <c r="AK208" s="19" t="n">
        <v>2588800.040310236</v>
      </c>
      <c r="AL208" s="24" t="n">
        <v>178671873.5422577</v>
      </c>
      <c r="AM208" s="24" t="n">
        <v>1598452782.327098</v>
      </c>
      <c r="AN208" s="19" t="n">
        <v>1332043.985272582</v>
      </c>
      <c r="AO208" s="19" t="n">
        <v>884812.0760846935</v>
      </c>
      <c r="AP208" s="19" t="n">
        <v>23468102.57270806</v>
      </c>
      <c r="AQ208" s="24" t="n">
        <v>1619704028.838449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 t="n">
        <v>807255779.8544604</v>
      </c>
      <c r="J209" s="21" t="n">
        <v>672713.149878717</v>
      </c>
      <c r="K209" s="21" t="n">
        <v>446850.6485781383</v>
      </c>
      <c r="L209" s="21" t="n">
        <v>28800584.69348617</v>
      </c>
      <c r="M209" s="25" t="n">
        <v>834936800.7494897</v>
      </c>
      <c r="N209" s="25" t="n">
        <v>99285354.27146941</v>
      </c>
      <c r="O209" s="21" t="n">
        <v>82737.79522622452</v>
      </c>
      <c r="P209" s="21" t="n">
        <v>54958.69593961286</v>
      </c>
      <c r="Q209" s="21" t="n">
        <v>3542218.37226581</v>
      </c>
      <c r="R209" s="25" t="n">
        <v>102689876.1525694</v>
      </c>
      <c r="S209" s="25" t="n">
        <v>249680794.9710565</v>
      </c>
      <c r="T209" s="21" t="n">
        <v>208067.3291425471</v>
      </c>
      <c r="U209" s="21" t="n">
        <v>138209.0137408947</v>
      </c>
      <c r="V209" s="21" t="n">
        <v>8907898.910550162</v>
      </c>
      <c r="W209" s="25" t="n">
        <v>258242417.5387232</v>
      </c>
      <c r="X209" s="25" t="n">
        <v>230701021.3370058</v>
      </c>
      <c r="Y209" s="21" t="n">
        <v>192250.8511141715</v>
      </c>
      <c r="Z209" s="21" t="n">
        <v>127702.8961386511</v>
      </c>
      <c r="AA209" s="21" t="n">
        <v>8230754.699691461</v>
      </c>
      <c r="AB209" s="25" t="n">
        <v>238611822.2894444</v>
      </c>
      <c r="AC209" s="25" t="n">
        <v>54109204.86219881</v>
      </c>
      <c r="AD209" s="21" t="n">
        <v>45091.00405183235</v>
      </c>
      <c r="AE209" s="21" t="n">
        <v>29951.76236592578</v>
      </c>
      <c r="AF209" s="21" t="n">
        <v>1930462.161090887</v>
      </c>
      <c r="AG209" s="25" t="n">
        <v>55964624.25687195</v>
      </c>
      <c r="AH209" s="25" t="n">
        <v>178671873.5422577</v>
      </c>
      <c r="AI209" s="21" t="n">
        <v>148893.2279518814</v>
      </c>
      <c r="AJ209" s="21" t="n">
        <v>98902.53444753683</v>
      </c>
      <c r="AK209" s="21" t="n">
        <v>6374503.044407298</v>
      </c>
      <c r="AL209" s="25" t="n">
        <v>184798580.8242656</v>
      </c>
      <c r="AM209" s="25" t="n">
        <v>1619704028.838449</v>
      </c>
      <c r="AN209" s="21" t="n">
        <v>1349753.357365374</v>
      </c>
      <c r="AO209" s="21" t="n">
        <v>896575.5512107597</v>
      </c>
      <c r="AP209" s="21" t="n">
        <v>57786421.8814918</v>
      </c>
      <c r="AQ209" s="25" t="n">
        <v>1675244121.811364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 t="n">
        <v>834936800.7494897</v>
      </c>
      <c r="J210" s="19" t="n">
        <v>695780.6672912415</v>
      </c>
      <c r="K210" s="19" t="n">
        <v>462173.2792101282</v>
      </c>
      <c r="L210" s="19" t="n">
        <v>18892787.49827065</v>
      </c>
      <c r="M210" s="24" t="n">
        <v>852671634.3012589</v>
      </c>
      <c r="N210" s="24" t="n">
        <v>102689876.1525694</v>
      </c>
      <c r="O210" s="19" t="n">
        <v>85574.89679380783</v>
      </c>
      <c r="P210" s="19" t="n">
        <v>56843.24461505531</v>
      </c>
      <c r="Q210" s="19" t="n">
        <v>2323646.540232357</v>
      </c>
      <c r="R210" s="24" t="n">
        <v>104871104.5513929</v>
      </c>
      <c r="S210" s="24" t="n">
        <v>258242417.5387232</v>
      </c>
      <c r="T210" s="19" t="n">
        <v>215202.0146156027</v>
      </c>
      <c r="U210" s="19" t="n">
        <v>142948.2385228255</v>
      </c>
      <c r="V210" s="19" t="n">
        <v>5843459.185436752</v>
      </c>
      <c r="W210" s="24" t="n">
        <v>263727726.4710216</v>
      </c>
      <c r="X210" s="24" t="n">
        <v>238611822.2894444</v>
      </c>
      <c r="Y210" s="19" t="n">
        <v>198843.1852412037</v>
      </c>
      <c r="Z210" s="19" t="n">
        <v>132081.8632821346</v>
      </c>
      <c r="AA210" s="19" t="n">
        <v>5399261.895083441</v>
      </c>
      <c r="AB210" s="24" t="n">
        <v>243680159.1360045</v>
      </c>
      <c r="AC210" s="24" t="n">
        <v>55964624.25687195</v>
      </c>
      <c r="AD210" s="19" t="n">
        <v>46637.18688072662</v>
      </c>
      <c r="AE210" s="19" t="n">
        <v>30978.81646771694</v>
      </c>
      <c r="AF210" s="19" t="n">
        <v>1266356.630294082</v>
      </c>
      <c r="AG210" s="24" t="n">
        <v>57153364.88381758</v>
      </c>
      <c r="AH210" s="24" t="n">
        <v>184798580.8242656</v>
      </c>
      <c r="AI210" s="19" t="n">
        <v>153998.8173535547</v>
      </c>
      <c r="AJ210" s="19" t="n">
        <v>102293.9293324483</v>
      </c>
      <c r="AK210" s="19" t="n">
        <v>4181586.336068536</v>
      </c>
      <c r="AL210" s="24" t="n">
        <v>188723874.4136482</v>
      </c>
      <c r="AM210" s="24" t="n">
        <v>1675244121.811364</v>
      </c>
      <c r="AN210" s="19" t="n">
        <v>1396036.768176137</v>
      </c>
      <c r="AO210" s="19" t="n">
        <v>927319.3714303088</v>
      </c>
      <c r="AP210" s="19" t="n">
        <v>37907098.08538582</v>
      </c>
      <c r="AQ210" s="24" t="n">
        <v>1710827863.757144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 t="n">
        <v>852671634.3012589</v>
      </c>
      <c r="J211" s="21" t="n">
        <v>710559.6952510491</v>
      </c>
      <c r="K211" s="21" t="n">
        <v>471990.269156564</v>
      </c>
      <c r="L211" s="21" t="n">
        <v>42716010.00110739</v>
      </c>
      <c r="M211" s="25" t="n">
        <v>894205094.3379586</v>
      </c>
      <c r="N211" s="25" t="n">
        <v>104871104.5513929</v>
      </c>
      <c r="O211" s="21" t="n">
        <v>87392.58712616074</v>
      </c>
      <c r="P211" s="21" t="n">
        <v>58050.6479549076</v>
      </c>
      <c r="Q211" s="21" t="n">
        <v>5253693.181098311</v>
      </c>
      <c r="R211" s="25" t="n">
        <v>109979354.4974101</v>
      </c>
      <c r="S211" s="25" t="n">
        <v>263727726.4710216</v>
      </c>
      <c r="T211" s="21" t="n">
        <v>219773.105392518</v>
      </c>
      <c r="U211" s="21" t="n">
        <v>145984.5919503486</v>
      </c>
      <c r="V211" s="21" t="n">
        <v>13211881.04344195</v>
      </c>
      <c r="W211" s="25" t="n">
        <v>276573849.8171207</v>
      </c>
      <c r="X211" s="25" t="n">
        <v>243680159.1360045</v>
      </c>
      <c r="Y211" s="21" t="n">
        <v>203066.7992800038</v>
      </c>
      <c r="Z211" s="21" t="n">
        <v>134887.4048014609</v>
      </c>
      <c r="AA211" s="21" t="n">
        <v>12207564.66615069</v>
      </c>
      <c r="AB211" s="25" t="n">
        <v>255549769.5980738</v>
      </c>
      <c r="AC211" s="25" t="n">
        <v>57153364.88381758</v>
      </c>
      <c r="AD211" s="21" t="n">
        <v>47627.80406984799</v>
      </c>
      <c r="AE211" s="21" t="n">
        <v>31636.8353179971</v>
      </c>
      <c r="AF211" s="21" t="n">
        <v>2863193.294772521</v>
      </c>
      <c r="AG211" s="25" t="n">
        <v>59937293.53920226</v>
      </c>
      <c r="AH211" s="25" t="n">
        <v>188723874.4136482</v>
      </c>
      <c r="AI211" s="21" t="n">
        <v>157269.8953447068</v>
      </c>
      <c r="AJ211" s="21" t="n">
        <v>104466.7474528604</v>
      </c>
      <c r="AK211" s="21" t="n">
        <v>9454437.772528147</v>
      </c>
      <c r="AL211" s="25" t="n">
        <v>197916575.5433787</v>
      </c>
      <c r="AM211" s="25" t="n">
        <v>1710827863.757144</v>
      </c>
      <c r="AN211" s="21" t="n">
        <v>1425689.886464286</v>
      </c>
      <c r="AO211" s="21" t="n">
        <v>947016.4966341386</v>
      </c>
      <c r="AP211" s="21" t="n">
        <v>85706779.95909899</v>
      </c>
      <c r="AQ211" s="25" t="n">
        <v>1794161937.333144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 t="n">
        <v>894205094.3379586</v>
      </c>
      <c r="J212" s="19" t="n">
        <v>745170.9119482988</v>
      </c>
      <c r="K212" s="19" t="n">
        <v>494980.818147665</v>
      </c>
      <c r="L212" s="19" t="n">
        <v>34905713.16361484</v>
      </c>
      <c r="M212" s="24" t="n">
        <v>927870655.7714775</v>
      </c>
      <c r="N212" s="24" t="n">
        <v>109979354.4974101</v>
      </c>
      <c r="O212" s="19" t="n">
        <v>91649.46208117511</v>
      </c>
      <c r="P212" s="19" t="n">
        <v>60878.28308424488</v>
      </c>
      <c r="Q212" s="19" t="n">
        <v>4293095.427786976</v>
      </c>
      <c r="R212" s="24" t="n">
        <v>114119922.1800317</v>
      </c>
      <c r="S212" s="24" t="n">
        <v>276573849.8171207</v>
      </c>
      <c r="T212" s="19" t="n">
        <v>230478.2081809339</v>
      </c>
      <c r="U212" s="19" t="n">
        <v>153095.4714165248</v>
      </c>
      <c r="V212" s="19" t="n">
        <v>10796189.29863135</v>
      </c>
      <c r="W212" s="24" t="n">
        <v>286986465.4361546</v>
      </c>
      <c r="X212" s="24" t="n">
        <v>255549769.5980738</v>
      </c>
      <c r="Y212" s="19" t="n">
        <v>212958.1413317281</v>
      </c>
      <c r="Z212" s="19" t="n">
        <v>141457.7425626866</v>
      </c>
      <c r="AA212" s="19" t="n">
        <v>9975504.515798381</v>
      </c>
      <c r="AB212" s="24" t="n">
        <v>265170858.2299777</v>
      </c>
      <c r="AC212" s="24" t="n">
        <v>59937293.53920226</v>
      </c>
      <c r="AD212" s="19" t="n">
        <v>49947.74461600189</v>
      </c>
      <c r="AE212" s="19" t="n">
        <v>33177.85906325686</v>
      </c>
      <c r="AF212" s="19" t="n">
        <v>2339680.224738313</v>
      </c>
      <c r="AG212" s="24" t="n">
        <v>62193848.16026131</v>
      </c>
      <c r="AH212" s="24" t="n">
        <v>197916575.5433787</v>
      </c>
      <c r="AI212" s="19" t="n">
        <v>164930.4796194823</v>
      </c>
      <c r="AJ212" s="19" t="n">
        <v>109555.3012477254</v>
      </c>
      <c r="AK212" s="19" t="n">
        <v>7725765.889711089</v>
      </c>
      <c r="AL212" s="24" t="n">
        <v>205367855.6522226</v>
      </c>
      <c r="AM212" s="24" t="n">
        <v>1794161937.333144</v>
      </c>
      <c r="AN212" s="19" t="n">
        <v>1495134.94777762</v>
      </c>
      <c r="AO212" s="19" t="n">
        <v>993145.4755221037</v>
      </c>
      <c r="AP212" s="19" t="n">
        <v>70035948.52028096</v>
      </c>
      <c r="AQ212" s="24" t="n">
        <v>1861709605.430125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 t="n">
        <v>927870655.7714775</v>
      </c>
      <c r="J213" s="21" t="n">
        <v>773225.5464762313</v>
      </c>
      <c r="K213" s="21" t="n">
        <v>513616.1482830866</v>
      </c>
      <c r="L213" s="21" t="n">
        <v>17646156.57086454</v>
      </c>
      <c r="M213" s="25" t="n">
        <v>944229970.6475827</v>
      </c>
      <c r="N213" s="25" t="n">
        <v>114119922.1800317</v>
      </c>
      <c r="O213" s="21" t="n">
        <v>95099.9351500264</v>
      </c>
      <c r="P213" s="21" t="n">
        <v>63170.26463536453</v>
      </c>
      <c r="Q213" s="21" t="n">
        <v>2170321.910837197</v>
      </c>
      <c r="R213" s="25" t="n">
        <v>116131973.8910835</v>
      </c>
      <c r="S213" s="25" t="n">
        <v>286986465.4361546</v>
      </c>
      <c r="T213" s="21" t="n">
        <v>239155.3878634622</v>
      </c>
      <c r="U213" s="21" t="n">
        <v>158859.3001296485</v>
      </c>
      <c r="V213" s="21" t="n">
        <v>5457881.51754272</v>
      </c>
      <c r="W213" s="25" t="n">
        <v>292046332.2657042</v>
      </c>
      <c r="X213" s="25" t="n">
        <v>265170858.2299777</v>
      </c>
      <c r="Y213" s="21" t="n">
        <v>220975.7151916481</v>
      </c>
      <c r="Z213" s="21" t="n">
        <v>146783.4271876628</v>
      </c>
      <c r="AA213" s="21" t="n">
        <v>5042994.358374395</v>
      </c>
      <c r="AB213" s="25" t="n">
        <v>269846093.4459728</v>
      </c>
      <c r="AC213" s="25" t="n">
        <v>62193848.16026131</v>
      </c>
      <c r="AD213" s="21" t="n">
        <v>51828.20680021776</v>
      </c>
      <c r="AE213" s="21" t="n">
        <v>34426.95869330724</v>
      </c>
      <c r="AF213" s="21" t="n">
        <v>1182796.735249749</v>
      </c>
      <c r="AG213" s="25" t="n">
        <v>63290389.73001754</v>
      </c>
      <c r="AH213" s="25" t="n">
        <v>205367855.6522226</v>
      </c>
      <c r="AI213" s="21" t="n">
        <v>171139.8797101855</v>
      </c>
      <c r="AJ213" s="21" t="n">
        <v>113679.9039231928</v>
      </c>
      <c r="AK213" s="21" t="n">
        <v>3905666.49879524</v>
      </c>
      <c r="AL213" s="25" t="n">
        <v>208988702.3673845</v>
      </c>
      <c r="AM213" s="25" t="n">
        <v>1861709605.430125</v>
      </c>
      <c r="AN213" s="21" t="n">
        <v>1551424.671191771</v>
      </c>
      <c r="AO213" s="21" t="n">
        <v>1030536.002852263</v>
      </c>
      <c r="AP213" s="21" t="n">
        <v>35405817.59166384</v>
      </c>
      <c r="AQ213" s="25" t="n">
        <v>1894533462.347745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 t="n">
        <v>944229970.6475827</v>
      </c>
      <c r="J214" s="19" t="n">
        <v>786858.3088729855</v>
      </c>
      <c r="K214" s="19" t="n">
        <v>522671.7297296507</v>
      </c>
      <c r="L214" s="19" t="n">
        <v>8233447.314314539</v>
      </c>
      <c r="M214" s="24" t="n">
        <v>951153887.9232945</v>
      </c>
      <c r="N214" s="24" t="n">
        <v>116131973.8910835</v>
      </c>
      <c r="O214" s="19" t="n">
        <v>96776.64490923625</v>
      </c>
      <c r="P214" s="19" t="n">
        <v>64284.02143276813</v>
      </c>
      <c r="Q214" s="19" t="n">
        <v>1012641.536768652</v>
      </c>
      <c r="R214" s="24" t="n">
        <v>116983554.7615101</v>
      </c>
      <c r="S214" s="24" t="n">
        <v>292046332.2657042</v>
      </c>
      <c r="T214" s="19" t="n">
        <v>243371.9435547535</v>
      </c>
      <c r="U214" s="19" t="n">
        <v>161660.1531317922</v>
      </c>
      <c r="V214" s="19" t="n">
        <v>2546570.395768479</v>
      </c>
      <c r="W214" s="24" t="n">
        <v>294187870.5647861</v>
      </c>
      <c r="X214" s="24" t="n">
        <v>269846093.4459728</v>
      </c>
      <c r="Y214" s="19" t="n">
        <v>224871.7445383107</v>
      </c>
      <c r="Z214" s="19" t="n">
        <v>149371.3701180923</v>
      </c>
      <c r="AA214" s="19" t="n">
        <v>2352989.909690389</v>
      </c>
      <c r="AB214" s="24" t="n">
        <v>271824840.2410068</v>
      </c>
      <c r="AC214" s="24" t="n">
        <v>63290389.73001754</v>
      </c>
      <c r="AD214" s="19" t="n">
        <v>52741.99144168128</v>
      </c>
      <c r="AE214" s="19" t="n">
        <v>35033.94141658584</v>
      </c>
      <c r="AF214" s="19" t="n">
        <v>551876.2436519017</v>
      </c>
      <c r="AG214" s="24" t="n">
        <v>63754490.04081117</v>
      </c>
      <c r="AH214" s="24" t="n">
        <v>208988702.3673845</v>
      </c>
      <c r="AI214" s="19" t="n">
        <v>174157.2519728204</v>
      </c>
      <c r="AJ214" s="19" t="n">
        <v>115684.1976593911</v>
      </c>
      <c r="AK214" s="19" t="n">
        <v>1822328.800947415</v>
      </c>
      <c r="AL214" s="24" t="n">
        <v>210521189.7186997</v>
      </c>
      <c r="AM214" s="24" t="n">
        <v>1894533462.347745</v>
      </c>
      <c r="AN214" s="19" t="n">
        <v>1578777.885289788</v>
      </c>
      <c r="AO214" s="19" t="n">
        <v>1048705.41348828</v>
      </c>
      <c r="AP214" s="19" t="n">
        <v>16519854.20114138</v>
      </c>
      <c r="AQ214" s="24" t="n">
        <v>1908425833.250108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 t="n">
        <v>951153887.9232945</v>
      </c>
      <c r="J215" s="21" t="n">
        <v>792628.2399360788</v>
      </c>
      <c r="K215" s="21" t="n">
        <v>526504.4144902491</v>
      </c>
      <c r="L215" s="21" t="n">
        <v>26914014.2710451</v>
      </c>
      <c r="M215" s="25" t="n">
        <v>976748769.5399133</v>
      </c>
      <c r="N215" s="25" t="n">
        <v>116983554.7615101</v>
      </c>
      <c r="O215" s="21" t="n">
        <v>97486.29563459178</v>
      </c>
      <c r="P215" s="21" t="n">
        <v>64755.40791740313</v>
      </c>
      <c r="Q215" s="21" t="n">
        <v>3310186.818668378</v>
      </c>
      <c r="R215" s="25" t="n">
        <v>120131499.8766265</v>
      </c>
      <c r="S215" s="25" t="n">
        <v>294187870.5647861</v>
      </c>
      <c r="T215" s="21" t="n">
        <v>245156.5588039885</v>
      </c>
      <c r="U215" s="21" t="n">
        <v>162845.5863015271</v>
      </c>
      <c r="V215" s="21" t="n">
        <v>8324390.666200536</v>
      </c>
      <c r="W215" s="25" t="n">
        <v>302104259.0858812</v>
      </c>
      <c r="X215" s="25" t="n">
        <v>271824840.2410068</v>
      </c>
      <c r="Y215" s="21" t="n">
        <v>226520.700200839</v>
      </c>
      <c r="Z215" s="21" t="n">
        <v>150466.6912180444</v>
      </c>
      <c r="AA215" s="21" t="n">
        <v>7691602.507607055</v>
      </c>
      <c r="AB215" s="25" t="n">
        <v>279139455.357195</v>
      </c>
      <c r="AC215" s="25" t="n">
        <v>63754490.04081117</v>
      </c>
      <c r="AD215" s="21" t="n">
        <v>53128.74170067598</v>
      </c>
      <c r="AE215" s="21" t="n">
        <v>35290.84081583306</v>
      </c>
      <c r="AF215" s="21" t="n">
        <v>1804008.033387729</v>
      </c>
      <c r="AG215" s="25" t="n">
        <v>65470078.49168239</v>
      </c>
      <c r="AH215" s="25" t="n">
        <v>210521189.7186997</v>
      </c>
      <c r="AI215" s="21" t="n">
        <v>175434.3247655831</v>
      </c>
      <c r="AJ215" s="21" t="n">
        <v>116532.4950441387</v>
      </c>
      <c r="AK215" s="21" t="n">
        <v>5956943.851448996</v>
      </c>
      <c r="AL215" s="25" t="n">
        <v>216186166.7503389</v>
      </c>
      <c r="AM215" s="25" t="n">
        <v>1908425833.250108</v>
      </c>
      <c r="AN215" s="21" t="n">
        <v>1590354.861041757</v>
      </c>
      <c r="AO215" s="21" t="n">
        <v>1056395.435787196</v>
      </c>
      <c r="AP215" s="21" t="n">
        <v>54001146.1483578</v>
      </c>
      <c r="AQ215" s="25" t="n">
        <v>1959780229.101637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 t="n">
        <v>976748769.5399133</v>
      </c>
      <c r="J216" s="19" t="n">
        <v>813957.3079499278</v>
      </c>
      <c r="K216" s="19" t="n">
        <v>540672.2776831627</v>
      </c>
      <c r="L216" s="19" t="n">
        <v>10208352.87567631</v>
      </c>
      <c r="M216" s="24" t="n">
        <v>985602492.8299565</v>
      </c>
      <c r="N216" s="24" t="n">
        <v>120131499.8766265</v>
      </c>
      <c r="O216" s="19" t="n">
        <v>100109.5832305221</v>
      </c>
      <c r="P216" s="19" t="n">
        <v>66497.93036379767</v>
      </c>
      <c r="Q216" s="19" t="n">
        <v>1255537.534797739</v>
      </c>
      <c r="R216" s="24" t="n">
        <v>121220429.8978299</v>
      </c>
      <c r="S216" s="24" t="n">
        <v>302104259.0858812</v>
      </c>
      <c r="T216" s="19" t="n">
        <v>251753.5492382343</v>
      </c>
      <c r="U216" s="19" t="n">
        <v>167227.6464035751</v>
      </c>
      <c r="V216" s="19" t="n">
        <v>3157400.324595335</v>
      </c>
      <c r="W216" s="24" t="n">
        <v>304842678.2148347</v>
      </c>
      <c r="X216" s="24" t="n">
        <v>279139455.357195</v>
      </c>
      <c r="Y216" s="19" t="n">
        <v>232616.2127976625</v>
      </c>
      <c r="Z216" s="19" t="n">
        <v>154515.6439667722</v>
      </c>
      <c r="AA216" s="19" t="n">
        <v>2917386.896891194</v>
      </c>
      <c r="AB216" s="24" t="n">
        <v>281669710.3973217</v>
      </c>
      <c r="AC216" s="24" t="n">
        <v>65470078.49168239</v>
      </c>
      <c r="AD216" s="19" t="n">
        <v>54558.39874306866</v>
      </c>
      <c r="AE216" s="19" t="n">
        <v>36240.49250132879</v>
      </c>
      <c r="AF216" s="19" t="n">
        <v>684251.349869767</v>
      </c>
      <c r="AG216" s="24" t="n">
        <v>66063530.95030776</v>
      </c>
      <c r="AH216" s="24" t="n">
        <v>216186166.7503389</v>
      </c>
      <c r="AI216" s="19" t="n">
        <v>180155.1389586158</v>
      </c>
      <c r="AJ216" s="19" t="n">
        <v>119668.3024597569</v>
      </c>
      <c r="AK216" s="19" t="n">
        <v>2259439.423780179</v>
      </c>
      <c r="AL216" s="24" t="n">
        <v>218145782.7327008</v>
      </c>
      <c r="AM216" s="24" t="n">
        <v>1959780229.101637</v>
      </c>
      <c r="AN216" s="19" t="n">
        <v>1633150.190918031</v>
      </c>
      <c r="AO216" s="19" t="n">
        <v>1084822.293378393</v>
      </c>
      <c r="AP216" s="19" t="n">
        <v>20482368.40561052</v>
      </c>
      <c r="AQ216" s="24" t="n">
        <v>1977544625.022952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 t="n">
        <v>985602492.8299565</v>
      </c>
      <c r="J217" s="21" t="n">
        <v>821335.4106916304</v>
      </c>
      <c r="K217" s="21" t="n">
        <v>545573.1927254811</v>
      </c>
      <c r="L217" s="21" t="n">
        <v>54607853.55719612</v>
      </c>
      <c r="M217" s="25" t="n">
        <v>1038843437.783736</v>
      </c>
      <c r="N217" s="25" t="n">
        <v>121220429.8978299</v>
      </c>
      <c r="O217" s="21" t="n">
        <v>101017.0249148583</v>
      </c>
      <c r="P217" s="21" t="n">
        <v>67100.69976895285</v>
      </c>
      <c r="Q217" s="21" t="n">
        <v>6716285.24903002</v>
      </c>
      <c r="R217" s="25" t="n">
        <v>127768597.4221761</v>
      </c>
      <c r="S217" s="25" t="n">
        <v>304842678.2148347</v>
      </c>
      <c r="T217" s="21" t="n">
        <v>254035.565179029</v>
      </c>
      <c r="U217" s="21" t="n">
        <v>168743.4786768012</v>
      </c>
      <c r="V217" s="21" t="n">
        <v>16889977.90797104</v>
      </c>
      <c r="W217" s="25" t="n">
        <v>321309877.0789499</v>
      </c>
      <c r="X217" s="25" t="n">
        <v>281669710.3973217</v>
      </c>
      <c r="Y217" s="21" t="n">
        <v>234724.7586644348</v>
      </c>
      <c r="Z217" s="21" t="n">
        <v>155916.2485012515</v>
      </c>
      <c r="AA217" s="21" t="n">
        <v>15606066.75487426</v>
      </c>
      <c r="AB217" s="25" t="n">
        <v>296885136.1450303</v>
      </c>
      <c r="AC217" s="25" t="n">
        <v>66063530.95030776</v>
      </c>
      <c r="AD217" s="21" t="n">
        <v>55052.9424585898</v>
      </c>
      <c r="AE217" s="21" t="n">
        <v>36568.99385449947</v>
      </c>
      <c r="AF217" s="21" t="n">
        <v>3660286.626555952</v>
      </c>
      <c r="AG217" s="25" t="n">
        <v>69632195.64055061</v>
      </c>
      <c r="AH217" s="25" t="n">
        <v>218145782.7327008</v>
      </c>
      <c r="AI217" s="21" t="n">
        <v>181788.1522772507</v>
      </c>
      <c r="AJ217" s="21" t="n">
        <v>120753.0338355302</v>
      </c>
      <c r="AK217" s="21" t="n">
        <v>12086488.25895621</v>
      </c>
      <c r="AL217" s="25" t="n">
        <v>229929729.8055442</v>
      </c>
      <c r="AM217" s="25" t="n">
        <v>1977544625.022952</v>
      </c>
      <c r="AN217" s="21" t="n">
        <v>1647953.854185793</v>
      </c>
      <c r="AO217" s="21" t="n">
        <v>1094655.647362516</v>
      </c>
      <c r="AP217" s="21" t="n">
        <v>109566958.3545836</v>
      </c>
      <c r="AQ217" s="25" t="n">
        <v>2084368973.875987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 t="n">
        <v>1038843437.783736</v>
      </c>
      <c r="J218" s="19" t="n">
        <v>865702.8648197796</v>
      </c>
      <c r="K218" s="19" t="n">
        <v>575044.3360448864</v>
      </c>
      <c r="L218" s="19" t="n">
        <v>23195228.7636559</v>
      </c>
      <c r="M218" s="24" t="n">
        <v>1060597919.346527</v>
      </c>
      <c r="N218" s="24" t="n">
        <v>127768597.4221761</v>
      </c>
      <c r="O218" s="19" t="n">
        <v>106473.8311851468</v>
      </c>
      <c r="P218" s="19" t="n">
        <v>70725.39094896516</v>
      </c>
      <c r="Q218" s="19" t="n">
        <v>2852808.939469657</v>
      </c>
      <c r="R218" s="24" t="n">
        <v>130444207.1395117</v>
      </c>
      <c r="S218" s="24" t="n">
        <v>321309877.0789499</v>
      </c>
      <c r="T218" s="19" t="n">
        <v>267758.2308991249</v>
      </c>
      <c r="U218" s="19" t="n">
        <v>177858.778531355</v>
      </c>
      <c r="V218" s="19" t="n">
        <v>7174186.053259667</v>
      </c>
      <c r="W218" s="24" t="n">
        <v>328038446.1227791</v>
      </c>
      <c r="X218" s="24" t="n">
        <v>296885136.1450303</v>
      </c>
      <c r="Y218" s="19" t="n">
        <v>247404.2801208586</v>
      </c>
      <c r="Z218" s="19" t="n">
        <v>164338.6383229532</v>
      </c>
      <c r="AA218" s="19" t="n">
        <v>6628832.025068523</v>
      </c>
      <c r="AB218" s="24" t="n">
        <v>303102225.251655</v>
      </c>
      <c r="AC218" s="24" t="n">
        <v>69632195.64055061</v>
      </c>
      <c r="AD218" s="19" t="n">
        <v>58026.82970045885</v>
      </c>
      <c r="AE218" s="19" t="n">
        <v>38544.40260497063</v>
      </c>
      <c r="AF218" s="19" t="n">
        <v>1554743.138815928</v>
      </c>
      <c r="AG218" s="24" t="n">
        <v>71090367.54706112</v>
      </c>
      <c r="AH218" s="24" t="n">
        <v>229929729.8055442</v>
      </c>
      <c r="AI218" s="19" t="n">
        <v>191608.1081712868</v>
      </c>
      <c r="AJ218" s="19" t="n">
        <v>127275.9532418922</v>
      </c>
      <c r="AK218" s="19" t="n">
        <v>5133856.063800308</v>
      </c>
      <c r="AL218" s="24" t="n">
        <v>234744701.8079313</v>
      </c>
      <c r="AM218" s="24" t="n">
        <v>2084368973.875987</v>
      </c>
      <c r="AN218" s="19" t="n">
        <v>1736974.144896656</v>
      </c>
      <c r="AO218" s="19" t="n">
        <v>1153787.499695023</v>
      </c>
      <c r="AP218" s="19" t="n">
        <v>46539654.98406999</v>
      </c>
      <c r="AQ218" s="24" t="n">
        <v>2128017867.215465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 t="n">
        <v>1060597919.346527</v>
      </c>
      <c r="J219" s="21" t="n">
        <v>883831.599455439</v>
      </c>
      <c r="K219" s="21" t="n">
        <v>587086.3733252722</v>
      </c>
      <c r="L219" s="21" t="n">
        <v>48937366.22993435</v>
      </c>
      <c r="M219" s="25" t="n">
        <v>1108064367.60368</v>
      </c>
      <c r="N219" s="25" t="n">
        <v>130444207.1395117</v>
      </c>
      <c r="O219" s="21" t="n">
        <v>108703.5059495931</v>
      </c>
      <c r="P219" s="21" t="n">
        <v>72206.45552275973</v>
      </c>
      <c r="Q219" s="21" t="n">
        <v>6018865.227731982</v>
      </c>
      <c r="R219" s="25" t="n">
        <v>136282162.4057713</v>
      </c>
      <c r="S219" s="25" t="n">
        <v>328038446.1227791</v>
      </c>
      <c r="T219" s="21" t="n">
        <v>273365.3717689826</v>
      </c>
      <c r="U219" s="21" t="n">
        <v>181583.3296789229</v>
      </c>
      <c r="V219" s="21" t="n">
        <v>15136120.18520655</v>
      </c>
      <c r="W219" s="25" t="n">
        <v>342719617.6065377</v>
      </c>
      <c r="X219" s="25" t="n">
        <v>303102225.251655</v>
      </c>
      <c r="Y219" s="21" t="n">
        <v>252585.1877097125</v>
      </c>
      <c r="Z219" s="21" t="n">
        <v>167780.063418806</v>
      </c>
      <c r="AA219" s="21" t="n">
        <v>13985530.54996324</v>
      </c>
      <c r="AB219" s="25" t="n">
        <v>316667390.5504898</v>
      </c>
      <c r="AC219" s="25" t="n">
        <v>71090367.54706112</v>
      </c>
      <c r="AD219" s="21" t="n">
        <v>59241.97295588427</v>
      </c>
      <c r="AE219" s="21" t="n">
        <v>39351.56320811938</v>
      </c>
      <c r="AF219" s="21" t="n">
        <v>3280201.939500969</v>
      </c>
      <c r="AG219" s="25" t="n">
        <v>74271975.95039809</v>
      </c>
      <c r="AH219" s="25" t="n">
        <v>234744701.8079313</v>
      </c>
      <c r="AI219" s="21" t="n">
        <v>195620.5848399428</v>
      </c>
      <c r="AJ219" s="21" t="n">
        <v>129941.2464684581</v>
      </c>
      <c r="AK219" s="21" t="n">
        <v>10831425.58868069</v>
      </c>
      <c r="AL219" s="25" t="n">
        <v>245250565.5653036</v>
      </c>
      <c r="AM219" s="25" t="n">
        <v>2128017867.215465</v>
      </c>
      <c r="AN219" s="21" t="n">
        <v>1773348.222679554</v>
      </c>
      <c r="AO219" s="21" t="n">
        <v>1177949.031622339</v>
      </c>
      <c r="AP219" s="21" t="n">
        <v>98189509.72101776</v>
      </c>
      <c r="AQ219" s="25" t="n">
        <v>2223256079.682181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 t="n">
        <v>1108064367.60368</v>
      </c>
      <c r="J220" s="19" t="n">
        <v>923386.9730030671</v>
      </c>
      <c r="K220" s="19" t="n">
        <v>613361.0854038079</v>
      </c>
      <c r="L220" s="19" t="n">
        <v>11638361.34922554</v>
      </c>
      <c r="M220" s="24" t="n">
        <v>1118165980.894499</v>
      </c>
      <c r="N220" s="24" t="n">
        <v>136282162.4057713</v>
      </c>
      <c r="O220" s="19" t="n">
        <v>113568.4686714761</v>
      </c>
      <c r="P220" s="19" t="n">
        <v>75438.013799826</v>
      </c>
      <c r="Q220" s="19" t="n">
        <v>1431415.988010098</v>
      </c>
      <c r="R220" s="24" t="n">
        <v>137524571.9113101</v>
      </c>
      <c r="S220" s="24" t="n">
        <v>342719617.6065377</v>
      </c>
      <c r="T220" s="19" t="n">
        <v>285599.6813387814</v>
      </c>
      <c r="U220" s="19" t="n">
        <v>189709.9868836408</v>
      </c>
      <c r="V220" s="19" t="n">
        <v>3599695.891132488</v>
      </c>
      <c r="W220" s="24" t="n">
        <v>345844003.8294477</v>
      </c>
      <c r="X220" s="24" t="n">
        <v>316667390.5504898</v>
      </c>
      <c r="Y220" s="19" t="n">
        <v>263889.4921254081</v>
      </c>
      <c r="Z220" s="19" t="n">
        <v>175288.9634020886</v>
      </c>
      <c r="AA220" s="19" t="n">
        <v>3326060.855754468</v>
      </c>
      <c r="AB220" s="24" t="n">
        <v>319554272.9507168</v>
      </c>
      <c r="AC220" s="24" t="n">
        <v>74271975.95039809</v>
      </c>
      <c r="AD220" s="19" t="n">
        <v>61893.31329199841</v>
      </c>
      <c r="AE220" s="19" t="n">
        <v>41112.71972632864</v>
      </c>
      <c r="AF220" s="19" t="n">
        <v>780102.7805822309</v>
      </c>
      <c r="AG220" s="24" t="n">
        <v>74949072.697962</v>
      </c>
      <c r="AH220" s="24" t="n">
        <v>245250565.5653036</v>
      </c>
      <c r="AI220" s="19" t="n">
        <v>204375.4713044197</v>
      </c>
      <c r="AJ220" s="19" t="n">
        <v>135756.692019931</v>
      </c>
      <c r="AK220" s="19" t="n">
        <v>2575946.656712485</v>
      </c>
      <c r="AL220" s="24" t="n">
        <v>247486380.0586917</v>
      </c>
      <c r="AM220" s="24" t="n">
        <v>2223256079.682181</v>
      </c>
      <c r="AN220" s="19" t="n">
        <v>1852713.399735151</v>
      </c>
      <c r="AO220" s="19" t="n">
        <v>1230667.461235623</v>
      </c>
      <c r="AP220" s="19" t="n">
        <v>23351583.52141731</v>
      </c>
      <c r="AQ220" s="24" t="n">
        <v>2243524282.342628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 t="n">
        <v>1118165980.894499</v>
      </c>
      <c r="J221" s="21" t="n">
        <v>931804.9840787491</v>
      </c>
      <c r="K221" s="21" t="n">
        <v>618952.7610081643</v>
      </c>
      <c r="L221" s="21" t="n">
        <v>59381805.88420319</v>
      </c>
      <c r="M221" s="25" t="n">
        <v>1175997029.033615</v>
      </c>
      <c r="N221" s="25" t="n">
        <v>137524571.9113101</v>
      </c>
      <c r="O221" s="21" t="n">
        <v>114603.8099260918</v>
      </c>
      <c r="P221" s="21" t="n">
        <v>76125.74067302319</v>
      </c>
      <c r="Q221" s="21" t="n">
        <v>7303439.357914144</v>
      </c>
      <c r="R221" s="25" t="n">
        <v>144637281.7186251</v>
      </c>
      <c r="S221" s="25" t="n">
        <v>345844003.8294477</v>
      </c>
      <c r="T221" s="21" t="n">
        <v>288203.3365245398</v>
      </c>
      <c r="U221" s="21" t="n">
        <v>191439.4684741817</v>
      </c>
      <c r="V221" s="21" t="n">
        <v>18366541.15088266</v>
      </c>
      <c r="W221" s="25" t="n">
        <v>363730902.1753317</v>
      </c>
      <c r="X221" s="25" t="n">
        <v>319554272.9507168</v>
      </c>
      <c r="Y221" s="21" t="n">
        <v>266295.2274589307</v>
      </c>
      <c r="Z221" s="21" t="n">
        <v>176886.9764545846</v>
      </c>
      <c r="AA221" s="21" t="n">
        <v>16970387.33967488</v>
      </c>
      <c r="AB221" s="25" t="n">
        <v>336081478.0864782</v>
      </c>
      <c r="AC221" s="25" t="n">
        <v>74949072.697962</v>
      </c>
      <c r="AD221" s="21" t="n">
        <v>62457.56058163501</v>
      </c>
      <c r="AE221" s="21" t="n">
        <v>41487.52177587683</v>
      </c>
      <c r="AF221" s="21" t="n">
        <v>3980277.84979745</v>
      </c>
      <c r="AG221" s="25" t="n">
        <v>78825405.46540193</v>
      </c>
      <c r="AH221" s="25" t="n">
        <v>247486380.0586917</v>
      </c>
      <c r="AI221" s="21" t="n">
        <v>206238.6500489098</v>
      </c>
      <c r="AJ221" s="21" t="n">
        <v>136994.3111010244</v>
      </c>
      <c r="AK221" s="21" t="n">
        <v>13143118.66997855</v>
      </c>
      <c r="AL221" s="25" t="n">
        <v>260286265.7675204</v>
      </c>
      <c r="AM221" s="25" t="n">
        <v>2243524282.342628</v>
      </c>
      <c r="AN221" s="21" t="n">
        <v>1869603.568618856</v>
      </c>
      <c r="AO221" s="21" t="n">
        <v>1241886.779486855</v>
      </c>
      <c r="AP221" s="21" t="n">
        <v>119145570.2524509</v>
      </c>
      <c r="AQ221" s="25" t="n">
        <v>2359558362.246972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 t="n">
        <v>1175997029.033615</v>
      </c>
      <c r="J222" s="19" t="n">
        <v>979997.5241946793</v>
      </c>
      <c r="K222" s="19" t="n">
        <v>650964.7230328606</v>
      </c>
      <c r="L222" s="19" t="n">
        <v>27971758.06196272</v>
      </c>
      <c r="M222" s="24" t="n">
        <v>1202337824.84835</v>
      </c>
      <c r="N222" s="24" t="n">
        <v>144637281.7186251</v>
      </c>
      <c r="O222" s="19" t="n">
        <v>120531.0680988543</v>
      </c>
      <c r="P222" s="19" t="n">
        <v>80062.93018576948</v>
      </c>
      <c r="Q222" s="19" t="n">
        <v>3440279.993137365</v>
      </c>
      <c r="R222" s="24" t="n">
        <v>147876967.7134779</v>
      </c>
      <c r="S222" s="24" t="n">
        <v>363730902.1753317</v>
      </c>
      <c r="T222" s="19" t="n">
        <v>303109.0851461097</v>
      </c>
      <c r="U222" s="19" t="n">
        <v>201340.6327970317</v>
      </c>
      <c r="V222" s="19" t="n">
        <v>8651546.342483986</v>
      </c>
      <c r="W222" s="24" t="n">
        <v>371877998.7998725</v>
      </c>
      <c r="X222" s="24" t="n">
        <v>336081478.0864782</v>
      </c>
      <c r="Y222" s="19" t="n">
        <v>280067.8984053985</v>
      </c>
      <c r="Z222" s="19" t="n">
        <v>186035.4923505381</v>
      </c>
      <c r="AA222" s="19" t="n">
        <v>7993889.067786991</v>
      </c>
      <c r="AB222" s="24" t="n">
        <v>343609263.7635093</v>
      </c>
      <c r="AC222" s="24" t="n">
        <v>78825405.46540193</v>
      </c>
      <c r="AD222" s="19" t="n">
        <v>65687.83788783495</v>
      </c>
      <c r="AE222" s="19" t="n">
        <v>43633.23798437213</v>
      </c>
      <c r="AF222" s="19" t="n">
        <v>1874907.092772351</v>
      </c>
      <c r="AG222" s="24" t="n">
        <v>80590991.48230207</v>
      </c>
      <c r="AH222" s="24" t="n">
        <v>260286265.7675204</v>
      </c>
      <c r="AI222" s="19" t="n">
        <v>216905.2214729337</v>
      </c>
      <c r="AJ222" s="19" t="n">
        <v>144079.5960546327</v>
      </c>
      <c r="AK222" s="19" t="n">
        <v>6191056.842111033</v>
      </c>
      <c r="AL222" s="24" t="n">
        <v>266116337.7921038</v>
      </c>
      <c r="AM222" s="24" t="n">
        <v>2359558362.246972</v>
      </c>
      <c r="AN222" s="19" t="n">
        <v>1966298.635205811</v>
      </c>
      <c r="AO222" s="19" t="n">
        <v>1306116.612405204</v>
      </c>
      <c r="AP222" s="19" t="n">
        <v>56123437.40025445</v>
      </c>
      <c r="AQ222" s="24" t="n">
        <v>2412409384.399616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 t="n">
        <v>1202337824.84835</v>
      </c>
      <c r="J223" s="21" t="n">
        <v>1001948.187373625</v>
      </c>
      <c r="K223" s="21" t="n">
        <v>665545.4816816258</v>
      </c>
      <c r="L223" s="21" t="n">
        <v>22450237.73640787</v>
      </c>
      <c r="M223" s="25" t="n">
        <v>1223120568.915703</v>
      </c>
      <c r="N223" s="25" t="n">
        <v>147876967.7134779</v>
      </c>
      <c r="O223" s="21" t="n">
        <v>123230.8064278982</v>
      </c>
      <c r="P223" s="21" t="n">
        <v>81856.23513832176</v>
      </c>
      <c r="Q223" s="21" t="n">
        <v>2761181.601623007</v>
      </c>
      <c r="R223" s="25" t="n">
        <v>150433062.2735347</v>
      </c>
      <c r="S223" s="25" t="n">
        <v>371877998.7998725</v>
      </c>
      <c r="T223" s="21" t="n">
        <v>309898.3323332271</v>
      </c>
      <c r="U223" s="21" t="n">
        <v>205850.3997154689</v>
      </c>
      <c r="V223" s="21" t="n">
        <v>6943763.482654935</v>
      </c>
      <c r="W223" s="25" t="n">
        <v>378306013.5504788</v>
      </c>
      <c r="X223" s="25" t="n">
        <v>343609263.7635093</v>
      </c>
      <c r="Y223" s="21" t="n">
        <v>286341.0531362577</v>
      </c>
      <c r="Z223" s="21" t="n">
        <v>190202.4441346988</v>
      </c>
      <c r="AA223" s="21" t="n">
        <v>6415925.291958469</v>
      </c>
      <c r="AB223" s="25" t="n">
        <v>349548645.5581968</v>
      </c>
      <c r="AC223" s="25" t="n">
        <v>80590991.48230207</v>
      </c>
      <c r="AD223" s="21" t="n">
        <v>67159.15956858506</v>
      </c>
      <c r="AE223" s="21" t="n">
        <v>44610.5654640398</v>
      </c>
      <c r="AF223" s="21" t="n">
        <v>1504807.451615113</v>
      </c>
      <c r="AG223" s="25" t="n">
        <v>81984029.20888457</v>
      </c>
      <c r="AH223" s="25" t="n">
        <v>266116337.7921038</v>
      </c>
      <c r="AI223" s="21" t="n">
        <v>221763.6148267532</v>
      </c>
      <c r="AJ223" s="21" t="n">
        <v>147306.7906197953</v>
      </c>
      <c r="AK223" s="21" t="n">
        <v>4968965.398496464</v>
      </c>
      <c r="AL223" s="25" t="n">
        <v>270716232.7851537</v>
      </c>
      <c r="AM223" s="25" t="n">
        <v>2412409384.399616</v>
      </c>
      <c r="AN223" s="21" t="n">
        <v>2010341.153666347</v>
      </c>
      <c r="AO223" s="21" t="n">
        <v>1335371.91675395</v>
      </c>
      <c r="AP223" s="21" t="n">
        <v>45044880.96275585</v>
      </c>
      <c r="AQ223" s="25" t="n">
        <v>2454108552.291951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 t="n">
        <v>1223120568.915703</v>
      </c>
      <c r="J224" s="19" t="n">
        <v>1019267.140763086</v>
      </c>
      <c r="K224" s="19" t="n">
        <v>677049.6206391744</v>
      </c>
      <c r="L224" s="19" t="n">
        <v>24667719.07433026</v>
      </c>
      <c r="M224" s="24" t="n">
        <v>1246091971.228631</v>
      </c>
      <c r="N224" s="24" t="n">
        <v>150433062.2735347</v>
      </c>
      <c r="O224" s="19" t="n">
        <v>125360.8852279456</v>
      </c>
      <c r="P224" s="19" t="n">
        <v>83271.14295377815</v>
      </c>
      <c r="Q224" s="19" t="n">
        <v>3033912.284660903</v>
      </c>
      <c r="R224" s="24" t="n">
        <v>153258342.5300138</v>
      </c>
      <c r="S224" s="24" t="n">
        <v>378306013.5504788</v>
      </c>
      <c r="T224" s="19" t="n">
        <v>315255.0112920657</v>
      </c>
      <c r="U224" s="19" t="n">
        <v>209408.5811891228</v>
      </c>
      <c r="V224" s="19" t="n">
        <v>7629621.072161158</v>
      </c>
      <c r="W224" s="24" t="n">
        <v>385410971.0301588</v>
      </c>
      <c r="X224" s="24" t="n">
        <v>349548645.5581968</v>
      </c>
      <c r="Y224" s="19" t="n">
        <v>291290.537965164</v>
      </c>
      <c r="Z224" s="19" t="n">
        <v>193490.1463393059</v>
      </c>
      <c r="AA224" s="19" t="n">
        <v>7049646.625668434</v>
      </c>
      <c r="AB224" s="24" t="n">
        <v>356113511.4995607</v>
      </c>
      <c r="AC224" s="24" t="n">
        <v>81984029.20888457</v>
      </c>
      <c r="AD224" s="19" t="n">
        <v>68320.02434073715</v>
      </c>
      <c r="AE224" s="19" t="n">
        <v>45381.67150892861</v>
      </c>
      <c r="AF224" s="19" t="n">
        <v>1653442.066548905</v>
      </c>
      <c r="AG224" s="24" t="n">
        <v>83523769.57958381</v>
      </c>
      <c r="AH224" s="24" t="n">
        <v>270716232.7851537</v>
      </c>
      <c r="AI224" s="19" t="n">
        <v>225596.8606542948</v>
      </c>
      <c r="AJ224" s="19" t="n">
        <v>149853.0295100343</v>
      </c>
      <c r="AK224" s="19" t="n">
        <v>5459765.904456319</v>
      </c>
      <c r="AL224" s="24" t="n">
        <v>275800548.7994457</v>
      </c>
      <c r="AM224" s="24" t="n">
        <v>2454108552.291951</v>
      </c>
      <c r="AN224" s="19" t="n">
        <v>2045090.460243293</v>
      </c>
      <c r="AO224" s="19" t="n">
        <v>1358454.192140344</v>
      </c>
      <c r="AP224" s="19" t="n">
        <v>49494107.02782598</v>
      </c>
      <c r="AQ224" s="24" t="n">
        <v>2500199114.667393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 t="n">
        <v>1246091971.228631</v>
      </c>
      <c r="J225" s="21" t="n">
        <v>1038409.976023859</v>
      </c>
      <c r="K225" s="21" t="n">
        <v>689765.2756749698</v>
      </c>
      <c r="L225" s="21" t="n">
        <v>21364213.91828286</v>
      </c>
      <c r="M225" s="25" t="n">
        <v>1265728009.895215</v>
      </c>
      <c r="N225" s="25" t="n">
        <v>153258342.5300138</v>
      </c>
      <c r="O225" s="21" t="n">
        <v>127715.2854416782</v>
      </c>
      <c r="P225" s="21" t="n">
        <v>84835.05658131557</v>
      </c>
      <c r="Q225" s="21" t="n">
        <v>2627610.232769833</v>
      </c>
      <c r="R225" s="25" t="n">
        <v>155673402.4207607</v>
      </c>
      <c r="S225" s="25" t="n">
        <v>385410971.0301588</v>
      </c>
      <c r="T225" s="21" t="n">
        <v>321175.809191799</v>
      </c>
      <c r="U225" s="21" t="n">
        <v>213341.4794564942</v>
      </c>
      <c r="V225" s="21" t="n">
        <v>6607860.913687459</v>
      </c>
      <c r="W225" s="25" t="n">
        <v>391484314.6551979</v>
      </c>
      <c r="X225" s="25" t="n">
        <v>356113511.4995607</v>
      </c>
      <c r="Y225" s="21" t="n">
        <v>296761.2595829673</v>
      </c>
      <c r="Z225" s="21" t="n">
        <v>197124.0808083237</v>
      </c>
      <c r="AA225" s="21" t="n">
        <v>6105556.744231344</v>
      </c>
      <c r="AB225" s="25" t="n">
        <v>361725182.9034007</v>
      </c>
      <c r="AC225" s="25" t="n">
        <v>83523769.57958381</v>
      </c>
      <c r="AD225" s="21" t="n">
        <v>69603.14131631984</v>
      </c>
      <c r="AE225" s="21" t="n">
        <v>46233.98375054915</v>
      </c>
      <c r="AF225" s="21" t="n">
        <v>1432012.822296078</v>
      </c>
      <c r="AG225" s="25" t="n">
        <v>84839945.27681302</v>
      </c>
      <c r="AH225" s="25" t="n">
        <v>275800548.7994457</v>
      </c>
      <c r="AI225" s="21" t="n">
        <v>229833.7906662048</v>
      </c>
      <c r="AJ225" s="21" t="n">
        <v>152667.4161830814</v>
      </c>
      <c r="AK225" s="21" t="n">
        <v>4728593.121037024</v>
      </c>
      <c r="AL225" s="25" t="n">
        <v>280146640.7136335</v>
      </c>
      <c r="AM225" s="25" t="n">
        <v>2500199114.667393</v>
      </c>
      <c r="AN225" s="21" t="n">
        <v>2083499.262222828</v>
      </c>
      <c r="AO225" s="21" t="n">
        <v>1383967.292454734</v>
      </c>
      <c r="AP225" s="21" t="n">
        <v>42865847.75230459</v>
      </c>
      <c r="AQ225" s="25" t="n">
        <v>2539597495.86502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 t="n">
        <v>1265728009.895215</v>
      </c>
      <c r="J226" s="19" t="n">
        <v>1054773.341579346</v>
      </c>
      <c r="K226" s="19" t="n">
        <v>700634.6640802782</v>
      </c>
      <c r="L226" s="19" t="n">
        <v>31392613.76689626</v>
      </c>
      <c r="M226" s="24" t="n">
        <v>1295365215.656451</v>
      </c>
      <c r="N226" s="24" t="n">
        <v>155673402.4207607</v>
      </c>
      <c r="O226" s="19" t="n">
        <v>129727.8353506339</v>
      </c>
      <c r="P226" s="19" t="n">
        <v>86171.8956668528</v>
      </c>
      <c r="Q226" s="19" t="n">
        <v>3861015.129449598</v>
      </c>
      <c r="R226" s="24" t="n">
        <v>159318517.8191928</v>
      </c>
      <c r="S226" s="24" t="n">
        <v>391484314.6551979</v>
      </c>
      <c r="T226" s="19" t="n">
        <v>326236.9288793316</v>
      </c>
      <c r="U226" s="19" t="n">
        <v>216703.3352717302</v>
      </c>
      <c r="V226" s="19" t="n">
        <v>9709602.528892552</v>
      </c>
      <c r="W226" s="24" t="n">
        <v>400650976.9199395</v>
      </c>
      <c r="X226" s="24" t="n">
        <v>361725182.9034007</v>
      </c>
      <c r="Y226" s="19" t="n">
        <v>301437.6524195006</v>
      </c>
      <c r="Z226" s="19" t="n">
        <v>200230.3812758972</v>
      </c>
      <c r="AA226" s="19" t="n">
        <v>8971515.892728366</v>
      </c>
      <c r="AB226" s="24" t="n">
        <v>370195030.7624337</v>
      </c>
      <c r="AC226" s="24" t="n">
        <v>84839945.27681302</v>
      </c>
      <c r="AD226" s="19" t="n">
        <v>70699.95439734419</v>
      </c>
      <c r="AE226" s="19" t="n">
        <v>46962.54337022222</v>
      </c>
      <c r="AF226" s="19" t="n">
        <v>2104202.177132902</v>
      </c>
      <c r="AG226" s="24" t="n">
        <v>86826484.95617835</v>
      </c>
      <c r="AH226" s="24" t="n">
        <v>280146640.7136335</v>
      </c>
      <c r="AI226" s="19" t="n">
        <v>233455.5339280279</v>
      </c>
      <c r="AJ226" s="19" t="n">
        <v>155073.1641988901</v>
      </c>
      <c r="AK226" s="19" t="n">
        <v>6948203.106246042</v>
      </c>
      <c r="AL226" s="24" t="n">
        <v>286706315.1217526</v>
      </c>
      <c r="AM226" s="24" t="n">
        <v>2539597495.86502</v>
      </c>
      <c r="AN226" s="19" t="n">
        <v>2116331.246554184</v>
      </c>
      <c r="AO226" s="19" t="n">
        <v>1405775.983863871</v>
      </c>
      <c r="AP226" s="19" t="n">
        <v>62987152.60134572</v>
      </c>
      <c r="AQ226" s="24" t="n">
        <v>2599062541.235948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 t="n">
        <v>1295365215.656451</v>
      </c>
      <c r="J227" s="21" t="n">
        <v>1079471.013047043</v>
      </c>
      <c r="K227" s="21" t="n">
        <v>717040.1268182966</v>
      </c>
      <c r="L227" s="21" t="n">
        <v>38417958.1050443</v>
      </c>
      <c r="M227" s="25" t="n">
        <v>1331986662.62163</v>
      </c>
      <c r="N227" s="25" t="n">
        <v>159318517.8191928</v>
      </c>
      <c r="O227" s="21" t="n">
        <v>132765.431515994</v>
      </c>
      <c r="P227" s="21" t="n">
        <v>88189.62315865868</v>
      </c>
      <c r="Q227" s="21" t="n">
        <v>4725070.635645968</v>
      </c>
      <c r="R227" s="25" t="n">
        <v>163822633.4001641</v>
      </c>
      <c r="S227" s="25" t="n">
        <v>400650976.9199395</v>
      </c>
      <c r="T227" s="21" t="n">
        <v>333875.8140999496</v>
      </c>
      <c r="U227" s="21" t="n">
        <v>221777.47543959</v>
      </c>
      <c r="V227" s="21" t="n">
        <v>11882511.7889668</v>
      </c>
      <c r="W227" s="25" t="n">
        <v>411977835.4193667</v>
      </c>
      <c r="X227" s="25" t="n">
        <v>370195030.7624337</v>
      </c>
      <c r="Y227" s="21" t="n">
        <v>308495.8589686948</v>
      </c>
      <c r="Z227" s="21" t="n">
        <v>204918.8048259267</v>
      </c>
      <c r="AA227" s="21" t="n">
        <v>10979248.94896875</v>
      </c>
      <c r="AB227" s="25" t="n">
        <v>380660865.0476079</v>
      </c>
      <c r="AC227" s="25" t="n">
        <v>86826484.95617835</v>
      </c>
      <c r="AD227" s="21" t="n">
        <v>72355.40413014863</v>
      </c>
      <c r="AE227" s="21" t="n">
        <v>48062.17816541768</v>
      </c>
      <c r="AF227" s="21" t="n">
        <v>2575100.999423002</v>
      </c>
      <c r="AG227" s="25" t="n">
        <v>89281168.37330578</v>
      </c>
      <c r="AH227" s="25" t="n">
        <v>286706315.1217526</v>
      </c>
      <c r="AI227" s="21" t="n">
        <v>238921.9292681272</v>
      </c>
      <c r="AJ227" s="21" t="n">
        <v>158704.2249319057</v>
      </c>
      <c r="AK227" s="21" t="n">
        <v>8503139.554521099</v>
      </c>
      <c r="AL227" s="25" t="n">
        <v>294811828.5220737</v>
      </c>
      <c r="AM227" s="25" t="n">
        <v>2599062541.235948</v>
      </c>
      <c r="AN227" s="21" t="n">
        <v>2165885.451029957</v>
      </c>
      <c r="AO227" s="21" t="n">
        <v>1438692.433339795</v>
      </c>
      <c r="AP227" s="21" t="n">
        <v>77083030.03256992</v>
      </c>
      <c r="AQ227" s="25" t="n">
        <v>2672540993.384148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 t="n">
        <v>1331986662.62163</v>
      </c>
      <c r="J228" s="19" t="n">
        <v>1109988.885518025</v>
      </c>
      <c r="K228" s="19" t="n">
        <v>737311.6661948379</v>
      </c>
      <c r="L228" s="19" t="n">
        <v>56896406.76204216</v>
      </c>
      <c r="M228" s="24" t="n">
        <v>1387035768.831959</v>
      </c>
      <c r="N228" s="24" t="n">
        <v>163822633.4001641</v>
      </c>
      <c r="O228" s="19" t="n">
        <v>136518.8611668034</v>
      </c>
      <c r="P228" s="19" t="n">
        <v>90682.84404211992</v>
      </c>
      <c r="Q228" s="19" t="n">
        <v>6997757.146020606</v>
      </c>
      <c r="R228" s="24" t="n">
        <v>170593188.8409758</v>
      </c>
      <c r="S228" s="24" t="n">
        <v>411977835.4193667</v>
      </c>
      <c r="T228" s="19" t="n">
        <v>343314.8628494723</v>
      </c>
      <c r="U228" s="19" t="n">
        <v>228047.376743653</v>
      </c>
      <c r="V228" s="19" t="n">
        <v>17597817.72501459</v>
      </c>
      <c r="W228" s="24" t="n">
        <v>429004290.9047881</v>
      </c>
      <c r="X228" s="24" t="n">
        <v>380660865.0476079</v>
      </c>
      <c r="Y228" s="19" t="n">
        <v>317217.3875396732</v>
      </c>
      <c r="Z228" s="19" t="n">
        <v>210712.0923500922</v>
      </c>
      <c r="AA228" s="19" t="n">
        <v>16260099.31173903</v>
      </c>
      <c r="AB228" s="24" t="n">
        <v>396393034.8794572</v>
      </c>
      <c r="AC228" s="24" t="n">
        <v>89281168.37330578</v>
      </c>
      <c r="AD228" s="19" t="n">
        <v>74400.97364442149</v>
      </c>
      <c r="AE228" s="19" t="n">
        <v>49420.95056986569</v>
      </c>
      <c r="AF228" s="19" t="n">
        <v>3813685.087476708</v>
      </c>
      <c r="AG228" s="24" t="n">
        <v>92971031.53656819</v>
      </c>
      <c r="AH228" s="24" t="n">
        <v>294811828.5220737</v>
      </c>
      <c r="AI228" s="19" t="n">
        <v>245676.5237683947</v>
      </c>
      <c r="AJ228" s="19" t="n">
        <v>163190.9737547451</v>
      </c>
      <c r="AK228" s="19" t="n">
        <v>12593019.2730602</v>
      </c>
      <c r="AL228" s="24" t="n">
        <v>306995980.2976108</v>
      </c>
      <c r="AM228" s="24" t="n">
        <v>2672540993.384148</v>
      </c>
      <c r="AN228" s="19" t="n">
        <v>2227117.49448679</v>
      </c>
      <c r="AO228" s="19" t="n">
        <v>1479365.903655314</v>
      </c>
      <c r="AP228" s="19" t="n">
        <v>114158785.3053533</v>
      </c>
      <c r="AQ228" s="24" t="n">
        <v>2782993295.291359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 t="n">
        <v>1387035768.831959</v>
      </c>
      <c r="J229" s="21" t="n">
        <v>1155863.140693299</v>
      </c>
      <c r="K229" s="21" t="n">
        <v>767783.7042125369</v>
      </c>
      <c r="L229" s="21" t="n">
        <v>24401741.51110946</v>
      </c>
      <c r="M229" s="25" t="n">
        <v>1409513863.498163</v>
      </c>
      <c r="N229" s="25" t="n">
        <v>170593188.8409758</v>
      </c>
      <c r="O229" s="21" t="n">
        <v>142160.9907008132</v>
      </c>
      <c r="P229" s="21" t="n">
        <v>94430.63645867763</v>
      </c>
      <c r="Q229" s="21" t="n">
        <v>3001199.385909779</v>
      </c>
      <c r="R229" s="25" t="n">
        <v>173357796.5997261</v>
      </c>
      <c r="S229" s="25" t="n">
        <v>429004290.9047881</v>
      </c>
      <c r="T229" s="21" t="n">
        <v>357503.5757539901</v>
      </c>
      <c r="U229" s="21" t="n">
        <v>237472.2490908278</v>
      </c>
      <c r="V229" s="21" t="n">
        <v>7547355.337945657</v>
      </c>
      <c r="W229" s="25" t="n">
        <v>435956670.4178889</v>
      </c>
      <c r="X229" s="25" t="n">
        <v>396393034.8794572</v>
      </c>
      <c r="Y229" s="21" t="n">
        <v>330327.5290662143</v>
      </c>
      <c r="Z229" s="21" t="n">
        <v>219420.5221542997</v>
      </c>
      <c r="AA229" s="21" t="n">
        <v>6973634.416132037</v>
      </c>
      <c r="AB229" s="25" t="n">
        <v>402816921.2443687</v>
      </c>
      <c r="AC229" s="25" t="n">
        <v>92971031.53656819</v>
      </c>
      <c r="AD229" s="21" t="n">
        <v>77475.85961380684</v>
      </c>
      <c r="AE229" s="21" t="n">
        <v>51463.44786603327</v>
      </c>
      <c r="AF229" s="21" t="n">
        <v>1635613.969412632</v>
      </c>
      <c r="AG229" s="25" t="n">
        <v>94477706.19850099</v>
      </c>
      <c r="AH229" s="25" t="n">
        <v>306995980.2976108</v>
      </c>
      <c r="AI229" s="21" t="n">
        <v>255829.9835813423</v>
      </c>
      <c r="AJ229" s="21" t="n">
        <v>169935.4236046487</v>
      </c>
      <c r="AK229" s="21" t="n">
        <v>5400896.447306775</v>
      </c>
      <c r="AL229" s="25" t="n">
        <v>311971111.3377315</v>
      </c>
      <c r="AM229" s="25" t="n">
        <v>2782993295.291359</v>
      </c>
      <c r="AN229" s="21" t="n">
        <v>2319161.079409467</v>
      </c>
      <c r="AO229" s="21" t="n">
        <v>1540505.983387024</v>
      </c>
      <c r="AP229" s="21" t="n">
        <v>48960441.06781635</v>
      </c>
      <c r="AQ229" s="25" t="n">
        <v>2828094069.296379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 t="n">
        <v>1409513863.498163</v>
      </c>
      <c r="J230" s="19" t="n">
        <v>1174594.886248469</v>
      </c>
      <c r="K230" s="19" t="n">
        <v>780226.2923377093</v>
      </c>
      <c r="L230" s="19" t="n">
        <v>46852436.16515631</v>
      </c>
      <c r="M230" s="24" t="n">
        <v>1454411478.484733</v>
      </c>
      <c r="N230" s="24" t="n">
        <v>173357796.5997261</v>
      </c>
      <c r="O230" s="19" t="n">
        <v>144464.8304997717</v>
      </c>
      <c r="P230" s="19" t="n">
        <v>95960.96526014431</v>
      </c>
      <c r="Q230" s="19" t="n">
        <v>5762437.184379919</v>
      </c>
      <c r="R230" s="24" t="n">
        <v>178879807.988346</v>
      </c>
      <c r="S230" s="24" t="n">
        <v>435956670.4178889</v>
      </c>
      <c r="T230" s="19" t="n">
        <v>363297.2253482408</v>
      </c>
      <c r="U230" s="19" t="n">
        <v>241320.6889188469</v>
      </c>
      <c r="V230" s="19" t="n">
        <v>14491260.14329184</v>
      </c>
      <c r="W230" s="24" t="n">
        <v>449843312.6469136</v>
      </c>
      <c r="X230" s="24" t="n">
        <v>402816921.2443687</v>
      </c>
      <c r="Y230" s="19" t="n">
        <v>335680.7677036406</v>
      </c>
      <c r="Z230" s="19" t="n">
        <v>222976.4183896546</v>
      </c>
      <c r="AA230" s="19" t="n">
        <v>13389690.28797437</v>
      </c>
      <c r="AB230" s="24" t="n">
        <v>415647954.3462498</v>
      </c>
      <c r="AC230" s="24" t="n">
        <v>94477706.19850099</v>
      </c>
      <c r="AD230" s="19" t="n">
        <v>78731.42183208416</v>
      </c>
      <c r="AE230" s="19" t="n">
        <v>52297.45682166106</v>
      </c>
      <c r="AF230" s="19" t="n">
        <v>3140452.047566135</v>
      </c>
      <c r="AG230" s="24" t="n">
        <v>97487129.36741337</v>
      </c>
      <c r="AH230" s="24" t="n">
        <v>311971111.3377315</v>
      </c>
      <c r="AI230" s="19" t="n">
        <v>259975.9261147763</v>
      </c>
      <c r="AJ230" s="19" t="n">
        <v>172689.371718145</v>
      </c>
      <c r="AK230" s="19" t="n">
        <v>10369962.97648901</v>
      </c>
      <c r="AL230" s="24" t="n">
        <v>321908409.0163875</v>
      </c>
      <c r="AM230" s="24" t="n">
        <v>2828094069.296379</v>
      </c>
      <c r="AN230" s="19" t="n">
        <v>2356745.057746983</v>
      </c>
      <c r="AO230" s="19" t="n">
        <v>1565471.193446161</v>
      </c>
      <c r="AP230" s="19" t="n">
        <v>94006238.80485758</v>
      </c>
      <c r="AQ230" s="24" t="n">
        <v>2918178091.850044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 t="n">
        <v>1454411478.484733</v>
      </c>
      <c r="J231" s="21" t="n">
        <v>1212009.565403945</v>
      </c>
      <c r="K231" s="21" t="n">
        <v>805079.0451789185</v>
      </c>
      <c r="L231" s="21" t="n">
        <v>80006084.28609152</v>
      </c>
      <c r="M231" s="25" t="n">
        <v>1532400474.160242</v>
      </c>
      <c r="N231" s="25" t="n">
        <v>178879807.988346</v>
      </c>
      <c r="O231" s="21" t="n">
        <v>149066.5066569551</v>
      </c>
      <c r="P231" s="21" t="n">
        <v>99017.63506919242</v>
      </c>
      <c r="Q231" s="21" t="n">
        <v>9840044.036166279</v>
      </c>
      <c r="R231" s="25" t="n">
        <v>188471767.8827862</v>
      </c>
      <c r="S231" s="25" t="n">
        <v>449843312.6469136</v>
      </c>
      <c r="T231" s="21" t="n">
        <v>374869.4272057614</v>
      </c>
      <c r="U231" s="21" t="n">
        <v>249007.5401517126</v>
      </c>
      <c r="V231" s="21" t="n">
        <v>24745543.14206849</v>
      </c>
      <c r="W231" s="25" t="n">
        <v>473964978.8216247</v>
      </c>
      <c r="X231" s="25" t="n">
        <v>415647954.3462498</v>
      </c>
      <c r="Y231" s="21" t="n">
        <v>346373.2952885415</v>
      </c>
      <c r="Z231" s="21" t="n">
        <v>230078.9447593472</v>
      </c>
      <c r="AA231" s="21" t="n">
        <v>22864482.13638506</v>
      </c>
      <c r="AB231" s="25" t="n">
        <v>437935984.2425869</v>
      </c>
      <c r="AC231" s="25" t="n">
        <v>97487129.36741337</v>
      </c>
      <c r="AD231" s="21" t="n">
        <v>81239.27447284448</v>
      </c>
      <c r="AE231" s="21" t="n">
        <v>53963.30143799447</v>
      </c>
      <c r="AF231" s="21" t="n">
        <v>5362693.84858286</v>
      </c>
      <c r="AG231" s="25" t="n">
        <v>102714620.6400854</v>
      </c>
      <c r="AH231" s="25" t="n">
        <v>321908409.0163875</v>
      </c>
      <c r="AI231" s="21" t="n">
        <v>268257.0075136563</v>
      </c>
      <c r="AJ231" s="21" t="n">
        <v>178190.0915936001</v>
      </c>
      <c r="AK231" s="21" t="n">
        <v>17707940.07415218</v>
      </c>
      <c r="AL231" s="25" t="n">
        <v>339169901.9914324</v>
      </c>
      <c r="AM231" s="25" t="n">
        <v>2918178091.850044</v>
      </c>
      <c r="AN231" s="21" t="n">
        <v>2431815.076541703</v>
      </c>
      <c r="AO231" s="21" t="n">
        <v>1615336.558190765</v>
      </c>
      <c r="AP231" s="21" t="n">
        <v>160526787.5234464</v>
      </c>
      <c r="AQ231" s="25" t="n">
        <v>3074657727.738758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 t="n">
        <v>1532400474.160242</v>
      </c>
      <c r="J232" s="19" t="n">
        <v>1277000.395133535</v>
      </c>
      <c r="K232" s="19" t="n">
        <v>848249.294521502</v>
      </c>
      <c r="L232" s="19" t="n">
        <v>68752557.10564539</v>
      </c>
      <c r="M232" s="24" t="n">
        <v>1599027781.576232</v>
      </c>
      <c r="N232" s="24" t="n">
        <v>188471767.8827862</v>
      </c>
      <c r="O232" s="19" t="n">
        <v>157059.8065689885</v>
      </c>
      <c r="P232" s="19" t="n">
        <v>104327.1956904107</v>
      </c>
      <c r="Q232" s="19" t="n">
        <v>8455959.26304066</v>
      </c>
      <c r="R232" s="24" t="n">
        <v>196666340.1435674</v>
      </c>
      <c r="S232" s="24" t="n">
        <v>473964978.8216247</v>
      </c>
      <c r="T232" s="19" t="n">
        <v>394970.8156846873</v>
      </c>
      <c r="U232" s="19" t="n">
        <v>262359.9155003268</v>
      </c>
      <c r="V232" s="19" t="n">
        <v>21264874.83003887</v>
      </c>
      <c r="W232" s="24" t="n">
        <v>494572522.9204785</v>
      </c>
      <c r="X232" s="24" t="n">
        <v>437935984.2425869</v>
      </c>
      <c r="Y232" s="19" t="n">
        <v>364946.6535354891</v>
      </c>
      <c r="Z232" s="19" t="n">
        <v>242416.3238940036</v>
      </c>
      <c r="AA232" s="19" t="n">
        <v>19648400.84101082</v>
      </c>
      <c r="AB232" s="24" t="n">
        <v>456977022.1061682</v>
      </c>
      <c r="AC232" s="24" t="n">
        <v>102714620.6400854</v>
      </c>
      <c r="AD232" s="19" t="n">
        <v>85595.51720007118</v>
      </c>
      <c r="AE232" s="19" t="n">
        <v>56856.94174869152</v>
      </c>
      <c r="AF232" s="19" t="n">
        <v>4608385.95407777</v>
      </c>
      <c r="AG232" s="24" t="n">
        <v>107180554.1352144</v>
      </c>
      <c r="AH232" s="24" t="n">
        <v>339169901.9914324</v>
      </c>
      <c r="AI232" s="19" t="n">
        <v>282641.5849928604</v>
      </c>
      <c r="AJ232" s="19" t="n">
        <v>187745.0672578393</v>
      </c>
      <c r="AK232" s="19" t="n">
        <v>15217169.69446962</v>
      </c>
      <c r="AL232" s="24" t="n">
        <v>353916685.0336514</v>
      </c>
      <c r="AM232" s="24" t="n">
        <v>3074657727.738758</v>
      </c>
      <c r="AN232" s="19" t="n">
        <v>2562214.773115632</v>
      </c>
      <c r="AO232" s="19" t="n">
        <v>1701954.738612774</v>
      </c>
      <c r="AP232" s="19" t="n">
        <v>137947347.6882831</v>
      </c>
      <c r="AQ232" s="24" t="n">
        <v>3208340905.915312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 t="n">
        <v>1599027781.576232</v>
      </c>
      <c r="J233" s="21" t="n">
        <v>1332523.151313527</v>
      </c>
      <c r="K233" s="21" t="n">
        <v>885130.3627960678</v>
      </c>
      <c r="L233" s="21" t="n">
        <v>28010338.52385481</v>
      </c>
      <c r="M233" s="25" t="n">
        <v>1624820466.585978</v>
      </c>
      <c r="N233" s="25" t="n">
        <v>196666340.1435674</v>
      </c>
      <c r="O233" s="21" t="n">
        <v>163888.6167863062</v>
      </c>
      <c r="P233" s="21" t="n">
        <v>108863.2424068686</v>
      </c>
      <c r="Q233" s="21" t="n">
        <v>3445025.050308221</v>
      </c>
      <c r="R233" s="25" t="n">
        <v>199838613.3346825</v>
      </c>
      <c r="S233" s="25" t="n">
        <v>494572522.9204785</v>
      </c>
      <c r="T233" s="21" t="n">
        <v>412143.7691003988</v>
      </c>
      <c r="U233" s="21" t="n">
        <v>273767.0737715696</v>
      </c>
      <c r="V233" s="21" t="n">
        <v>8663479.116006283</v>
      </c>
      <c r="W233" s="25" t="n">
        <v>502550091.1936128</v>
      </c>
      <c r="X233" s="25" t="n">
        <v>456977022.1061682</v>
      </c>
      <c r="Y233" s="21" t="n">
        <v>380814.1850884735</v>
      </c>
      <c r="Z233" s="21" t="n">
        <v>252956.3538712138</v>
      </c>
      <c r="AA233" s="21" t="n">
        <v>8004914.757765654</v>
      </c>
      <c r="AB233" s="25" t="n">
        <v>464348166.3249742</v>
      </c>
      <c r="AC233" s="25" t="n">
        <v>107180554.1352144</v>
      </c>
      <c r="AD233" s="21" t="n">
        <v>89317.12844601201</v>
      </c>
      <c r="AE233" s="21" t="n">
        <v>59329.02721231621</v>
      </c>
      <c r="AF233" s="21" t="n">
        <v>1877493.086169108</v>
      </c>
      <c r="AG233" s="25" t="n">
        <v>108909401.0657252</v>
      </c>
      <c r="AH233" s="25" t="n">
        <v>353916685.0336514</v>
      </c>
      <c r="AI233" s="21" t="n">
        <v>294930.5708613761</v>
      </c>
      <c r="AJ233" s="21" t="n">
        <v>195908.0432702807</v>
      </c>
      <c r="AK233" s="21" t="n">
        <v>6199595.949021643</v>
      </c>
      <c r="AL233" s="25" t="n">
        <v>359625442.3685413</v>
      </c>
      <c r="AM233" s="25" t="n">
        <v>3208340905.915312</v>
      </c>
      <c r="AN233" s="21" t="n">
        <v>2673617.421596093</v>
      </c>
      <c r="AO233" s="21" t="n">
        <v>1775954.103328316</v>
      </c>
      <c r="AP233" s="21" t="n">
        <v>56200846.48312572</v>
      </c>
      <c r="AQ233" s="25" t="n">
        <v>3260092180.873513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 t="n">
        <v>1624820466.585978</v>
      </c>
      <c r="J234" s="19" t="n">
        <v>1354017.055488315</v>
      </c>
      <c r="K234" s="19" t="n">
        <v>899407.7186389138</v>
      </c>
      <c r="L234" s="19" t="n">
        <v>44194561.35640854</v>
      </c>
      <c r="M234" s="24" t="n">
        <v>1666761603.168259</v>
      </c>
      <c r="N234" s="24" t="n">
        <v>199838613.3346825</v>
      </c>
      <c r="O234" s="19" t="n">
        <v>166532.1777789021</v>
      </c>
      <c r="P234" s="19" t="n">
        <v>110619.2314852898</v>
      </c>
      <c r="Q234" s="19" t="n">
        <v>5435541.981420439</v>
      </c>
      <c r="R234" s="24" t="n">
        <v>204997003.9068387</v>
      </c>
      <c r="S234" s="24" t="n">
        <v>502550091.1936128</v>
      </c>
      <c r="T234" s="19" t="n">
        <v>418791.742661344</v>
      </c>
      <c r="U234" s="19" t="n">
        <v>278182.9994866746</v>
      </c>
      <c r="V234" s="19" t="n">
        <v>13669190.71778542</v>
      </c>
      <c r="W234" s="24" t="n">
        <v>515522307.1692501</v>
      </c>
      <c r="X234" s="24" t="n">
        <v>464348166.3249742</v>
      </c>
      <c r="Y234" s="19" t="n">
        <v>386956.8052708118</v>
      </c>
      <c r="Z234" s="19" t="n">
        <v>257036.5978993585</v>
      </c>
      <c r="AA234" s="19" t="n">
        <v>12630111.41809677</v>
      </c>
      <c r="AB234" s="24" t="n">
        <v>476334284.3399008</v>
      </c>
      <c r="AC234" s="24" t="n">
        <v>108909401.0657252</v>
      </c>
      <c r="AD234" s="19" t="n">
        <v>90757.83422143766</v>
      </c>
      <c r="AE234" s="19" t="n">
        <v>60286.01803414761</v>
      </c>
      <c r="AF234" s="19" t="n">
        <v>2962298.48569193</v>
      </c>
      <c r="AG234" s="24" t="n">
        <v>111720655.6991615</v>
      </c>
      <c r="AH234" s="24" t="n">
        <v>359625442.3685413</v>
      </c>
      <c r="AI234" s="19" t="n">
        <v>299687.8686404511</v>
      </c>
      <c r="AJ234" s="19" t="n">
        <v>199068.0849588403</v>
      </c>
      <c r="AK234" s="19" t="n">
        <v>9781689.11884583</v>
      </c>
      <c r="AL234" s="24" t="n">
        <v>368908375.5337878</v>
      </c>
      <c r="AM234" s="24" t="n">
        <v>3260092180.873513</v>
      </c>
      <c r="AN234" s="19" t="n">
        <v>2716743.484061262</v>
      </c>
      <c r="AO234" s="19" t="n">
        <v>1804600.650503225</v>
      </c>
      <c r="AP234" s="19" t="n">
        <v>88673393.07824893</v>
      </c>
      <c r="AQ234" s="24" t="n">
        <v>3344244229.817198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 t="n">
        <v>1666761603.168259</v>
      </c>
      <c r="J235" s="21" t="n">
        <v>1388968.002640216</v>
      </c>
      <c r="K235" s="21" t="n">
        <v>922623.9340586108</v>
      </c>
      <c r="L235" s="21" t="n">
        <v>17531278.80240257</v>
      </c>
      <c r="M235" s="25" t="n">
        <v>1681981290.033962</v>
      </c>
      <c r="N235" s="25" t="n">
        <v>204997003.9068387</v>
      </c>
      <c r="O235" s="21" t="n">
        <v>170830.8365890323</v>
      </c>
      <c r="P235" s="21" t="n">
        <v>113474.6215986971</v>
      </c>
      <c r="Q235" s="21" t="n">
        <v>2156192.956639163</v>
      </c>
      <c r="R235" s="25" t="n">
        <v>206868891.4052902</v>
      </c>
      <c r="S235" s="25" t="n">
        <v>515522307.1692501</v>
      </c>
      <c r="T235" s="21" t="n">
        <v>429601.9226410418</v>
      </c>
      <c r="U235" s="21" t="n">
        <v>285363.676623795</v>
      </c>
      <c r="V235" s="21" t="n">
        <v>5422350.310123856</v>
      </c>
      <c r="W235" s="25" t="n">
        <v>520229691.8801091</v>
      </c>
      <c r="X235" s="25" t="n">
        <v>476334284.3399008</v>
      </c>
      <c r="Y235" s="21" t="n">
        <v>396945.2369499173</v>
      </c>
      <c r="Z235" s="21" t="n">
        <v>263671.4275810607</v>
      </c>
      <c r="AA235" s="21" t="n">
        <v>5010164.096672378</v>
      </c>
      <c r="AB235" s="25" t="n">
        <v>480683831.7720422</v>
      </c>
      <c r="AC235" s="25" t="n">
        <v>111720655.6991615</v>
      </c>
      <c r="AD235" s="21" t="n">
        <v>93100.54641596795</v>
      </c>
      <c r="AE235" s="21" t="n">
        <v>61842.16787861922</v>
      </c>
      <c r="AF235" s="21" t="n">
        <v>1175096.642090996</v>
      </c>
      <c r="AG235" s="25" t="n">
        <v>112740809.6269579</v>
      </c>
      <c r="AH235" s="25" t="n">
        <v>368908375.5337878</v>
      </c>
      <c r="AI235" s="21" t="n">
        <v>307423.6462781565</v>
      </c>
      <c r="AJ235" s="21" t="n">
        <v>204206.5860499638</v>
      </c>
      <c r="AK235" s="21" t="n">
        <v>3880240.324549508</v>
      </c>
      <c r="AL235" s="25" t="n">
        <v>372276985.6260092</v>
      </c>
      <c r="AM235" s="25" t="n">
        <v>3344244229.817198</v>
      </c>
      <c r="AN235" s="21" t="n">
        <v>2786870.191514332</v>
      </c>
      <c r="AO235" s="21" t="n">
        <v>1851182.413790747</v>
      </c>
      <c r="AP235" s="21" t="n">
        <v>35175323.13247848</v>
      </c>
      <c r="AQ235" s="25" t="n">
        <v>3374781500.344371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 t="n">
        <v>1681981290.033962</v>
      </c>
      <c r="J236" s="19" t="n">
        <v>1401651.075028302</v>
      </c>
      <c r="K236" s="19" t="n">
        <v>931048.6825916247</v>
      </c>
      <c r="L236" s="19" t="n">
        <v>70951566.14377032</v>
      </c>
      <c r="M236" s="24" t="n">
        <v>1750600156.420113</v>
      </c>
      <c r="N236" s="24" t="n">
        <v>206868891.4052902</v>
      </c>
      <c r="O236" s="19" t="n">
        <v>172390.7428377418</v>
      </c>
      <c r="P236" s="19" t="n">
        <v>114510.7915012516</v>
      </c>
      <c r="Q236" s="19" t="n">
        <v>8726418.015823778</v>
      </c>
      <c r="R236" s="24" t="n">
        <v>215308407.886775</v>
      </c>
      <c r="S236" s="24" t="n">
        <v>520229691.8801091</v>
      </c>
      <c r="T236" s="19" t="n">
        <v>433524.7432334243</v>
      </c>
      <c r="U236" s="19" t="n">
        <v>287969.4156765812</v>
      </c>
      <c r="V236" s="19" t="n">
        <v>21945019.01542526</v>
      </c>
      <c r="W236" s="24" t="n">
        <v>541453216.7366244</v>
      </c>
      <c r="X236" s="24" t="n">
        <v>480683831.7720422</v>
      </c>
      <c r="Y236" s="19" t="n">
        <v>400569.8598100352</v>
      </c>
      <c r="Z236" s="19" t="n">
        <v>266079.0883740552</v>
      </c>
      <c r="AA236" s="19" t="n">
        <v>20276843.08160548</v>
      </c>
      <c r="AB236" s="24" t="n">
        <v>500294025.9054635</v>
      </c>
      <c r="AC236" s="24" t="n">
        <v>112740809.6269579</v>
      </c>
      <c r="AD236" s="19" t="n">
        <v>93950.67468913161</v>
      </c>
      <c r="AE236" s="19" t="n">
        <v>62406.8667704222</v>
      </c>
      <c r="AF236" s="19" t="n">
        <v>4755782.397072803</v>
      </c>
      <c r="AG236" s="24" t="n">
        <v>117340234.4825712</v>
      </c>
      <c r="AH236" s="24" t="n">
        <v>372276985.6260092</v>
      </c>
      <c r="AI236" s="19" t="n">
        <v>310230.8213550077</v>
      </c>
      <c r="AJ236" s="19" t="n">
        <v>206071.2560121751</v>
      </c>
      <c r="AK236" s="19" t="n">
        <v>15703881.68165288</v>
      </c>
      <c r="AL236" s="24" t="n">
        <v>387464565.2302949</v>
      </c>
      <c r="AM236" s="24" t="n">
        <v>3374781500.344371</v>
      </c>
      <c r="AN236" s="19" t="n">
        <v>2812317.916953643</v>
      </c>
      <c r="AO236" s="19" t="n">
        <v>1868086.10092611</v>
      </c>
      <c r="AP236" s="19" t="n">
        <v>142359510.3353505</v>
      </c>
      <c r="AQ236" s="24" t="n">
        <v>3512460606.661841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 t="n">
        <v>1750600156.420113</v>
      </c>
      <c r="J237" s="21" t="n">
        <v>1458833.463683427</v>
      </c>
      <c r="K237" s="21" t="n">
        <v>969032.164053815</v>
      </c>
      <c r="L237" s="21" t="n">
        <v>51633794.08418205</v>
      </c>
      <c r="M237" s="25" t="n">
        <v>1799806084.876557</v>
      </c>
      <c r="N237" s="25" t="n">
        <v>215308407.886775</v>
      </c>
      <c r="O237" s="21" t="n">
        <v>179423.6732389792</v>
      </c>
      <c r="P237" s="21" t="n">
        <v>119182.4253347279</v>
      </c>
      <c r="Q237" s="21" t="n">
        <v>6350502.115887445</v>
      </c>
      <c r="R237" s="25" t="n">
        <v>221360303.9040887</v>
      </c>
      <c r="S237" s="25" t="n">
        <v>541453216.7366244</v>
      </c>
      <c r="T237" s="21" t="n">
        <v>451211.013947187</v>
      </c>
      <c r="U237" s="21" t="n">
        <v>299717.5456793889</v>
      </c>
      <c r="V237" s="21" t="n">
        <v>15970113.90446124</v>
      </c>
      <c r="W237" s="25" t="n">
        <v>556672402.0814592</v>
      </c>
      <c r="X237" s="25" t="n">
        <v>500294025.9054635</v>
      </c>
      <c r="Y237" s="21" t="n">
        <v>416911.688254553</v>
      </c>
      <c r="Z237" s="21" t="n">
        <v>276934.1707233477</v>
      </c>
      <c r="AA237" s="21" t="n">
        <v>14756127.2746453</v>
      </c>
      <c r="AB237" s="25" t="n">
        <v>514356307.3211309</v>
      </c>
      <c r="AC237" s="25" t="n">
        <v>117340234.4825712</v>
      </c>
      <c r="AD237" s="21" t="n">
        <v>97783.52873547601</v>
      </c>
      <c r="AE237" s="21" t="n">
        <v>64952.84541945428</v>
      </c>
      <c r="AF237" s="21" t="n">
        <v>3460939.657090226</v>
      </c>
      <c r="AG237" s="25" t="n">
        <v>120638437.7655065</v>
      </c>
      <c r="AH237" s="25" t="n">
        <v>387464565.2302949</v>
      </c>
      <c r="AI237" s="21" t="n">
        <v>322887.1376919125</v>
      </c>
      <c r="AJ237" s="21" t="n">
        <v>214478.2318008535</v>
      </c>
      <c r="AK237" s="21" t="n">
        <v>11428232.48509812</v>
      </c>
      <c r="AL237" s="25" t="n">
        <v>398355432.3459003</v>
      </c>
      <c r="AM237" s="25" t="n">
        <v>3512460606.661841</v>
      </c>
      <c r="AN237" s="21" t="n">
        <v>2927050.505551535</v>
      </c>
      <c r="AO237" s="21" t="n">
        <v>1944297.383011587</v>
      </c>
      <c r="AP237" s="21" t="n">
        <v>103599709.5213644</v>
      </c>
      <c r="AQ237" s="25" t="n">
        <v>3611188968.294643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 t="n">
        <v>1799806084.876557</v>
      </c>
      <c r="J238" s="19" t="n">
        <v>1499838.404063798</v>
      </c>
      <c r="K238" s="19" t="n">
        <v>996269.7529238705</v>
      </c>
      <c r="L238" s="19" t="n">
        <v>38781609.0102224</v>
      </c>
      <c r="M238" s="24" t="n">
        <v>1836091585.729792</v>
      </c>
      <c r="N238" s="24" t="n">
        <v>221360303.9040887</v>
      </c>
      <c r="O238" s="19" t="n">
        <v>184466.9199200739</v>
      </c>
      <c r="P238" s="19" t="n">
        <v>122532.4089804958</v>
      </c>
      <c r="Q238" s="19" t="n">
        <v>4769796.495593674</v>
      </c>
      <c r="R238" s="24" t="n">
        <v>225823101.0707818</v>
      </c>
      <c r="S238" s="24" t="n">
        <v>556672402.0814592</v>
      </c>
      <c r="T238" s="19" t="n">
        <v>463893.668401216</v>
      </c>
      <c r="U238" s="19" t="n">
        <v>308142.0165991219</v>
      </c>
      <c r="V238" s="19" t="n">
        <v>11994987.47432291</v>
      </c>
      <c r="W238" s="24" t="n">
        <v>567895353.8707817</v>
      </c>
      <c r="X238" s="24" t="n">
        <v>514356307.3211309</v>
      </c>
      <c r="Y238" s="19" t="n">
        <v>428630.2561009425</v>
      </c>
      <c r="Z238" s="19" t="n">
        <v>284718.2457685734</v>
      </c>
      <c r="AA238" s="19" t="n">
        <v>11083174.66536292</v>
      </c>
      <c r="AB238" s="24" t="n">
        <v>524726133.4846244</v>
      </c>
      <c r="AC238" s="24" t="n">
        <v>120638437.7655065</v>
      </c>
      <c r="AD238" s="19" t="n">
        <v>100532.0314712554</v>
      </c>
      <c r="AE238" s="19" t="n">
        <v>66778.54219723132</v>
      </c>
      <c r="AF238" s="19" t="n">
        <v>2599476.001519801</v>
      </c>
      <c r="AG238" s="24" t="n">
        <v>123070603.1933578</v>
      </c>
      <c r="AH238" s="24" t="n">
        <v>398355432.3459003</v>
      </c>
      <c r="AI238" s="19" t="n">
        <v>331962.8602882503</v>
      </c>
      <c r="AJ238" s="19" t="n">
        <v>220506.7932006417</v>
      </c>
      <c r="AK238" s="19" t="n">
        <v>8583627.288601145</v>
      </c>
      <c r="AL238" s="24" t="n">
        <v>406386589.9810126</v>
      </c>
      <c r="AM238" s="24" t="n">
        <v>3611188968.294643</v>
      </c>
      <c r="AN238" s="19" t="n">
        <v>3009324.140245536</v>
      </c>
      <c r="AO238" s="19" t="n">
        <v>1998947.759669935</v>
      </c>
      <c r="AP238" s="19" t="n">
        <v>77812670.93562286</v>
      </c>
      <c r="AQ238" s="24" t="n">
        <v>3683993367.33035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 t="n">
        <v>1836091585.729792</v>
      </c>
      <c r="J239" s="21" t="n">
        <v>1530076.321441493</v>
      </c>
      <c r="K239" s="21" t="n">
        <v>1016355.331739019</v>
      </c>
      <c r="L239" s="21" t="n">
        <v>100611571.9536041</v>
      </c>
      <c r="M239" s="25" t="n">
        <v>1934156726.030216</v>
      </c>
      <c r="N239" s="25" t="n">
        <v>225823101.0707818</v>
      </c>
      <c r="O239" s="21" t="n">
        <v>188185.9175589848</v>
      </c>
      <c r="P239" s="21" t="n">
        <v>125002.7583520036</v>
      </c>
      <c r="Q239" s="21" t="n">
        <v>12374337.61951383</v>
      </c>
      <c r="R239" s="25" t="n">
        <v>237884250.0143846</v>
      </c>
      <c r="S239" s="25" t="n">
        <v>567895353.8707817</v>
      </c>
      <c r="T239" s="21" t="n">
        <v>473246.1282256514</v>
      </c>
      <c r="U239" s="21" t="n">
        <v>314354.4010888608</v>
      </c>
      <c r="V239" s="21" t="n">
        <v>31118733.23866761</v>
      </c>
      <c r="W239" s="25" t="n">
        <v>598226486.5801347</v>
      </c>
      <c r="X239" s="25" t="n">
        <v>524726133.4846244</v>
      </c>
      <c r="Y239" s="21" t="n">
        <v>437271.7779038537</v>
      </c>
      <c r="Z239" s="21" t="n">
        <v>290458.3886854008</v>
      </c>
      <c r="AA239" s="21" t="n">
        <v>28753206.83637951</v>
      </c>
      <c r="AB239" s="25" t="n">
        <v>552751610.1544147</v>
      </c>
      <c r="AC239" s="25" t="n">
        <v>123070603.1933578</v>
      </c>
      <c r="AD239" s="21" t="n">
        <v>102558.8359944649</v>
      </c>
      <c r="AE239" s="21" t="n">
        <v>68124.8499301789</v>
      </c>
      <c r="AF239" s="21" t="n">
        <v>6743850.33121339</v>
      </c>
      <c r="AG239" s="25" t="n">
        <v>129643769.8386466</v>
      </c>
      <c r="AH239" s="25" t="n">
        <v>406386589.9810126</v>
      </c>
      <c r="AI239" s="21" t="n">
        <v>338655.4916508438</v>
      </c>
      <c r="AJ239" s="21" t="n">
        <v>224952.3829228116</v>
      </c>
      <c r="AK239" s="21" t="n">
        <v>22268602.47965408</v>
      </c>
      <c r="AL239" s="25" t="n">
        <v>428091584.586093</v>
      </c>
      <c r="AM239" s="25" t="n">
        <v>3683993367.33035</v>
      </c>
      <c r="AN239" s="21" t="n">
        <v>3069994.472775292</v>
      </c>
      <c r="AO239" s="21" t="n">
        <v>2039248.112718274</v>
      </c>
      <c r="AP239" s="21" t="n">
        <v>201870302.4590325</v>
      </c>
      <c r="AQ239" s="25" t="n">
        <v>3880754427.203889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 t="n">
        <v>1934156726.030216</v>
      </c>
      <c r="J240" s="19" t="n">
        <v>1611797.271691847</v>
      </c>
      <c r="K240" s="19" t="n">
        <v>1070638.586984402</v>
      </c>
      <c r="L240" s="19" t="n">
        <v>108871788.7300089</v>
      </c>
      <c r="M240" s="24" t="n">
        <v>2040346078.901548</v>
      </c>
      <c r="N240" s="24" t="n">
        <v>237884250.0143846</v>
      </c>
      <c r="O240" s="19" t="n">
        <v>198236.8750119872</v>
      </c>
      <c r="P240" s="19" t="n">
        <v>131679.1208662716</v>
      </c>
      <c r="Q240" s="19" t="n">
        <v>13390271.56445548</v>
      </c>
      <c r="R240" s="24" t="n">
        <v>250944605.5829619</v>
      </c>
      <c r="S240" s="24" t="n">
        <v>598226486.5801347</v>
      </c>
      <c r="T240" s="19" t="n">
        <v>498522.0721501123</v>
      </c>
      <c r="U240" s="19" t="n">
        <v>331143.9821132637</v>
      </c>
      <c r="V240" s="19" t="n">
        <v>33673583.31572478</v>
      </c>
      <c r="W240" s="24" t="n">
        <v>631070403.8415961</v>
      </c>
      <c r="X240" s="24" t="n">
        <v>552751610.1544147</v>
      </c>
      <c r="Y240" s="19" t="n">
        <v>460626.3417953456</v>
      </c>
      <c r="Z240" s="19" t="n">
        <v>305971.6903416182</v>
      </c>
      <c r="AA240" s="19" t="n">
        <v>31113847.03783491</v>
      </c>
      <c r="AB240" s="24" t="n">
        <v>583098859.1601126</v>
      </c>
      <c r="AC240" s="24" t="n">
        <v>129643769.8386466</v>
      </c>
      <c r="AD240" s="19" t="n">
        <v>108036.4748655388</v>
      </c>
      <c r="AE240" s="19" t="n">
        <v>71763.37919433482</v>
      </c>
      <c r="AF240" s="19" t="n">
        <v>7297520.893771941</v>
      </c>
      <c r="AG240" s="24" t="n">
        <v>136761490.8783586</v>
      </c>
      <c r="AH240" s="24" t="n">
        <v>428091584.586093</v>
      </c>
      <c r="AI240" s="19" t="n">
        <v>356742.9871550775</v>
      </c>
      <c r="AJ240" s="19" t="n">
        <v>236967.0270525988</v>
      </c>
      <c r="AK240" s="19" t="n">
        <v>24096856.23036928</v>
      </c>
      <c r="AL240" s="24" t="n">
        <v>451594730.8022546</v>
      </c>
      <c r="AM240" s="24" t="n">
        <v>3880754427.203889</v>
      </c>
      <c r="AN240" s="19" t="n">
        <v>3233962.022669909</v>
      </c>
      <c r="AO240" s="19" t="n">
        <v>2148163.786552489</v>
      </c>
      <c r="AP240" s="19" t="n">
        <v>218443867.7721653</v>
      </c>
      <c r="AQ240" s="24" t="n">
        <v>4093816169.166833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 t="n">
        <v>2040346078.901548</v>
      </c>
      <c r="J241" s="21" t="n">
        <v>1700288.399084624</v>
      </c>
      <c r="K241" s="21" t="n">
        <v>1129418.941844422</v>
      </c>
      <c r="L241" s="21" t="n">
        <v>87304310.81494832</v>
      </c>
      <c r="M241" s="25" t="n">
        <v>2124820682.375568</v>
      </c>
      <c r="N241" s="25" t="n">
        <v>250944605.5829619</v>
      </c>
      <c r="O241" s="21" t="n">
        <v>209120.5046524682</v>
      </c>
      <c r="P241" s="21" t="n">
        <v>138908.5870430662</v>
      </c>
      <c r="Q241" s="21" t="n">
        <v>10737661.64951012</v>
      </c>
      <c r="R241" s="25" t="n">
        <v>261334238.1407764</v>
      </c>
      <c r="S241" s="25" t="n">
        <v>631070403.8415961</v>
      </c>
      <c r="T241" s="21" t="n">
        <v>525892.0032013302</v>
      </c>
      <c r="U241" s="21" t="n">
        <v>349324.4970087739</v>
      </c>
      <c r="V241" s="21" t="n">
        <v>27002853.70840764</v>
      </c>
      <c r="W241" s="25" t="n">
        <v>657198041.0497936</v>
      </c>
      <c r="X241" s="25" t="n">
        <v>583098859.1601126</v>
      </c>
      <c r="Y241" s="21" t="n">
        <v>485915.7159667605</v>
      </c>
      <c r="Z241" s="21" t="n">
        <v>322770.1924263023</v>
      </c>
      <c r="AA241" s="21" t="n">
        <v>24950200.63623855</v>
      </c>
      <c r="AB241" s="25" t="n">
        <v>607240373.8879582</v>
      </c>
      <c r="AC241" s="25" t="n">
        <v>136761490.8783586</v>
      </c>
      <c r="AD241" s="21" t="n">
        <v>113967.9090652989</v>
      </c>
      <c r="AE241" s="21" t="n">
        <v>75703.34263884186</v>
      </c>
      <c r="AF241" s="21" t="n">
        <v>5851883.575353036</v>
      </c>
      <c r="AG241" s="25" t="n">
        <v>142423703.2020075</v>
      </c>
      <c r="AH241" s="25" t="n">
        <v>451594730.8022546</v>
      </c>
      <c r="AI241" s="21" t="n">
        <v>376328.9423352122</v>
      </c>
      <c r="AJ241" s="21" t="n">
        <v>249977.0251132037</v>
      </c>
      <c r="AK241" s="21" t="n">
        <v>19323274.19747273</v>
      </c>
      <c r="AL241" s="25" t="n">
        <v>470291699.032279</v>
      </c>
      <c r="AM241" s="25" t="n">
        <v>4093816169.166833</v>
      </c>
      <c r="AN241" s="21" t="n">
        <v>3411513.474305694</v>
      </c>
      <c r="AO241" s="21" t="n">
        <v>2266102.58607461</v>
      </c>
      <c r="AP241" s="21" t="n">
        <v>175170184.5819304</v>
      </c>
      <c r="AQ241" s="25" t="n">
        <v>4263308737.688382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 t="n">
        <v>2124820682.375568</v>
      </c>
      <c r="J242" s="19" t="n">
        <v>1770683.90197964</v>
      </c>
      <c r="K242" s="19" t="n">
        <v>1176179.252879361</v>
      </c>
      <c r="L242" s="19" t="n">
        <v>94522855.98263152</v>
      </c>
      <c r="M242" s="24" t="n">
        <v>2216396675.20334</v>
      </c>
      <c r="N242" s="24" t="n">
        <v>261334238.1407764</v>
      </c>
      <c r="O242" s="19" t="n">
        <v>217778.5317839804</v>
      </c>
      <c r="P242" s="19" t="n">
        <v>144659.69364745</v>
      </c>
      <c r="Q242" s="19" t="n">
        <v>11625479.15690195</v>
      </c>
      <c r="R242" s="24" t="n">
        <v>272597279.072247</v>
      </c>
      <c r="S242" s="24" t="n">
        <v>657198041.0497936</v>
      </c>
      <c r="T242" s="19" t="n">
        <v>547665.0342081614</v>
      </c>
      <c r="U242" s="19" t="n">
        <v>363787.2632393264</v>
      </c>
      <c r="V242" s="19" t="n">
        <v>29235519.1670886</v>
      </c>
      <c r="W242" s="24" t="n">
        <v>685522107.9194347</v>
      </c>
      <c r="X242" s="24" t="n">
        <v>607240373.8879582</v>
      </c>
      <c r="Y242" s="19" t="n">
        <v>506033.6449066318</v>
      </c>
      <c r="Z242" s="19" t="n">
        <v>336133.5547991816</v>
      </c>
      <c r="AA242" s="19" t="n">
        <v>27013147.45472038</v>
      </c>
      <c r="AB242" s="24" t="n">
        <v>633411354.1429727</v>
      </c>
      <c r="AC242" s="24" t="n">
        <v>142423703.2020075</v>
      </c>
      <c r="AD242" s="19" t="n">
        <v>118686.4193350063</v>
      </c>
      <c r="AE242" s="19" t="n">
        <v>78837.61967017608</v>
      </c>
      <c r="AF242" s="19" t="n">
        <v>6335732.374002238</v>
      </c>
      <c r="AG242" s="24" t="n">
        <v>148561911.5370046</v>
      </c>
      <c r="AH242" s="24" t="n">
        <v>470291699.032279</v>
      </c>
      <c r="AI242" s="19" t="n">
        <v>391909.7491935658</v>
      </c>
      <c r="AJ242" s="19" t="n">
        <v>260326.597811881</v>
      </c>
      <c r="AK242" s="19" t="n">
        <v>20920972.25247074</v>
      </c>
      <c r="AL242" s="24" t="n">
        <v>490560434.9377443</v>
      </c>
      <c r="AM242" s="24" t="n">
        <v>4263308737.688382</v>
      </c>
      <c r="AN242" s="19" t="n">
        <v>3552757.281406986</v>
      </c>
      <c r="AO242" s="19" t="n">
        <v>2359923.982047376</v>
      </c>
      <c r="AP242" s="19" t="n">
        <v>189653706.3878154</v>
      </c>
      <c r="AQ242" s="24" t="n">
        <v>4447049762.812743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 t="n">
        <v>2216396675.20334</v>
      </c>
      <c r="J243" s="21" t="n">
        <v>1846997.229336117</v>
      </c>
      <c r="K243" s="21" t="n">
        <v>1226870.487071149</v>
      </c>
      <c r="L243" s="21" t="n">
        <v>89725818.64552584</v>
      </c>
      <c r="M243" s="25" t="n">
        <v>2303048626.132459</v>
      </c>
      <c r="N243" s="25" t="n">
        <v>272597279.072247</v>
      </c>
      <c r="O243" s="21" t="n">
        <v>227164.3992268725</v>
      </c>
      <c r="P243" s="21" t="n">
        <v>150894.2691943691</v>
      </c>
      <c r="Q243" s="21" t="n">
        <v>11035485.79500386</v>
      </c>
      <c r="R243" s="25" t="n">
        <v>283254706.1988296</v>
      </c>
      <c r="S243" s="25" t="n">
        <v>685522107.9194347</v>
      </c>
      <c r="T243" s="21" t="n">
        <v>571268.4232661956</v>
      </c>
      <c r="U243" s="21" t="n">
        <v>379465.847359655</v>
      </c>
      <c r="V243" s="21" t="n">
        <v>27751815.82829019</v>
      </c>
      <c r="W243" s="25" t="n">
        <v>712323189.4770991</v>
      </c>
      <c r="X243" s="25" t="n">
        <v>633411354.1429727</v>
      </c>
      <c r="Y243" s="21" t="n">
        <v>527842.7951191439</v>
      </c>
      <c r="Z243" s="21" t="n">
        <v>350620.3132625119</v>
      </c>
      <c r="AA243" s="21" t="n">
        <v>25642229.53665784</v>
      </c>
      <c r="AB243" s="25" t="n">
        <v>658175120.5712489</v>
      </c>
      <c r="AC243" s="25" t="n">
        <v>148561911.5370046</v>
      </c>
      <c r="AD243" s="21" t="n">
        <v>123801.5929475038</v>
      </c>
      <c r="AE243" s="21" t="n">
        <v>82235.38088050234</v>
      </c>
      <c r="AF243" s="21" t="n">
        <v>6014193.795422021</v>
      </c>
      <c r="AG243" s="25" t="n">
        <v>154370068.3585986</v>
      </c>
      <c r="AH243" s="25" t="n">
        <v>490560434.9377443</v>
      </c>
      <c r="AI243" s="21" t="n">
        <v>408800.3624481203</v>
      </c>
      <c r="AJ243" s="21" t="n">
        <v>271546.2112370696</v>
      </c>
      <c r="AK243" s="21" t="n">
        <v>19859232.38034823</v>
      </c>
      <c r="AL243" s="25" t="n">
        <v>509739320.7444073</v>
      </c>
      <c r="AM243" s="25" t="n">
        <v>4447049762.812743</v>
      </c>
      <c r="AN243" s="21" t="n">
        <v>3705874.802343953</v>
      </c>
      <c r="AO243" s="21" t="n">
        <v>2461632.509005257</v>
      </c>
      <c r="AP243" s="21" t="n">
        <v>180028775.981248</v>
      </c>
      <c r="AQ243" s="25" t="n">
        <v>4620911031.482642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 t="n">
        <v>2303048626.132459</v>
      </c>
      <c r="J244" s="19" t="n">
        <v>1919207.188443716</v>
      </c>
      <c r="K244" s="19" t="n">
        <v>1274836.05317737</v>
      </c>
      <c r="L244" s="19" t="n">
        <v>75762860.44161232</v>
      </c>
      <c r="M244" s="24" t="n">
        <v>2375617443.33245</v>
      </c>
      <c r="N244" s="24" t="n">
        <v>283254706.1988296</v>
      </c>
      <c r="O244" s="19" t="n">
        <v>236045.5884990247</v>
      </c>
      <c r="P244" s="19" t="n">
        <v>156793.6115620959</v>
      </c>
      <c r="Q244" s="19" t="n">
        <v>9318164.858381741</v>
      </c>
      <c r="R244" s="24" t="n">
        <v>292180031.8571503</v>
      </c>
      <c r="S244" s="24" t="n">
        <v>712323189.4770991</v>
      </c>
      <c r="T244" s="19" t="n">
        <v>593602.6578975826</v>
      </c>
      <c r="U244" s="19" t="n">
        <v>394301.3938809782</v>
      </c>
      <c r="V244" s="19" t="n">
        <v>23433131.97181869</v>
      </c>
      <c r="W244" s="24" t="n">
        <v>734768417.3971392</v>
      </c>
      <c r="X244" s="24" t="n">
        <v>658175120.5712489</v>
      </c>
      <c r="Y244" s="19" t="n">
        <v>548479.2671427075</v>
      </c>
      <c r="Z244" s="19" t="n">
        <v>364328.1186023607</v>
      </c>
      <c r="AA244" s="19" t="n">
        <v>21651835.41509511</v>
      </c>
      <c r="AB244" s="24" t="n">
        <v>678914148.6005989</v>
      </c>
      <c r="AC244" s="24" t="n">
        <v>154370068.3585986</v>
      </c>
      <c r="AD244" s="19" t="n">
        <v>128641.7236321655</v>
      </c>
      <c r="AE244" s="19" t="n">
        <v>85450.44444219123</v>
      </c>
      <c r="AF244" s="19" t="n">
        <v>5078276.599419918</v>
      </c>
      <c r="AG244" s="24" t="n">
        <v>159234252.7899441</v>
      </c>
      <c r="AH244" s="24" t="n">
        <v>509739320.7444073</v>
      </c>
      <c r="AI244" s="19" t="n">
        <v>424782.7672870061</v>
      </c>
      <c r="AJ244" s="19" t="n">
        <v>282162.5459547455</v>
      </c>
      <c r="AK244" s="19" t="n">
        <v>16768777.08136572</v>
      </c>
      <c r="AL244" s="24" t="n">
        <v>525801152.5125312</v>
      </c>
      <c r="AM244" s="24" t="n">
        <v>4620911031.482642</v>
      </c>
      <c r="AN244" s="19" t="n">
        <v>3850759.192902202</v>
      </c>
      <c r="AO244" s="19" t="n">
        <v>2557872.167619741</v>
      </c>
      <c r="AP244" s="19" t="n">
        <v>152013046.3676935</v>
      </c>
      <c r="AQ244" s="24" t="n">
        <v>4766515446.489813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 t="n">
        <v>2375617443.33245</v>
      </c>
      <c r="J245" s="21" t="n">
        <v>1979681.202777042</v>
      </c>
      <c r="K245" s="21" t="n">
        <v>1315006.001589768</v>
      </c>
      <c r="L245" s="21" t="n">
        <v>113493010.8524818</v>
      </c>
      <c r="M245" s="25" t="n">
        <v>2485815766.980565</v>
      </c>
      <c r="N245" s="25" t="n">
        <v>292180031.8571503</v>
      </c>
      <c r="O245" s="21" t="n">
        <v>243483.3598809586</v>
      </c>
      <c r="P245" s="21" t="n">
        <v>161734.1615819554</v>
      </c>
      <c r="Q245" s="21" t="n">
        <v>13958641.20273741</v>
      </c>
      <c r="R245" s="25" t="n">
        <v>305733455.5384247</v>
      </c>
      <c r="S245" s="25" t="n">
        <v>734768417.3971392</v>
      </c>
      <c r="T245" s="21" t="n">
        <v>612307.014497616</v>
      </c>
      <c r="U245" s="21" t="n">
        <v>406725.7888544801</v>
      </c>
      <c r="V245" s="21" t="n">
        <v>35102907.75299904</v>
      </c>
      <c r="W245" s="25" t="n">
        <v>768852292.3467861</v>
      </c>
      <c r="X245" s="25" t="n">
        <v>678914148.6005989</v>
      </c>
      <c r="Y245" s="21" t="n">
        <v>565761.7905004992</v>
      </c>
      <c r="Z245" s="21" t="n">
        <v>375808.0588605351</v>
      </c>
      <c r="AA245" s="21" t="n">
        <v>32434519.72929817</v>
      </c>
      <c r="AB245" s="25" t="n">
        <v>710407098.480536</v>
      </c>
      <c r="AC245" s="25" t="n">
        <v>159234252.7899441</v>
      </c>
      <c r="AD245" s="21" t="n">
        <v>132695.2106582868</v>
      </c>
      <c r="AE245" s="21" t="n">
        <v>88142.97885593346</v>
      </c>
      <c r="AF245" s="21" t="n">
        <v>7607274.828991449</v>
      </c>
      <c r="AG245" s="25" t="n">
        <v>166620689.4294214</v>
      </c>
      <c r="AH245" s="25" t="n">
        <v>525801152.5125312</v>
      </c>
      <c r="AI245" s="21" t="n">
        <v>438167.6270937761</v>
      </c>
      <c r="AJ245" s="21" t="n">
        <v>291053.4577599643</v>
      </c>
      <c r="AK245" s="21" t="n">
        <v>25119682.49595022</v>
      </c>
      <c r="AL245" s="25" t="n">
        <v>550191613.9236276</v>
      </c>
      <c r="AM245" s="25" t="n">
        <v>4766515446.489813</v>
      </c>
      <c r="AN245" s="21" t="n">
        <v>3972096.205408178</v>
      </c>
      <c r="AO245" s="21" t="n">
        <v>2638470.447502637</v>
      </c>
      <c r="AP245" s="21" t="n">
        <v>227716036.8624581</v>
      </c>
      <c r="AQ245" s="25" t="n">
        <v>4987620916.699361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 t="n">
        <v>2485815766.980565</v>
      </c>
      <c r="J246" s="19" t="n">
        <v>2071513.139150471</v>
      </c>
      <c r="K246" s="19" t="n">
        <v>1376005.493477286</v>
      </c>
      <c r="L246" s="19" t="n">
        <v>114105982.619072</v>
      </c>
      <c r="M246" s="24" t="n">
        <v>2596474230.967009</v>
      </c>
      <c r="N246" s="24" t="n">
        <v>305733455.5384247</v>
      </c>
      <c r="O246" s="19" t="n">
        <v>254777.8796153539</v>
      </c>
      <c r="P246" s="19" t="n">
        <v>169236.5620770298</v>
      </c>
      <c r="Q246" s="19" t="n">
        <v>14034031.33375051</v>
      </c>
      <c r="R246" s="24" t="n">
        <v>319343472.4304828</v>
      </c>
      <c r="S246" s="24" t="n">
        <v>768852292.3467861</v>
      </c>
      <c r="T246" s="19" t="n">
        <v>640710.2436223219</v>
      </c>
      <c r="U246" s="19" t="n">
        <v>425592.6734372722</v>
      </c>
      <c r="V246" s="19" t="n">
        <v>35292497.3252219</v>
      </c>
      <c r="W246" s="24" t="n">
        <v>803078486.7549485</v>
      </c>
      <c r="X246" s="24" t="n">
        <v>710407098.480536</v>
      </c>
      <c r="Y246" s="19" t="n">
        <v>592005.9154004467</v>
      </c>
      <c r="Z246" s="19" t="n">
        <v>393240.7554490016</v>
      </c>
      <c r="AA246" s="19" t="n">
        <v>32609697.43149881</v>
      </c>
      <c r="AB246" s="24" t="n">
        <v>742031549.2411852</v>
      </c>
      <c r="AC246" s="24" t="n">
        <v>166620689.4294214</v>
      </c>
      <c r="AD246" s="19" t="n">
        <v>138850.5745245178</v>
      </c>
      <c r="AE246" s="19" t="n">
        <v>92231.68789388769</v>
      </c>
      <c r="AF246" s="19" t="n">
        <v>7648361.453232341</v>
      </c>
      <c r="AG246" s="24" t="n">
        <v>174037968.6202353</v>
      </c>
      <c r="AH246" s="24" t="n">
        <v>550191613.9236276</v>
      </c>
      <c r="AI246" s="19" t="n">
        <v>458493.011603023</v>
      </c>
      <c r="AJ246" s="19" t="n">
        <v>304554.6227843057</v>
      </c>
      <c r="AK246" s="19" t="n">
        <v>25255353.01909582</v>
      </c>
      <c r="AL246" s="24" t="n">
        <v>574683919.3083361</v>
      </c>
      <c r="AM246" s="24" t="n">
        <v>4987620916.699361</v>
      </c>
      <c r="AN246" s="19" t="n">
        <v>4156350.763916134</v>
      </c>
      <c r="AO246" s="19" t="n">
        <v>2760861.795118783</v>
      </c>
      <c r="AP246" s="19" t="n">
        <v>228945923.1818714</v>
      </c>
      <c r="AQ246" s="24" t="n">
        <v>5209649627.322197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 t="n">
        <v>2596474230.967009</v>
      </c>
      <c r="J247" s="21" t="n">
        <v>2163728.525805841</v>
      </c>
      <c r="K247" s="21" t="n">
        <v>1437259.692749687</v>
      </c>
      <c r="L247" s="21" t="n">
        <v>56170097.45103224</v>
      </c>
      <c r="M247" s="25" t="n">
        <v>2649043340.199486</v>
      </c>
      <c r="N247" s="25" t="n">
        <v>319343472.4304828</v>
      </c>
      <c r="O247" s="21" t="n">
        <v>266119.5603587357</v>
      </c>
      <c r="P247" s="21" t="n">
        <v>176770.2893381366</v>
      </c>
      <c r="Q247" s="21" t="n">
        <v>6908427.494807346</v>
      </c>
      <c r="R247" s="25" t="n">
        <v>325809010.0755933</v>
      </c>
      <c r="S247" s="25" t="n">
        <v>803078486.7549485</v>
      </c>
      <c r="T247" s="21" t="n">
        <v>669232.0722957904</v>
      </c>
      <c r="U247" s="21" t="n">
        <v>444538.3379358356</v>
      </c>
      <c r="V247" s="21" t="n">
        <v>17373173.33014815</v>
      </c>
      <c r="W247" s="25" t="n">
        <v>819337889.674865</v>
      </c>
      <c r="X247" s="25" t="n">
        <v>742031549.2411852</v>
      </c>
      <c r="Y247" s="21" t="n">
        <v>618359.6243676543</v>
      </c>
      <c r="Z247" s="21" t="n">
        <v>410746.2434070701</v>
      </c>
      <c r="AA247" s="21" t="n">
        <v>16052531.51967345</v>
      </c>
      <c r="AB247" s="25" t="n">
        <v>757054974.8930839</v>
      </c>
      <c r="AC247" s="25" t="n">
        <v>174037968.6202353</v>
      </c>
      <c r="AD247" s="21" t="n">
        <v>145031.6405168628</v>
      </c>
      <c r="AE247" s="21" t="n">
        <v>96337.4696049804</v>
      </c>
      <c r="AF247" s="21" t="n">
        <v>3765001.60910032</v>
      </c>
      <c r="AG247" s="25" t="n">
        <v>177561601.1192138</v>
      </c>
      <c r="AH247" s="25" t="n">
        <v>574683919.3083361</v>
      </c>
      <c r="AI247" s="21" t="n">
        <v>478903.2660902801</v>
      </c>
      <c r="AJ247" s="21" t="n">
        <v>318112.1628099764</v>
      </c>
      <c r="AK247" s="21" t="n">
        <v>12432263.47718008</v>
      </c>
      <c r="AL247" s="25" t="n">
        <v>586319167.356616</v>
      </c>
      <c r="AM247" s="25" t="n">
        <v>5209649627.322197</v>
      </c>
      <c r="AN247" s="21" t="n">
        <v>4341374.689435164</v>
      </c>
      <c r="AO247" s="21" t="n">
        <v>2883764.195845686</v>
      </c>
      <c r="AP247" s="21" t="n">
        <v>112701494.8819416</v>
      </c>
      <c r="AQ247" s="25" t="n">
        <v>5315125983.318858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 t="n">
        <v>2649043340.199486</v>
      </c>
      <c r="J248" s="19" t="n">
        <v>2207536.116832905</v>
      </c>
      <c r="K248" s="19" t="n">
        <v>1466358.946222908</v>
      </c>
      <c r="L248" s="19" t="n">
        <v>130249588.9070566</v>
      </c>
      <c r="M248" s="24" t="n">
        <v>2775619034.043487</v>
      </c>
      <c r="N248" s="24" t="n">
        <v>325809010.0755933</v>
      </c>
      <c r="O248" s="19" t="n">
        <v>271507.5083963278</v>
      </c>
      <c r="P248" s="19" t="n">
        <v>180349.2413409886</v>
      </c>
      <c r="Q248" s="19" t="n">
        <v>16019552.78744718</v>
      </c>
      <c r="R248" s="24" t="n">
        <v>341376706.1133031</v>
      </c>
      <c r="S248" s="24" t="n">
        <v>819337889.674865</v>
      </c>
      <c r="T248" s="19" t="n">
        <v>682781.5747290542</v>
      </c>
      <c r="U248" s="19" t="n">
        <v>453538.6138354617</v>
      </c>
      <c r="V248" s="19" t="n">
        <v>40285646.40172704</v>
      </c>
      <c r="W248" s="24" t="n">
        <v>858487215.8880275</v>
      </c>
      <c r="X248" s="24" t="n">
        <v>757054974.8930839</v>
      </c>
      <c r="Y248" s="19" t="n">
        <v>630879.1457442367</v>
      </c>
      <c r="Z248" s="19" t="n">
        <v>419062.352952457</v>
      </c>
      <c r="AA248" s="19" t="n">
        <v>37223286.52140538</v>
      </c>
      <c r="AB248" s="24" t="n">
        <v>793228319.9157926</v>
      </c>
      <c r="AC248" s="24" t="n">
        <v>177561601.1192138</v>
      </c>
      <c r="AD248" s="19" t="n">
        <v>147968.0009326781</v>
      </c>
      <c r="AE248" s="19" t="n">
        <v>98287.95110887675</v>
      </c>
      <c r="AF248" s="19" t="n">
        <v>8730444.383637281</v>
      </c>
      <c r="AG248" s="24" t="n">
        <v>186045789.5508095</v>
      </c>
      <c r="AH248" s="24" t="n">
        <v>586319167.356616</v>
      </c>
      <c r="AI248" s="19" t="n">
        <v>488599.3061305134</v>
      </c>
      <c r="AJ248" s="19" t="n">
        <v>324552.7709375251</v>
      </c>
      <c r="AK248" s="19" t="n">
        <v>28828456.43090764</v>
      </c>
      <c r="AL248" s="24" t="n">
        <v>614334471.7104555</v>
      </c>
      <c r="AM248" s="24" t="n">
        <v>5315125983.318858</v>
      </c>
      <c r="AN248" s="19" t="n">
        <v>4429271.652765715</v>
      </c>
      <c r="AO248" s="19" t="n">
        <v>2942149.876398217</v>
      </c>
      <c r="AP248" s="19" t="n">
        <v>261336975.4321811</v>
      </c>
      <c r="AQ248" s="24" t="n">
        <v>5569091537.221876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 t="n">
        <v>2775619034.043487</v>
      </c>
      <c r="J249" s="21" t="n">
        <v>2313015.861702906</v>
      </c>
      <c r="K249" s="21" t="n">
        <v>1536424.01394979</v>
      </c>
      <c r="L249" s="21" t="n">
        <v>152133013.5033464</v>
      </c>
      <c r="M249" s="25" t="n">
        <v>2923902607.67118</v>
      </c>
      <c r="N249" s="25" t="n">
        <v>341376706.1133031</v>
      </c>
      <c r="O249" s="21" t="n">
        <v>284480.5884277526</v>
      </c>
      <c r="P249" s="21" t="n">
        <v>188966.6278557958</v>
      </c>
      <c r="Q249" s="21" t="n">
        <v>18711021.36275715</v>
      </c>
      <c r="R249" s="25" t="n">
        <v>359614280.2597767</v>
      </c>
      <c r="S249" s="25" t="n">
        <v>858487215.8880275</v>
      </c>
      <c r="T249" s="21" t="n">
        <v>715406.0132400231</v>
      </c>
      <c r="U249" s="21" t="n">
        <v>475209.4426437767</v>
      </c>
      <c r="V249" s="21" t="n">
        <v>47054096.97990179</v>
      </c>
      <c r="W249" s="25" t="n">
        <v>904350697.4120456</v>
      </c>
      <c r="X249" s="25" t="n">
        <v>793228319.9157926</v>
      </c>
      <c r="Y249" s="21" t="n">
        <v>661023.5999298271</v>
      </c>
      <c r="Z249" s="21" t="n">
        <v>439085.8487118214</v>
      </c>
      <c r="AA249" s="21" t="n">
        <v>43477225.52153941</v>
      </c>
      <c r="AB249" s="25" t="n">
        <v>835605435.9886904</v>
      </c>
      <c r="AC249" s="25" t="n">
        <v>186045789.5508095</v>
      </c>
      <c r="AD249" s="21" t="n">
        <v>155038.1579590079</v>
      </c>
      <c r="AE249" s="21" t="n">
        <v>102984.3127800204</v>
      </c>
      <c r="AF249" s="21" t="n">
        <v>10197259.15798378</v>
      </c>
      <c r="AG249" s="25" t="n">
        <v>195985026.2380542</v>
      </c>
      <c r="AH249" s="25" t="n">
        <v>614334471.7104555</v>
      </c>
      <c r="AI249" s="21" t="n">
        <v>511945.3930920463</v>
      </c>
      <c r="AJ249" s="21" t="n">
        <v>340060.4417811878</v>
      </c>
      <c r="AK249" s="21" t="n">
        <v>33671967.70665812</v>
      </c>
      <c r="AL249" s="25" t="n">
        <v>647154433.5822405</v>
      </c>
      <c r="AM249" s="25" t="n">
        <v>5569091537.221876</v>
      </c>
      <c r="AN249" s="21" t="n">
        <v>4640909.614351563</v>
      </c>
      <c r="AO249" s="21" t="n">
        <v>3082730.687722391</v>
      </c>
      <c r="AP249" s="21" t="n">
        <v>305244584.2321867</v>
      </c>
      <c r="AQ249" s="25" t="n">
        <v>5866612481.151987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 t="n">
        <v>2923902607.67118</v>
      </c>
      <c r="J250" s="19" t="n">
        <v>2436585.50639265</v>
      </c>
      <c r="K250" s="19" t="n">
        <v>1618505.322876392</v>
      </c>
      <c r="L250" s="19" t="n">
        <v>79202832.27399734</v>
      </c>
      <c r="M250" s="24" t="n">
        <v>2999050349.115909</v>
      </c>
      <c r="N250" s="24" t="n">
        <v>359614280.2597767</v>
      </c>
      <c r="O250" s="19" t="n">
        <v>299678.5668831473</v>
      </c>
      <c r="P250" s="19" t="n">
        <v>199061.9062535706</v>
      </c>
      <c r="Q250" s="19" t="n">
        <v>9741251.110082282</v>
      </c>
      <c r="R250" s="24" t="n">
        <v>368856790.8967223</v>
      </c>
      <c r="S250" s="24" t="n">
        <v>904350697.4120456</v>
      </c>
      <c r="T250" s="19" t="n">
        <v>753625.5811767047</v>
      </c>
      <c r="U250" s="19" t="n">
        <v>500596.8439811245</v>
      </c>
      <c r="V250" s="19" t="n">
        <v>24497100.69551465</v>
      </c>
      <c r="W250" s="24" t="n">
        <v>927593575.6824024</v>
      </c>
      <c r="X250" s="24" t="n">
        <v>835605435.9886904</v>
      </c>
      <c r="Y250" s="19" t="n">
        <v>696337.8633239086</v>
      </c>
      <c r="Z250" s="19" t="n">
        <v>462543.3974523945</v>
      </c>
      <c r="AA250" s="19" t="n">
        <v>22634925.32898191</v>
      </c>
      <c r="AB250" s="24" t="n">
        <v>857081480.056896</v>
      </c>
      <c r="AC250" s="24" t="n">
        <v>195985026.2380542</v>
      </c>
      <c r="AD250" s="19" t="n">
        <v>163320.8551983786</v>
      </c>
      <c r="AE250" s="19" t="n">
        <v>108486.1059797764</v>
      </c>
      <c r="AF250" s="19" t="n">
        <v>5308853.010569643</v>
      </c>
      <c r="AG250" s="24" t="n">
        <v>201022072.2874457</v>
      </c>
      <c r="AH250" s="24" t="n">
        <v>647154433.5822405</v>
      </c>
      <c r="AI250" s="19" t="n">
        <v>539295.3613185338</v>
      </c>
      <c r="AJ250" s="19" t="n">
        <v>358227.6963425127</v>
      </c>
      <c r="AK250" s="19" t="n">
        <v>17530154.36420863</v>
      </c>
      <c r="AL250" s="24" t="n">
        <v>663787064.888788</v>
      </c>
      <c r="AM250" s="24" t="n">
        <v>5866612481.151987</v>
      </c>
      <c r="AN250" s="19" t="n">
        <v>4888843.734293323</v>
      </c>
      <c r="AO250" s="19" t="n">
        <v>3247421.272885771</v>
      </c>
      <c r="AP250" s="19" t="n">
        <v>158915116.7833545</v>
      </c>
      <c r="AQ250" s="24" t="n">
        <v>6017391332.928164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 t="n">
        <v>2999050349.115909</v>
      </c>
      <c r="J251" s="21" t="n">
        <v>2499208.624263257</v>
      </c>
      <c r="K251" s="21" t="n">
        <v>1660102.816312504</v>
      </c>
      <c r="L251" s="21" t="n">
        <v>61065069.22247484</v>
      </c>
      <c r="M251" s="25" t="n">
        <v>3055956106.897808</v>
      </c>
      <c r="N251" s="25" t="n">
        <v>368856790.8967223</v>
      </c>
      <c r="O251" s="21" t="n">
        <v>307380.6590806019</v>
      </c>
      <c r="P251" s="21" t="n">
        <v>204178.0317439995</v>
      </c>
      <c r="Q251" s="21" t="n">
        <v>7510465.9299662</v>
      </c>
      <c r="R251" s="25" t="n">
        <v>375855698.1358638</v>
      </c>
      <c r="S251" s="25" t="n">
        <v>927593575.6824024</v>
      </c>
      <c r="T251" s="21" t="n">
        <v>772994.6464020021</v>
      </c>
      <c r="U251" s="21" t="n">
        <v>513462.7725865588</v>
      </c>
      <c r="V251" s="21" t="n">
        <v>18887167.37485479</v>
      </c>
      <c r="W251" s="25" t="n">
        <v>945194285.6382686</v>
      </c>
      <c r="X251" s="25" t="n">
        <v>857081480.056896</v>
      </c>
      <c r="Y251" s="21" t="n">
        <v>714234.5667140801</v>
      </c>
      <c r="Z251" s="21" t="n">
        <v>474431.3076541654</v>
      </c>
      <c r="AA251" s="21" t="n">
        <v>17451437.56069457</v>
      </c>
      <c r="AB251" s="25" t="n">
        <v>873344251.7432224</v>
      </c>
      <c r="AC251" s="25" t="n">
        <v>201022072.2874457</v>
      </c>
      <c r="AD251" s="21" t="n">
        <v>167518.3935728715</v>
      </c>
      <c r="AE251" s="21" t="n">
        <v>111274.3267026981</v>
      </c>
      <c r="AF251" s="21" t="n">
        <v>4093104.593291304</v>
      </c>
      <c r="AG251" s="25" t="n">
        <v>204836384.1604615</v>
      </c>
      <c r="AH251" s="25" t="n">
        <v>663787064.888788</v>
      </c>
      <c r="AI251" s="21" t="n">
        <v>553155.8874073233</v>
      </c>
      <c r="AJ251" s="21" t="n">
        <v>367434.5701393554</v>
      </c>
      <c r="AK251" s="21" t="n">
        <v>13515679.41444075</v>
      </c>
      <c r="AL251" s="25" t="n">
        <v>676382153.845682</v>
      </c>
      <c r="AM251" s="25" t="n">
        <v>6017391332.928164</v>
      </c>
      <c r="AN251" s="21" t="n">
        <v>5014492.777440136</v>
      </c>
      <c r="AO251" s="21" t="n">
        <v>3330883.825139281</v>
      </c>
      <c r="AP251" s="21" t="n">
        <v>122522924.0957225</v>
      </c>
      <c r="AQ251" s="25" t="n">
        <v>6131568880.421307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 t="n">
        <v>3055956106.897808</v>
      </c>
      <c r="J252" s="19" t="n">
        <v>2546630.089081507</v>
      </c>
      <c r="K252" s="19" t="n">
        <v>1691602.59049468</v>
      </c>
      <c r="L252" s="19" t="n">
        <v>115442535.2301988</v>
      </c>
      <c r="M252" s="24" t="n">
        <v>3167160409.448431</v>
      </c>
      <c r="N252" s="24" t="n">
        <v>375855698.1358638</v>
      </c>
      <c r="O252" s="19" t="n">
        <v>313213.0817798866</v>
      </c>
      <c r="P252" s="19" t="n">
        <v>208052.2266611452</v>
      </c>
      <c r="Q252" s="19" t="n">
        <v>14198415.53862062</v>
      </c>
      <c r="R252" s="24" t="n">
        <v>389532848.3660434</v>
      </c>
      <c r="S252" s="24" t="n">
        <v>945194285.6382686</v>
      </c>
      <c r="T252" s="19" t="n">
        <v>787661.9046985572</v>
      </c>
      <c r="U252" s="19" t="n">
        <v>523205.5193782045</v>
      </c>
      <c r="V252" s="19" t="n">
        <v>35705887.38918272</v>
      </c>
      <c r="W252" s="24" t="n">
        <v>979589305.6033745</v>
      </c>
      <c r="X252" s="24" t="n">
        <v>873344251.7432224</v>
      </c>
      <c r="Y252" s="19" t="n">
        <v>727786.8764526853</v>
      </c>
      <c r="Z252" s="19" t="n">
        <v>483433.4483102823</v>
      </c>
      <c r="AA252" s="19" t="n">
        <v>32991663.1729063</v>
      </c>
      <c r="AB252" s="24" t="n">
        <v>905124694.5913657</v>
      </c>
      <c r="AC252" s="24" t="n">
        <v>204836384.1604615</v>
      </c>
      <c r="AD252" s="19" t="n">
        <v>170696.9868003846</v>
      </c>
      <c r="AE252" s="19" t="n">
        <v>113385.7116898005</v>
      </c>
      <c r="AF252" s="19" t="n">
        <v>7737948.670629045</v>
      </c>
      <c r="AG252" s="24" t="n">
        <v>212290250.1326004</v>
      </c>
      <c r="AH252" s="24" t="n">
        <v>676382153.845682</v>
      </c>
      <c r="AI252" s="19" t="n">
        <v>563651.7948714017</v>
      </c>
      <c r="AJ252" s="19" t="n">
        <v>374406.4913194082</v>
      </c>
      <c r="AK252" s="19" t="n">
        <v>25551175.44004011</v>
      </c>
      <c r="AL252" s="24" t="n">
        <v>700995270.9995313</v>
      </c>
      <c r="AM252" s="24" t="n">
        <v>6131568880.421307</v>
      </c>
      <c r="AN252" s="19" t="n">
        <v>5109640.733684422</v>
      </c>
      <c r="AO252" s="19" t="n">
        <v>3394085.987853521</v>
      </c>
      <c r="AP252" s="19" t="n">
        <v>231627625.4415776</v>
      </c>
      <c r="AQ252" s="24" t="n">
        <v>6354692779.141346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 t="n">
        <v>3167160409.448431</v>
      </c>
      <c r="J253" s="21" t="n">
        <v>2639300.341207026</v>
      </c>
      <c r="K253" s="21" t="n">
        <v>1753158.934790393</v>
      </c>
      <c r="L253" s="21" t="n">
        <v>32135257.45402709</v>
      </c>
      <c r="M253" s="25" t="n">
        <v>3194903207.626461</v>
      </c>
      <c r="N253" s="25" t="n">
        <v>389532848.3660434</v>
      </c>
      <c r="O253" s="21" t="n">
        <v>324610.7069717029</v>
      </c>
      <c r="P253" s="21" t="n">
        <v>215623.1151001952</v>
      </c>
      <c r="Q253" s="21" t="n">
        <v>3952353.765126565</v>
      </c>
      <c r="R253" s="25" t="n">
        <v>392944968.3090981</v>
      </c>
      <c r="S253" s="25" t="n">
        <v>979589305.6033745</v>
      </c>
      <c r="T253" s="21" t="n">
        <v>816324.4213361455</v>
      </c>
      <c r="U253" s="21" t="n">
        <v>542244.6360532645</v>
      </c>
      <c r="V253" s="21" t="n">
        <v>9939299.077137133</v>
      </c>
      <c r="W253" s="25" t="n">
        <v>988170035.6231221</v>
      </c>
      <c r="X253" s="25" t="n">
        <v>905124694.5913657</v>
      </c>
      <c r="Y253" s="21" t="n">
        <v>754270.5788261382</v>
      </c>
      <c r="Z253" s="21" t="n">
        <v>501025.2845698549</v>
      </c>
      <c r="AA253" s="21" t="n">
        <v>9183751.792905444</v>
      </c>
      <c r="AB253" s="25" t="n">
        <v>913053150.5208751</v>
      </c>
      <c r="AC253" s="25" t="n">
        <v>212290250.1326004</v>
      </c>
      <c r="AD253" s="21" t="n">
        <v>176908.541777167</v>
      </c>
      <c r="AE253" s="21" t="n">
        <v>117511.7457513532</v>
      </c>
      <c r="AF253" s="21" t="n">
        <v>2153980.525469813</v>
      </c>
      <c r="AG253" s="25" t="n">
        <v>214149810.3705417</v>
      </c>
      <c r="AH253" s="25" t="n">
        <v>700995270.9995313</v>
      </c>
      <c r="AI253" s="21" t="n">
        <v>584162.7258329428</v>
      </c>
      <c r="AJ253" s="21" t="n">
        <v>388030.905833616</v>
      </c>
      <c r="AK253" s="21" t="n">
        <v>7112574.229086331</v>
      </c>
      <c r="AL253" s="25" t="n">
        <v>707135651.596951</v>
      </c>
      <c r="AM253" s="25" t="n">
        <v>6354692779.141346</v>
      </c>
      <c r="AN253" s="21" t="n">
        <v>5295577.315951122</v>
      </c>
      <c r="AO253" s="21" t="n">
        <v>3517594.622098676</v>
      </c>
      <c r="AP253" s="21" t="n">
        <v>64477216.84375238</v>
      </c>
      <c r="AQ253" s="25" t="n">
        <v>6410356824.047049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 t="n">
        <v>3194903207.626461</v>
      </c>
      <c r="J254" s="19" t="n">
        <v>2662419.339688717</v>
      </c>
      <c r="K254" s="19" t="n">
        <v>1768515.761794419</v>
      </c>
      <c r="L254" s="19" t="n">
        <v>115248301.2128232</v>
      </c>
      <c r="M254" s="24" t="n">
        <v>3305720573.737801</v>
      </c>
      <c r="N254" s="24" t="n">
        <v>392944968.3090981</v>
      </c>
      <c r="O254" s="19" t="n">
        <v>327454.1402575817</v>
      </c>
      <c r="P254" s="19" t="n">
        <v>217511.8696283514</v>
      </c>
      <c r="Q254" s="19" t="n">
        <v>14174526.46441643</v>
      </c>
      <c r="R254" s="24" t="n">
        <v>406574528.7636285</v>
      </c>
      <c r="S254" s="24" t="n">
        <v>988170035.6231221</v>
      </c>
      <c r="T254" s="19" t="n">
        <v>823475.0296859351</v>
      </c>
      <c r="U254" s="19" t="n">
        <v>546994.4376282862</v>
      </c>
      <c r="V254" s="19" t="n">
        <v>35645811.62995125</v>
      </c>
      <c r="W254" s="24" t="n">
        <v>1022445377.785759</v>
      </c>
      <c r="X254" s="24" t="n">
        <v>913053150.5208751</v>
      </c>
      <c r="Y254" s="19" t="n">
        <v>760877.6254340627</v>
      </c>
      <c r="Z254" s="19" t="n">
        <v>505414.0244993023</v>
      </c>
      <c r="AA254" s="19" t="n">
        <v>32936154.14180961</v>
      </c>
      <c r="AB254" s="24" t="n">
        <v>944723013.0127513</v>
      </c>
      <c r="AC254" s="24" t="n">
        <v>214149810.3705417</v>
      </c>
      <c r="AD254" s="19" t="n">
        <v>178458.1753087847</v>
      </c>
      <c r="AE254" s="19" t="n">
        <v>118541.0919872439</v>
      </c>
      <c r="AF254" s="19" t="n">
        <v>7724929.441160938</v>
      </c>
      <c r="AG254" s="24" t="n">
        <v>221577740.5444066</v>
      </c>
      <c r="AH254" s="24" t="n">
        <v>707135651.596951</v>
      </c>
      <c r="AI254" s="19" t="n">
        <v>589279.7096641259</v>
      </c>
      <c r="AJ254" s="19" t="n">
        <v>391429.8694842304</v>
      </c>
      <c r="AK254" s="19" t="n">
        <v>25508185.1553544</v>
      </c>
      <c r="AL254" s="24" t="n">
        <v>731663127.1731571</v>
      </c>
      <c r="AM254" s="24" t="n">
        <v>6410356824.047049</v>
      </c>
      <c r="AN254" s="19" t="n">
        <v>5341964.020039207</v>
      </c>
      <c r="AO254" s="19" t="n">
        <v>3548407.055021833</v>
      </c>
      <c r="AP254" s="19" t="n">
        <v>231237908.0455159</v>
      </c>
      <c r="AQ254" s="24" t="n">
        <v>6632704361.017504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 t="n">
        <v>3305720573.737801</v>
      </c>
      <c r="J255" s="21" t="n">
        <v>2754767.144781501</v>
      </c>
      <c r="K255" s="21" t="n">
        <v>1829857.920198662</v>
      </c>
      <c r="L255" s="21" t="n">
        <v>53648393.78641882</v>
      </c>
      <c r="M255" s="25" t="n">
        <v>3354784342.459239</v>
      </c>
      <c r="N255" s="25" t="n">
        <v>406574528.7636285</v>
      </c>
      <c r="O255" s="21" t="n">
        <v>338812.1073030238</v>
      </c>
      <c r="P255" s="21" t="n">
        <v>225056.4150883293</v>
      </c>
      <c r="Q255" s="21" t="n">
        <v>6598280.143798045</v>
      </c>
      <c r="R255" s="25" t="n">
        <v>412608940.3850352</v>
      </c>
      <c r="S255" s="25" t="n">
        <v>1022445377.785759</v>
      </c>
      <c r="T255" s="21" t="n">
        <v>852037.814821466</v>
      </c>
      <c r="U255" s="21" t="n">
        <v>565967.3075139292</v>
      </c>
      <c r="V255" s="21" t="n">
        <v>16593221.06300473</v>
      </c>
      <c r="W255" s="25" t="n">
        <v>1037620593.726428</v>
      </c>
      <c r="X255" s="25" t="n">
        <v>944723013.0127513</v>
      </c>
      <c r="Y255" s="21" t="n">
        <v>787269.1775106261</v>
      </c>
      <c r="Z255" s="21" t="n">
        <v>522944.6497955705</v>
      </c>
      <c r="AA255" s="21" t="n">
        <v>15331868.22378417</v>
      </c>
      <c r="AB255" s="25" t="n">
        <v>958744667.4092294</v>
      </c>
      <c r="AC255" s="25" t="n">
        <v>221577740.5444066</v>
      </c>
      <c r="AD255" s="21" t="n">
        <v>184648.1171203388</v>
      </c>
      <c r="AE255" s="21" t="n">
        <v>122652.7694736325</v>
      </c>
      <c r="AF255" s="21" t="n">
        <v>3595975.405020462</v>
      </c>
      <c r="AG255" s="25" t="n">
        <v>224866415.0628331</v>
      </c>
      <c r="AH255" s="25" t="n">
        <v>731663127.1731571</v>
      </c>
      <c r="AI255" s="21" t="n">
        <v>609719.2726442976</v>
      </c>
      <c r="AJ255" s="21" t="n">
        <v>405006.8777172196</v>
      </c>
      <c r="AK255" s="21" t="n">
        <v>11874128.70810343</v>
      </c>
      <c r="AL255" s="25" t="n">
        <v>742522529.730899</v>
      </c>
      <c r="AM255" s="25" t="n">
        <v>6632704361.017504</v>
      </c>
      <c r="AN255" s="21" t="n">
        <v>5527253.634181253</v>
      </c>
      <c r="AO255" s="21" t="n">
        <v>3671485.939787343</v>
      </c>
      <c r="AP255" s="21" t="n">
        <v>107641867.3301297</v>
      </c>
      <c r="AQ255" s="25" t="n">
        <v>6731147488.773664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 t="n">
        <v>3354784342.459239</v>
      </c>
      <c r="J256" s="19" t="n">
        <v>2795653.618716033</v>
      </c>
      <c r="K256" s="19" t="n">
        <v>1857016.817566749</v>
      </c>
      <c r="L256" s="19" t="n">
        <v>86894933.25549585</v>
      </c>
      <c r="M256" s="24" t="n">
        <v>3437026605.278452</v>
      </c>
      <c r="N256" s="24" t="n">
        <v>412608940.3850352</v>
      </c>
      <c r="O256" s="19" t="n">
        <v>343840.783654196</v>
      </c>
      <c r="P256" s="19" t="n">
        <v>228396.7203721133</v>
      </c>
      <c r="Q256" s="19" t="n">
        <v>10687311.81363981</v>
      </c>
      <c r="R256" s="24" t="n">
        <v>422724014.6946487</v>
      </c>
      <c r="S256" s="24" t="n">
        <v>1037620593.726428</v>
      </c>
      <c r="T256" s="19" t="n">
        <v>864683.828105357</v>
      </c>
      <c r="U256" s="19" t="n">
        <v>574367.4394852654</v>
      </c>
      <c r="V256" s="19" t="n">
        <v>26876234.96248074</v>
      </c>
      <c r="W256" s="24" t="n">
        <v>1063057777.421319</v>
      </c>
      <c r="X256" s="24" t="n">
        <v>958744667.4092294</v>
      </c>
      <c r="Y256" s="19" t="n">
        <v>798953.8895076913</v>
      </c>
      <c r="Z256" s="19" t="n">
        <v>530706.2360456366</v>
      </c>
      <c r="AA256" s="19" t="n">
        <v>24833206.96033676</v>
      </c>
      <c r="AB256" s="24" t="n">
        <v>982248214.244013</v>
      </c>
      <c r="AC256" s="24" t="n">
        <v>224866415.0628331</v>
      </c>
      <c r="AD256" s="19" t="n">
        <v>187388.6792190276</v>
      </c>
      <c r="AE256" s="19" t="n">
        <v>124473.1916721409</v>
      </c>
      <c r="AF256" s="19" t="n">
        <v>5824443.580764958</v>
      </c>
      <c r="AG256" s="24" t="n">
        <v>230378996.7727068</v>
      </c>
      <c r="AH256" s="24" t="n">
        <v>742522529.730899</v>
      </c>
      <c r="AI256" s="19" t="n">
        <v>618768.7747757492</v>
      </c>
      <c r="AJ256" s="19" t="n">
        <v>411018.0221366165</v>
      </c>
      <c r="AK256" s="19" t="n">
        <v>19232665.67244399</v>
      </c>
      <c r="AL256" s="24" t="n">
        <v>760725408.6064306</v>
      </c>
      <c r="AM256" s="24" t="n">
        <v>6731147488.773664</v>
      </c>
      <c r="AN256" s="19" t="n">
        <v>5609289.573978054</v>
      </c>
      <c r="AO256" s="19" t="n">
        <v>3725978.427278522</v>
      </c>
      <c r="AP256" s="19" t="n">
        <v>174348796.2451621</v>
      </c>
      <c r="AQ256" s="24" t="n">
        <v>6896161017.01757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 t="n">
        <v>3437026605.278452</v>
      </c>
      <c r="J257" s="21" t="n">
        <v>2864188.837732044</v>
      </c>
      <c r="K257" s="21" t="n">
        <v>1902541.432439033</v>
      </c>
      <c r="L257" s="21" t="n">
        <v>79245359.05427742</v>
      </c>
      <c r="M257" s="25" t="n">
        <v>3511505234.062559</v>
      </c>
      <c r="N257" s="25" t="n">
        <v>422724014.6946487</v>
      </c>
      <c r="O257" s="21" t="n">
        <v>352270.0122455406</v>
      </c>
      <c r="P257" s="21" t="n">
        <v>233995.8472269024</v>
      </c>
      <c r="Q257" s="21" t="n">
        <v>9746481.529673565</v>
      </c>
      <c r="R257" s="25" t="n">
        <v>431884230.3648498</v>
      </c>
      <c r="S257" s="25" t="n">
        <v>1063057777.421319</v>
      </c>
      <c r="T257" s="21" t="n">
        <v>885881.4811844322</v>
      </c>
      <c r="U257" s="21" t="n">
        <v>588448.0101243659</v>
      </c>
      <c r="V257" s="21" t="n">
        <v>24510254.04860651</v>
      </c>
      <c r="W257" s="25" t="n">
        <v>1086093701.978616</v>
      </c>
      <c r="X257" s="25" t="n">
        <v>982248214.244013</v>
      </c>
      <c r="Y257" s="21" t="n">
        <v>818540.1785366775</v>
      </c>
      <c r="Z257" s="21" t="n">
        <v>543716.4558658071</v>
      </c>
      <c r="AA257" s="21" t="n">
        <v>22647078.81476625</v>
      </c>
      <c r="AB257" s="25" t="n">
        <v>1003533036.424377</v>
      </c>
      <c r="AC257" s="25" t="n">
        <v>230378996.7727068</v>
      </c>
      <c r="AD257" s="21" t="n">
        <v>191982.497310589</v>
      </c>
      <c r="AE257" s="21" t="n">
        <v>127524.6417501338</v>
      </c>
      <c r="AF257" s="21" t="n">
        <v>5311703.520065802</v>
      </c>
      <c r="AG257" s="25" t="n">
        <v>235371193.1537119</v>
      </c>
      <c r="AH257" s="25" t="n">
        <v>760725408.6064306</v>
      </c>
      <c r="AI257" s="21" t="n">
        <v>633937.8405053589</v>
      </c>
      <c r="AJ257" s="21" t="n">
        <v>421094.095215941</v>
      </c>
      <c r="AK257" s="21" t="n">
        <v>17539566.91930947</v>
      </c>
      <c r="AL257" s="25" t="n">
        <v>777209943.5900189</v>
      </c>
      <c r="AM257" s="25" t="n">
        <v>6896161017.01757</v>
      </c>
      <c r="AN257" s="21" t="n">
        <v>5746800.847514642</v>
      </c>
      <c r="AO257" s="21" t="n">
        <v>3817320.482622183</v>
      </c>
      <c r="AP257" s="21" t="n">
        <v>159000443.886699</v>
      </c>
      <c r="AQ257" s="25" t="n">
        <v>7045597339.574133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 t="n">
        <v>3511505234.062559</v>
      </c>
      <c r="J258" s="19" t="n">
        <v>2926254.361718799</v>
      </c>
      <c r="K258" s="19" t="n">
        <v>1943768.543359674</v>
      </c>
      <c r="L258" s="19" t="n">
        <v>164330691.6526833</v>
      </c>
      <c r="M258" s="24" t="n">
        <v>3670965902.810164</v>
      </c>
      <c r="N258" s="24" t="n">
        <v>431884230.3648498</v>
      </c>
      <c r="O258" s="19" t="n">
        <v>359903.5253040415</v>
      </c>
      <c r="P258" s="19" t="n">
        <v>239066.4189285791</v>
      </c>
      <c r="Q258" s="19" t="n">
        <v>20211228.39325325</v>
      </c>
      <c r="R258" s="24" t="n">
        <v>451496488.8138705</v>
      </c>
      <c r="S258" s="24" t="n">
        <v>1086093701.978616</v>
      </c>
      <c r="T258" s="19" t="n">
        <v>905078.0849821803</v>
      </c>
      <c r="U258" s="19" t="n">
        <v>601199.3809858807</v>
      </c>
      <c r="V258" s="19" t="n">
        <v>50826787.18928819</v>
      </c>
      <c r="W258" s="24" t="n">
        <v>1135414211.701936</v>
      </c>
      <c r="X258" s="24" t="n">
        <v>1003533036.424377</v>
      </c>
      <c r="Y258" s="19" t="n">
        <v>836277.5303536473</v>
      </c>
      <c r="Z258" s="19" t="n">
        <v>555498.5165627038</v>
      </c>
      <c r="AA258" s="19" t="n">
        <v>46963130.33289851</v>
      </c>
      <c r="AB258" s="24" t="n">
        <v>1049104390.710359</v>
      </c>
      <c r="AC258" s="24" t="n">
        <v>235371193.1537119</v>
      </c>
      <c r="AD258" s="19" t="n">
        <v>196142.6609614266</v>
      </c>
      <c r="AE258" s="19" t="n">
        <v>130288.036260711</v>
      </c>
      <c r="AF258" s="19" t="n">
        <v>11014852.14684368</v>
      </c>
      <c r="AG258" s="24" t="n">
        <v>246059614.6033335</v>
      </c>
      <c r="AH258" s="24" t="n">
        <v>777209943.5900189</v>
      </c>
      <c r="AI258" s="19" t="n">
        <v>647674.9529916825</v>
      </c>
      <c r="AJ258" s="19" t="n">
        <v>430218.9913551218</v>
      </c>
      <c r="AK258" s="19" t="n">
        <v>36371709.30305821</v>
      </c>
      <c r="AL258" s="24" t="n">
        <v>812503758.9487302</v>
      </c>
      <c r="AM258" s="24" t="n">
        <v>7045597339.574133</v>
      </c>
      <c r="AN258" s="19" t="n">
        <v>5871331.116311777</v>
      </c>
      <c r="AO258" s="19" t="n">
        <v>3900039.88745267</v>
      </c>
      <c r="AP258" s="19" t="n">
        <v>329718399.0180252</v>
      </c>
      <c r="AQ258" s="24" t="n">
        <v>7365544367.588393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 t="n">
        <v>3670965902.810164</v>
      </c>
      <c r="J259" s="21" t="n">
        <v>3059138.252341804</v>
      </c>
      <c r="K259" s="21" t="n">
        <v>2032036.853145474</v>
      </c>
      <c r="L259" s="21" t="n">
        <v>104278713.5929719</v>
      </c>
      <c r="M259" s="25" t="n">
        <v>3770153441.297648</v>
      </c>
      <c r="N259" s="25" t="n">
        <v>451496488.8138705</v>
      </c>
      <c r="O259" s="21" t="n">
        <v>376247.0740115588</v>
      </c>
      <c r="P259" s="21" t="n">
        <v>249922.6439649696</v>
      </c>
      <c r="Q259" s="21" t="n">
        <v>12825363.75759106</v>
      </c>
      <c r="R259" s="25" t="n">
        <v>463695682.853485</v>
      </c>
      <c r="S259" s="25" t="n">
        <v>1135414211.701936</v>
      </c>
      <c r="T259" s="21" t="n">
        <v>946178.5097516136</v>
      </c>
      <c r="U259" s="21" t="n">
        <v>628500.3954946196</v>
      </c>
      <c r="V259" s="21" t="n">
        <v>32252964.62187786</v>
      </c>
      <c r="W259" s="25" t="n">
        <v>1166092497.418568</v>
      </c>
      <c r="X259" s="25" t="n">
        <v>1049104390.710359</v>
      </c>
      <c r="Y259" s="21" t="n">
        <v>874253.6589252991</v>
      </c>
      <c r="Z259" s="21" t="n">
        <v>580724.2129621109</v>
      </c>
      <c r="AA259" s="21" t="n">
        <v>29801218.31267037</v>
      </c>
      <c r="AB259" s="25" t="n">
        <v>1077450631.151142</v>
      </c>
      <c r="AC259" s="25" t="n">
        <v>246059614.6033335</v>
      </c>
      <c r="AD259" s="21" t="n">
        <v>205049.6788361112</v>
      </c>
      <c r="AE259" s="21" t="n">
        <v>136204.5353137137</v>
      </c>
      <c r="AF259" s="21" t="n">
        <v>6989653.610886437</v>
      </c>
      <c r="AG259" s="25" t="n">
        <v>252708014.0000701</v>
      </c>
      <c r="AH259" s="25" t="n">
        <v>812503758.9487302</v>
      </c>
      <c r="AI259" s="21" t="n">
        <v>677086.4657906085</v>
      </c>
      <c r="AJ259" s="21" t="n">
        <v>449755.6297755747</v>
      </c>
      <c r="AK259" s="21" t="n">
        <v>23080259.80512878</v>
      </c>
      <c r="AL259" s="25" t="n">
        <v>834457176.6582929</v>
      </c>
      <c r="AM259" s="25" t="n">
        <v>7365544367.588393</v>
      </c>
      <c r="AN259" s="21" t="n">
        <v>6137953.639656994</v>
      </c>
      <c r="AO259" s="21" t="n">
        <v>4077144.270656463</v>
      </c>
      <c r="AP259" s="21" t="n">
        <v>209228173.7011264</v>
      </c>
      <c r="AQ259" s="25" t="n">
        <v>7564557443.379206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 t="n">
        <v>3770153441.297648</v>
      </c>
      <c r="J260" s="19" t="n">
        <v>3141794.534414707</v>
      </c>
      <c r="K260" s="19" t="n">
        <v>2086941.403859242</v>
      </c>
      <c r="L260" s="19" t="n">
        <v>68676964.9020057</v>
      </c>
      <c r="M260" s="24" t="n">
        <v>3833601670.26138</v>
      </c>
      <c r="N260" s="24" t="n">
        <v>463695682.853485</v>
      </c>
      <c r="O260" s="19" t="n">
        <v>386413.0690445709</v>
      </c>
      <c r="P260" s="19" t="n">
        <v>256675.420352294</v>
      </c>
      <c r="Q260" s="19" t="n">
        <v>8446662.087466542</v>
      </c>
      <c r="R260" s="24" t="n">
        <v>471499256.4515547</v>
      </c>
      <c r="S260" s="24" t="n">
        <v>1166092497.418568</v>
      </c>
      <c r="T260" s="19" t="n">
        <v>971743.7478488067</v>
      </c>
      <c r="U260" s="19" t="n">
        <v>645482.1405769698</v>
      </c>
      <c r="V260" s="19" t="n">
        <v>21241494.48149335</v>
      </c>
      <c r="W260" s="24" t="n">
        <v>1185716766.011635</v>
      </c>
      <c r="X260" s="24" t="n">
        <v>1077450631.151142</v>
      </c>
      <c r="Y260" s="19" t="n">
        <v>897875.525959285</v>
      </c>
      <c r="Z260" s="19" t="n">
        <v>596415.0711037514</v>
      </c>
      <c r="AA260" s="19" t="n">
        <v>19626797.776629</v>
      </c>
      <c r="AB260" s="24" t="n">
        <v>1095583138.330708</v>
      </c>
      <c r="AC260" s="24" t="n">
        <v>252708014.0000701</v>
      </c>
      <c r="AD260" s="19" t="n">
        <v>210590.0116667251</v>
      </c>
      <c r="AE260" s="19" t="n">
        <v>139884.7091279834</v>
      </c>
      <c r="AF260" s="19" t="n">
        <v>4603319.116360657</v>
      </c>
      <c r="AG260" s="24" t="n">
        <v>256960858.395636</v>
      </c>
      <c r="AH260" s="24" t="n">
        <v>834457176.6582929</v>
      </c>
      <c r="AI260" s="19" t="n">
        <v>695380.9805485775</v>
      </c>
      <c r="AJ260" s="19" t="n">
        <v>461907.7867335508</v>
      </c>
      <c r="AK260" s="19" t="n">
        <v>15200438.68927084</v>
      </c>
      <c r="AL260" s="24" t="n">
        <v>848500326.5802816</v>
      </c>
      <c r="AM260" s="24" t="n">
        <v>7564557443.379206</v>
      </c>
      <c r="AN260" s="19" t="n">
        <v>6303797.869482673</v>
      </c>
      <c r="AO260" s="19" t="n">
        <v>4187306.531753791</v>
      </c>
      <c r="AP260" s="19" t="n">
        <v>137795677.0532261</v>
      </c>
      <c r="AQ260" s="24" t="n">
        <v>7691862016.031194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 t="n">
        <v>3833601670.26138</v>
      </c>
      <c r="J261" s="21" t="n">
        <v>3194668.05855115</v>
      </c>
      <c r="K261" s="21" t="n">
        <v>2122062.716051877</v>
      </c>
      <c r="L261" s="21" t="n">
        <v>172804425.8714431</v>
      </c>
      <c r="M261" s="25" t="n">
        <v>4001089365.35822</v>
      </c>
      <c r="N261" s="25" t="n">
        <v>471499256.4515547</v>
      </c>
      <c r="O261" s="21" t="n">
        <v>392916.0470429623</v>
      </c>
      <c r="P261" s="21" t="n">
        <v>260995.0325626313</v>
      </c>
      <c r="Q261" s="21" t="n">
        <v>21253423.10391054</v>
      </c>
      <c r="R261" s="25" t="n">
        <v>492098768.4758596</v>
      </c>
      <c r="S261" s="25" t="n">
        <v>1185716766.011635</v>
      </c>
      <c r="T261" s="21" t="n">
        <v>988097.3050096962</v>
      </c>
      <c r="U261" s="21" t="n">
        <v>656345.0137424797</v>
      </c>
      <c r="V261" s="21" t="n">
        <v>53447677.30728132</v>
      </c>
      <c r="W261" s="25" t="n">
        <v>1237520001.000165</v>
      </c>
      <c r="X261" s="25" t="n">
        <v>1095583138.330708</v>
      </c>
      <c r="Y261" s="21" t="n">
        <v>912985.9486089232</v>
      </c>
      <c r="Z261" s="21" t="n">
        <v>606452.1904353685</v>
      </c>
      <c r="AA261" s="21" t="n">
        <v>49384790.46540159</v>
      </c>
      <c r="AB261" s="25" t="n">
        <v>1143448490.657065</v>
      </c>
      <c r="AC261" s="25" t="n">
        <v>256960858.395636</v>
      </c>
      <c r="AD261" s="21" t="n">
        <v>214134.04866303</v>
      </c>
      <c r="AE261" s="21" t="n">
        <v>142238.8406484826</v>
      </c>
      <c r="AF261" s="21" t="n">
        <v>11582834.47937447</v>
      </c>
      <c r="AG261" s="25" t="n">
        <v>268187319.985699</v>
      </c>
      <c r="AH261" s="25" t="n">
        <v>848500326.5802816</v>
      </c>
      <c r="AI261" s="21" t="n">
        <v>707083.605483568</v>
      </c>
      <c r="AJ261" s="21" t="n">
        <v>469681.2716776315</v>
      </c>
      <c r="AK261" s="21" t="n">
        <v>38247221.38553338</v>
      </c>
      <c r="AL261" s="25" t="n">
        <v>885570783.0886538</v>
      </c>
      <c r="AM261" s="25" t="n">
        <v>7691862016.031194</v>
      </c>
      <c r="AN261" s="21" t="n">
        <v>6409885.013359331</v>
      </c>
      <c r="AO261" s="21" t="n">
        <v>4257775.065118471</v>
      </c>
      <c r="AP261" s="21" t="n">
        <v>346720372.6129444</v>
      </c>
      <c r="AQ261" s="25" t="n">
        <v>8027914728.565661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 t="n">
        <v>4001089365.35822</v>
      </c>
      <c r="J262" s="19" t="n">
        <v>3334241.137798517</v>
      </c>
      <c r="K262" s="19" t="n">
        <v>2214774.328716172</v>
      </c>
      <c r="L262" s="19" t="n">
        <v>186112876.1354699</v>
      </c>
      <c r="M262" s="24" t="n">
        <v>4181653226.027175</v>
      </c>
      <c r="N262" s="24" t="n">
        <v>492098768.4758596</v>
      </c>
      <c r="O262" s="19" t="n">
        <v>410082.3070632164</v>
      </c>
      <c r="P262" s="19" t="n">
        <v>272397.744736601</v>
      </c>
      <c r="Q262" s="19" t="n">
        <v>22890245.32586645</v>
      </c>
      <c r="R262" s="24" t="n">
        <v>514306533.7499263</v>
      </c>
      <c r="S262" s="24" t="n">
        <v>1237520001.000165</v>
      </c>
      <c r="T262" s="19" t="n">
        <v>1031266.667500137</v>
      </c>
      <c r="U262" s="19" t="n">
        <v>685020.3230196006</v>
      </c>
      <c r="V262" s="19" t="n">
        <v>57563924.62898406</v>
      </c>
      <c r="W262" s="24" t="n">
        <v>1293367638.638629</v>
      </c>
      <c r="X262" s="24" t="n">
        <v>1143448490.657065</v>
      </c>
      <c r="Y262" s="19" t="n">
        <v>952873.742214221</v>
      </c>
      <c r="Z262" s="19" t="n">
        <v>632947.7130011035</v>
      </c>
      <c r="AA262" s="19" t="n">
        <v>53188136.49889456</v>
      </c>
      <c r="AB262" s="24" t="n">
        <v>1195050805.700744</v>
      </c>
      <c r="AC262" s="24" t="n">
        <v>268187319.985699</v>
      </c>
      <c r="AD262" s="19" t="n">
        <v>223489.4333214159</v>
      </c>
      <c r="AE262" s="19" t="n">
        <v>148453.1679632546</v>
      </c>
      <c r="AF262" s="19" t="n">
        <v>12474880.94061435</v>
      </c>
      <c r="AG262" s="24" t="n">
        <v>280290258.3250287</v>
      </c>
      <c r="AH262" s="24" t="n">
        <v>885570783.0886538</v>
      </c>
      <c r="AI262" s="19" t="n">
        <v>737975.6525738782</v>
      </c>
      <c r="AJ262" s="19" t="n">
        <v>490201.3570672217</v>
      </c>
      <c r="AK262" s="19" t="n">
        <v>41192812.85970818</v>
      </c>
      <c r="AL262" s="24" t="n">
        <v>925535418.9387209</v>
      </c>
      <c r="AM262" s="24" t="n">
        <v>8027914728.565661</v>
      </c>
      <c r="AN262" s="19" t="n">
        <v>6689928.940471386</v>
      </c>
      <c r="AO262" s="19" t="n">
        <v>4443794.634503954</v>
      </c>
      <c r="AP262" s="19" t="n">
        <v>373422876.3895376</v>
      </c>
      <c r="AQ262" s="24" t="n">
        <v>8390203881.380224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 t="n">
        <v>4181653226.027175</v>
      </c>
      <c r="J263" s="21" t="n">
        <v>3484711.021689313</v>
      </c>
      <c r="K263" s="21" t="n">
        <v>2314724.159071357</v>
      </c>
      <c r="L263" s="21" t="n">
        <v>193624422.5336802</v>
      </c>
      <c r="M263" s="25" t="n">
        <v>4369478213.380095</v>
      </c>
      <c r="N263" s="25" t="n">
        <v>514306533.7499263</v>
      </c>
      <c r="O263" s="21" t="n">
        <v>428588.7781249386</v>
      </c>
      <c r="P263" s="21" t="n">
        <v>284690.6939651303</v>
      </c>
      <c r="Q263" s="21" t="n">
        <v>23814099.40518608</v>
      </c>
      <c r="R263" s="25" t="n">
        <v>537407353.6830223</v>
      </c>
      <c r="S263" s="25" t="n">
        <v>1293367638.638629</v>
      </c>
      <c r="T263" s="21" t="n">
        <v>1077806.365532191</v>
      </c>
      <c r="U263" s="21" t="n">
        <v>715934.3823835407</v>
      </c>
      <c r="V263" s="21" t="n">
        <v>59887214.1277663</v>
      </c>
      <c r="W263" s="25" t="n">
        <v>1351461112.01848</v>
      </c>
      <c r="X263" s="25" t="n">
        <v>1195050805.700744</v>
      </c>
      <c r="Y263" s="21" t="n">
        <v>995875.6714172871</v>
      </c>
      <c r="Z263" s="21" t="n">
        <v>661511.8044834323</v>
      </c>
      <c r="AA263" s="21" t="n">
        <v>55334818.46653542</v>
      </c>
      <c r="AB263" s="25" t="n">
        <v>1248728236.691379</v>
      </c>
      <c r="AC263" s="25" t="n">
        <v>280290258.3250287</v>
      </c>
      <c r="AD263" s="21" t="n">
        <v>233575.2152708572</v>
      </c>
      <c r="AE263" s="21" t="n">
        <v>155152.6626978798</v>
      </c>
      <c r="AF263" s="21" t="n">
        <v>12978369.19431995</v>
      </c>
      <c r="AG263" s="25" t="n">
        <v>292879899.6413799</v>
      </c>
      <c r="AH263" s="25" t="n">
        <v>925535418.9387209</v>
      </c>
      <c r="AI263" s="21" t="n">
        <v>771279.5157822676</v>
      </c>
      <c r="AJ263" s="21" t="n">
        <v>512323.4946789354</v>
      </c>
      <c r="AK263" s="21" t="n">
        <v>42855361.5854786</v>
      </c>
      <c r="AL263" s="25" t="n">
        <v>967107177.5137383</v>
      </c>
      <c r="AM263" s="25" t="n">
        <v>8390203881.380224</v>
      </c>
      <c r="AN263" s="21" t="n">
        <v>6991836.567816855</v>
      </c>
      <c r="AO263" s="21" t="n">
        <v>4644337.197280275</v>
      </c>
      <c r="AP263" s="21" t="n">
        <v>388494285.3129666</v>
      </c>
      <c r="AQ263" s="25" t="n">
        <v>8767061992.928095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 t="n">
        <v>4369478213.380095</v>
      </c>
      <c r="J264" s="19" t="n">
        <v>3641231.844483412</v>
      </c>
      <c r="K264" s="19" t="n">
        <v>2418693.334037145</v>
      </c>
      <c r="L264" s="19" t="n">
        <v>101564397.2452585</v>
      </c>
      <c r="M264" s="24" t="n">
        <v>4464982685.446833</v>
      </c>
      <c r="N264" s="24" t="n">
        <v>537407353.6830223</v>
      </c>
      <c r="O264" s="19" t="n">
        <v>447839.4614025186</v>
      </c>
      <c r="P264" s="19" t="n">
        <v>297477.9871965913</v>
      </c>
      <c r="Q264" s="19" t="n">
        <v>12491526.74222011</v>
      </c>
      <c r="R264" s="24" t="n">
        <v>549153562.9766433</v>
      </c>
      <c r="S264" s="24" t="n">
        <v>1351461112.01848</v>
      </c>
      <c r="T264" s="19" t="n">
        <v>1126217.593348733</v>
      </c>
      <c r="U264" s="19" t="n">
        <v>748091.6080185473</v>
      </c>
      <c r="V264" s="19" t="n">
        <v>31413438.06733007</v>
      </c>
      <c r="W264" s="24" t="n">
        <v>1381000240.884442</v>
      </c>
      <c r="X264" s="24" t="n">
        <v>1248728236.691379</v>
      </c>
      <c r="Y264" s="19" t="n">
        <v>1040606.863909483</v>
      </c>
      <c r="Z264" s="19" t="n">
        <v>691224.5615187522</v>
      </c>
      <c r="AA264" s="19" t="n">
        <v>29025509.3375521</v>
      </c>
      <c r="AB264" s="24" t="n">
        <v>1276021914.603503</v>
      </c>
      <c r="AC264" s="24" t="n">
        <v>292879899.6413799</v>
      </c>
      <c r="AD264" s="19" t="n">
        <v>244066.5830344833</v>
      </c>
      <c r="AE264" s="19" t="n">
        <v>162121.5683755721</v>
      </c>
      <c r="AF264" s="19" t="n">
        <v>6807716.853065123</v>
      </c>
      <c r="AG264" s="24" t="n">
        <v>299281428.343035</v>
      </c>
      <c r="AH264" s="24" t="n">
        <v>967107177.5137383</v>
      </c>
      <c r="AI264" s="19" t="n">
        <v>805922.6479281153</v>
      </c>
      <c r="AJ264" s="19" t="n">
        <v>535335.2435513056</v>
      </c>
      <c r="AK264" s="19" t="n">
        <v>22479493.60520171</v>
      </c>
      <c r="AL264" s="24" t="n">
        <v>988245413.2274606</v>
      </c>
      <c r="AM264" s="24" t="n">
        <v>8767061992.928095</v>
      </c>
      <c r="AN264" s="19" t="n">
        <v>7305884.994106745</v>
      </c>
      <c r="AO264" s="19" t="n">
        <v>4852944.302697914</v>
      </c>
      <c r="AP264" s="19" t="n">
        <v>203782081.8506276</v>
      </c>
      <c r="AQ264" s="24" t="n">
        <v>8958685245.481916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 t="n">
        <v>4464982685.446833</v>
      </c>
      <c r="J265" s="21" t="n">
        <v>3720818.904539027</v>
      </c>
      <c r="K265" s="21" t="n">
        <v>2471559.14974283</v>
      </c>
      <c r="L265" s="21" t="n">
        <v>258591767.6652366</v>
      </c>
      <c r="M265" s="25" t="n">
        <v>4717382075.057787</v>
      </c>
      <c r="N265" s="25" t="n">
        <v>549153562.9766433</v>
      </c>
      <c r="O265" s="21" t="n">
        <v>457627.9691472028</v>
      </c>
      <c r="P265" s="21" t="n">
        <v>303980.0171258603</v>
      </c>
      <c r="Q265" s="21" t="n">
        <v>31804510.91840723</v>
      </c>
      <c r="R265" s="25" t="n">
        <v>580196465.9087775</v>
      </c>
      <c r="S265" s="25" t="n">
        <v>1381000240.884442</v>
      </c>
      <c r="T265" s="21" t="n">
        <v>1150833.534070369</v>
      </c>
      <c r="U265" s="21" t="n">
        <v>764442.7809944391</v>
      </c>
      <c r="V265" s="21" t="n">
        <v>79981338.91994862</v>
      </c>
      <c r="W265" s="25" t="n">
        <v>1459066303.489326</v>
      </c>
      <c r="X265" s="25" t="n">
        <v>1276021914.603503</v>
      </c>
      <c r="Y265" s="21" t="n">
        <v>1063351.595502919</v>
      </c>
      <c r="Z265" s="21" t="n">
        <v>706332.7812199655</v>
      </c>
      <c r="AA265" s="21" t="n">
        <v>73901465.18426596</v>
      </c>
      <c r="AB265" s="25" t="n">
        <v>1348153695.411046</v>
      </c>
      <c r="AC265" s="25" t="n">
        <v>299281428.343035</v>
      </c>
      <c r="AD265" s="21" t="n">
        <v>249401.1902858625</v>
      </c>
      <c r="AE265" s="21" t="n">
        <v>165665.0886867452</v>
      </c>
      <c r="AF265" s="21" t="n">
        <v>17333037.78239787</v>
      </c>
      <c r="AG265" s="25" t="n">
        <v>316199399.8464602</v>
      </c>
      <c r="AH265" s="25" t="n">
        <v>988245413.2274606</v>
      </c>
      <c r="AI265" s="21" t="n">
        <v>823537.8443562172</v>
      </c>
      <c r="AJ265" s="21" t="n">
        <v>547036.162360679</v>
      </c>
      <c r="AK265" s="21" t="n">
        <v>57234741.16181861</v>
      </c>
      <c r="AL265" s="25" t="n">
        <v>1044109580.382562</v>
      </c>
      <c r="AM265" s="25" t="n">
        <v>8958685245.481916</v>
      </c>
      <c r="AN265" s="21" t="n">
        <v>7465571.037901598</v>
      </c>
      <c r="AO265" s="21" t="n">
        <v>4959015.98013052</v>
      </c>
      <c r="AP265" s="21" t="n">
        <v>518846861.6320749</v>
      </c>
      <c r="AQ265" s="25" t="n">
        <v>9465107520.095959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 t="n">
        <v>4717382075.057787</v>
      </c>
      <c r="J266" s="19" t="n">
        <v>3931151.729214823</v>
      </c>
      <c r="K266" s="19" t="n">
        <v>2611273.022053184</v>
      </c>
      <c r="L266" s="19" t="n">
        <v>46174056.9571282</v>
      </c>
      <c r="M266" s="24" t="n">
        <v>4757013707.263648</v>
      </c>
      <c r="N266" s="24" t="n">
        <v>580196465.9087775</v>
      </c>
      <c r="O266" s="19" t="n">
        <v>483497.0549239813</v>
      </c>
      <c r="P266" s="19" t="n">
        <v>321163.5934533946</v>
      </c>
      <c r="Q266" s="19" t="n">
        <v>5679002.513882279</v>
      </c>
      <c r="R266" s="24" t="n">
        <v>585070807.7742823</v>
      </c>
      <c r="S266" s="24" t="n">
        <v>1459066303.489326</v>
      </c>
      <c r="T266" s="19" t="n">
        <v>1215888.586241105</v>
      </c>
      <c r="U266" s="19" t="n">
        <v>807655.6901831762</v>
      </c>
      <c r="V266" s="19" t="n">
        <v>14281440.32635249</v>
      </c>
      <c r="W266" s="24" t="n">
        <v>1471324199.539255</v>
      </c>
      <c r="X266" s="24" t="n">
        <v>1348153695.411046</v>
      </c>
      <c r="Y266" s="19" t="n">
        <v>1123461.412842538</v>
      </c>
      <c r="Z266" s="19" t="n">
        <v>746260.8112710577</v>
      </c>
      <c r="AA266" s="19" t="n">
        <v>13195820.16644474</v>
      </c>
      <c r="AB266" s="24" t="n">
        <v>1359479793.353377</v>
      </c>
      <c r="AC266" s="24" t="n">
        <v>316199399.8464602</v>
      </c>
      <c r="AD266" s="19" t="n">
        <v>263499.4998720502</v>
      </c>
      <c r="AE266" s="19" t="n">
        <v>175029.9105035614</v>
      </c>
      <c r="AF266" s="19" t="n">
        <v>3094981.255708731</v>
      </c>
      <c r="AG266" s="24" t="n">
        <v>318855851.6917934</v>
      </c>
      <c r="AH266" s="24" t="n">
        <v>1044109580.382562</v>
      </c>
      <c r="AI266" s="19" t="n">
        <v>870091.3169854687</v>
      </c>
      <c r="AJ266" s="19" t="n">
        <v>577959.3715200303</v>
      </c>
      <c r="AK266" s="19" t="n">
        <v>10219815.6661875</v>
      </c>
      <c r="AL266" s="24" t="n">
        <v>1052881345.360244</v>
      </c>
      <c r="AM266" s="24" t="n">
        <v>9465107520.095959</v>
      </c>
      <c r="AN266" s="19" t="n">
        <v>7887589.600079967</v>
      </c>
      <c r="AO266" s="19" t="n">
        <v>5239342.398984404</v>
      </c>
      <c r="AP266" s="19" t="n">
        <v>92645116.88570392</v>
      </c>
      <c r="AQ266" s="24" t="n">
        <v>9544625704.982599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 t="n">
        <v>4757013707.263648</v>
      </c>
      <c r="J267" s="21" t="n">
        <v>3964178.089386374</v>
      </c>
      <c r="K267" s="21" t="n">
        <v>2633210.827885422</v>
      </c>
      <c r="L267" s="21" t="n">
        <v>95366129.42341895</v>
      </c>
      <c r="M267" s="25" t="n">
        <v>4845782447.769795</v>
      </c>
      <c r="N267" s="25" t="n">
        <v>585070807.7742823</v>
      </c>
      <c r="O267" s="21" t="n">
        <v>487559.0064785687</v>
      </c>
      <c r="P267" s="21" t="n">
        <v>323861.7504419827</v>
      </c>
      <c r="Q267" s="21" t="n">
        <v>11729194.36638783</v>
      </c>
      <c r="R267" s="25" t="n">
        <v>595988581.3837496</v>
      </c>
      <c r="S267" s="25" t="n">
        <v>1471324199.539255</v>
      </c>
      <c r="T267" s="21" t="n">
        <v>1226103.499616046</v>
      </c>
      <c r="U267" s="21" t="n">
        <v>814440.9606473919</v>
      </c>
      <c r="V267" s="21" t="n">
        <v>29496340.07209561</v>
      </c>
      <c r="W267" s="25" t="n">
        <v>1498779995.151087</v>
      </c>
      <c r="X267" s="25" t="n">
        <v>1359479793.353377</v>
      </c>
      <c r="Y267" s="21" t="n">
        <v>1132899.827794481</v>
      </c>
      <c r="Z267" s="21" t="n">
        <v>752530.2915741936</v>
      </c>
      <c r="AA267" s="21" t="n">
        <v>27254141.75777895</v>
      </c>
      <c r="AB267" s="25" t="n">
        <v>1384848504.991787</v>
      </c>
      <c r="AC267" s="25" t="n">
        <v>318855851.6917934</v>
      </c>
      <c r="AD267" s="21" t="n">
        <v>265713.2097431612</v>
      </c>
      <c r="AE267" s="21" t="n">
        <v>176500.370374679</v>
      </c>
      <c r="AF267" s="21" t="n">
        <v>6392255.791364013</v>
      </c>
      <c r="AG267" s="25" t="n">
        <v>324805893.9030396</v>
      </c>
      <c r="AH267" s="25" t="n">
        <v>1052881345.360244</v>
      </c>
      <c r="AI267" s="21" t="n">
        <v>877401.121133537</v>
      </c>
      <c r="AJ267" s="21" t="n">
        <v>582814.9191262164</v>
      </c>
      <c r="AK267" s="21" t="n">
        <v>21107616.00199096</v>
      </c>
      <c r="AL267" s="25" t="n">
        <v>1072528745.321975</v>
      </c>
      <c r="AM267" s="25" t="n">
        <v>9544625704.982599</v>
      </c>
      <c r="AN267" s="21" t="n">
        <v>7953854.754152167</v>
      </c>
      <c r="AO267" s="21" t="n">
        <v>5283359.120049885</v>
      </c>
      <c r="AP267" s="21" t="n">
        <v>191345677.4130363</v>
      </c>
      <c r="AQ267" s="25" t="n">
        <v>9722734168.521435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 t="n">
        <v>4845782447.769795</v>
      </c>
      <c r="J268" s="19" t="n">
        <v>4038152.039808163</v>
      </c>
      <c r="K268" s="19" t="n">
        <v>2682348.127683743</v>
      </c>
      <c r="L268" s="19" t="n">
        <v>264859114.2523004</v>
      </c>
      <c r="M268" s="24" t="n">
        <v>5103921061.854604</v>
      </c>
      <c r="N268" s="24" t="n">
        <v>595988581.3837496</v>
      </c>
      <c r="O268" s="19" t="n">
        <v>496657.1511531247</v>
      </c>
      <c r="P268" s="19" t="n">
        <v>329905.2057385175</v>
      </c>
      <c r="Q268" s="19" t="n">
        <v>32575339.37422937</v>
      </c>
      <c r="R268" s="24" t="n">
        <v>627737358.4010873</v>
      </c>
      <c r="S268" s="24" t="n">
        <v>1498779995.151087</v>
      </c>
      <c r="T268" s="19" t="n">
        <v>1248983.329292572</v>
      </c>
      <c r="U268" s="19" t="n">
        <v>829638.9194388271</v>
      </c>
      <c r="V268" s="19" t="n">
        <v>81919802.68480313</v>
      </c>
      <c r="W268" s="24" t="n">
        <v>1578621175.587159</v>
      </c>
      <c r="X268" s="24" t="n">
        <v>1384848504.991787</v>
      </c>
      <c r="Y268" s="19" t="n">
        <v>1154040.42082649</v>
      </c>
      <c r="Z268" s="19" t="n">
        <v>766572.9599974029</v>
      </c>
      <c r="AA268" s="19" t="n">
        <v>75692574.39003627</v>
      </c>
      <c r="AB268" s="24" t="n">
        <v>1458620466.001</v>
      </c>
      <c r="AC268" s="24" t="n">
        <v>324805893.9030396</v>
      </c>
      <c r="AD268" s="19" t="n">
        <v>270671.578252533</v>
      </c>
      <c r="AE268" s="19" t="n">
        <v>179793.9735764324</v>
      </c>
      <c r="AF268" s="19" t="n">
        <v>17753129.09531851</v>
      </c>
      <c r="AG268" s="24" t="n">
        <v>342108557.4465291</v>
      </c>
      <c r="AH268" s="24" t="n">
        <v>1072528745.321975</v>
      </c>
      <c r="AI268" s="19" t="n">
        <v>893773.9544349796</v>
      </c>
      <c r="AJ268" s="19" t="n">
        <v>593690.5964949885</v>
      </c>
      <c r="AK268" s="19" t="n">
        <v>58621908.13515542</v>
      </c>
      <c r="AL268" s="24" t="n">
        <v>1129663188.906201</v>
      </c>
      <c r="AM268" s="24" t="n">
        <v>9722734168.521435</v>
      </c>
      <c r="AN268" s="19" t="n">
        <v>8102278.473767862</v>
      </c>
      <c r="AO268" s="19" t="n">
        <v>5381949.782929911</v>
      </c>
      <c r="AP268" s="19" t="n">
        <v>531421867.9318432</v>
      </c>
      <c r="AQ268" s="24" t="n">
        <v>10240671808.19658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 t="n">
        <v>5103921061.854604</v>
      </c>
      <c r="J269" s="21" t="n">
        <v>4253267.551545504</v>
      </c>
      <c r="K269" s="21" t="n">
        <v>2825238.906548969</v>
      </c>
      <c r="L269" s="21" t="n">
        <v>147785317.9048466</v>
      </c>
      <c r="M269" s="25" t="n">
        <v>5244627873.301356</v>
      </c>
      <c r="N269" s="25" t="n">
        <v>627737358.4010873</v>
      </c>
      <c r="O269" s="21" t="n">
        <v>523114.4653342394</v>
      </c>
      <c r="P269" s="21" t="n">
        <v>347479.5136045048</v>
      </c>
      <c r="Q269" s="21" t="n">
        <v>18176293.07894184</v>
      </c>
      <c r="R269" s="25" t="n">
        <v>645043057.5010903</v>
      </c>
      <c r="S269" s="25" t="n">
        <v>1578621175.587159</v>
      </c>
      <c r="T269" s="21" t="n">
        <v>1315517.646322632</v>
      </c>
      <c r="U269" s="21" t="n">
        <v>873834.4323746838</v>
      </c>
      <c r="V269" s="21" t="n">
        <v>45709373.13844313</v>
      </c>
      <c r="W269" s="25" t="n">
        <v>1622141196.646904</v>
      </c>
      <c r="X269" s="25" t="n">
        <v>1458620466.001</v>
      </c>
      <c r="Y269" s="21" t="n">
        <v>1215517.055000833</v>
      </c>
      <c r="Z269" s="21" t="n">
        <v>807408.9000383536</v>
      </c>
      <c r="AA269" s="21" t="n">
        <v>42234722.41401489</v>
      </c>
      <c r="AB269" s="25" t="n">
        <v>1498832262.459976</v>
      </c>
      <c r="AC269" s="25" t="n">
        <v>342108557.4465291</v>
      </c>
      <c r="AD269" s="21" t="n">
        <v>285090.4645387743</v>
      </c>
      <c r="AE269" s="21" t="n">
        <v>189371.7389136241</v>
      </c>
      <c r="AF269" s="21" t="n">
        <v>9905839.315985108</v>
      </c>
      <c r="AG269" s="25" t="n">
        <v>351539934.5590618</v>
      </c>
      <c r="AH269" s="25" t="n">
        <v>1129663188.906201</v>
      </c>
      <c r="AI269" s="21" t="n">
        <v>941385.9907551674</v>
      </c>
      <c r="AJ269" s="21" t="n">
        <v>625316.95806327</v>
      </c>
      <c r="AK269" s="21" t="n">
        <v>32709681.72796196</v>
      </c>
      <c r="AL269" s="25" t="n">
        <v>1160806167.685344</v>
      </c>
      <c r="AM269" s="25" t="n">
        <v>10240671808.19658</v>
      </c>
      <c r="AN269" s="21" t="n">
        <v>8533893.17349715</v>
      </c>
      <c r="AO269" s="21" t="n">
        <v>5668650.449543404</v>
      </c>
      <c r="AP269" s="21" t="n">
        <v>296521227.5801935</v>
      </c>
      <c r="AQ269" s="25" t="n">
        <v>10522990492.15373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 t="n">
        <v>5244627873.301356</v>
      </c>
      <c r="J270" s="19" t="n">
        <v>4370523.22775113</v>
      </c>
      <c r="K270" s="19" t="n">
        <v>2903126.153098852</v>
      </c>
      <c r="L270" s="19" t="n">
        <v>124510417.7800599</v>
      </c>
      <c r="M270" s="24" t="n">
        <v>5361864641.700566</v>
      </c>
      <c r="N270" s="24" t="n">
        <v>645043057.5010903</v>
      </c>
      <c r="O270" s="19" t="n">
        <v>537535.8812509086</v>
      </c>
      <c r="P270" s="19" t="n">
        <v>357058.9592522383</v>
      </c>
      <c r="Q270" s="19" t="n">
        <v>15313685.26343738</v>
      </c>
      <c r="R270" s="24" t="n">
        <v>659462147.9240246</v>
      </c>
      <c r="S270" s="24" t="n">
        <v>1622141196.646904</v>
      </c>
      <c r="T270" s="19" t="n">
        <v>1351784.330539087</v>
      </c>
      <c r="U270" s="19" t="n">
        <v>897924.6279756218</v>
      </c>
      <c r="V270" s="19" t="n">
        <v>38510545.07049616</v>
      </c>
      <c r="W270" s="24" t="n">
        <v>1658402032.758886</v>
      </c>
      <c r="X270" s="24" t="n">
        <v>1498832262.459976</v>
      </c>
      <c r="Y270" s="19" t="n">
        <v>1249026.885383313</v>
      </c>
      <c r="Z270" s="19" t="n">
        <v>829667.8516328841</v>
      </c>
      <c r="AA270" s="19" t="n">
        <v>35583121.56542983</v>
      </c>
      <c r="AB270" s="24" t="n">
        <v>1532336689.288389</v>
      </c>
      <c r="AC270" s="24" t="n">
        <v>351539934.5590618</v>
      </c>
      <c r="AD270" s="19" t="n">
        <v>292949.9454658849</v>
      </c>
      <c r="AE270" s="19" t="n">
        <v>194592.4100873629</v>
      </c>
      <c r="AF270" s="19" t="n">
        <v>8345755.919336824</v>
      </c>
      <c r="AG270" s="24" t="n">
        <v>359398148.1228454</v>
      </c>
      <c r="AH270" s="24" t="n">
        <v>1160806167.685344</v>
      </c>
      <c r="AI270" s="19" t="n">
        <v>967338.4730711204</v>
      </c>
      <c r="AJ270" s="19" t="n">
        <v>642555.9306583308</v>
      </c>
      <c r="AK270" s="19" t="n">
        <v>27558191.80917273</v>
      </c>
      <c r="AL270" s="24" t="n">
        <v>1186754465.090788</v>
      </c>
      <c r="AM270" s="24" t="n">
        <v>10522990492.15373</v>
      </c>
      <c r="AN270" s="19" t="n">
        <v>8769158.743461445</v>
      </c>
      <c r="AO270" s="19" t="n">
        <v>5824925.932705291</v>
      </c>
      <c r="AP270" s="19" t="n">
        <v>249821717.4079328</v>
      </c>
      <c r="AQ270" s="24" t="n">
        <v>10758218124.8855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 t="n">
        <v>5361864641.700566</v>
      </c>
      <c r="J271" s="21" t="n">
        <v>4468220.534750472</v>
      </c>
      <c r="K271" s="21" t="n">
        <v>2968021.725609757</v>
      </c>
      <c r="L271" s="21" t="n">
        <v>166155650.5087539</v>
      </c>
      <c r="M271" s="25" t="n">
        <v>5520584049.948959</v>
      </c>
      <c r="N271" s="25" t="n">
        <v>659462147.9240246</v>
      </c>
      <c r="O271" s="21" t="n">
        <v>549551.7899366872</v>
      </c>
      <c r="P271" s="21" t="n">
        <v>365040.5433649673</v>
      </c>
      <c r="Q271" s="21" t="n">
        <v>20435682.26658258</v>
      </c>
      <c r="R271" s="25" t="n">
        <v>678983237.8573055</v>
      </c>
      <c r="S271" s="25" t="n">
        <v>1658402032.758886</v>
      </c>
      <c r="T271" s="21" t="n">
        <v>1382001.693965738</v>
      </c>
      <c r="U271" s="21" t="n">
        <v>917996.5538001055</v>
      </c>
      <c r="V271" s="21" t="n">
        <v>51391239.23700884</v>
      </c>
      <c r="W271" s="25" t="n">
        <v>1707493273.748129</v>
      </c>
      <c r="X271" s="25" t="n">
        <v>1532336689.288389</v>
      </c>
      <c r="Y271" s="21" t="n">
        <v>1276947.241073658</v>
      </c>
      <c r="Z271" s="21" t="n">
        <v>848213.9868630521</v>
      </c>
      <c r="AA271" s="21" t="n">
        <v>47484674.90712183</v>
      </c>
      <c r="AB271" s="25" t="n">
        <v>1577696202.967575</v>
      </c>
      <c r="AC271" s="25" t="n">
        <v>359398148.1228454</v>
      </c>
      <c r="AD271" s="21" t="n">
        <v>299498.4567690379</v>
      </c>
      <c r="AE271" s="21" t="n">
        <v>198942.2678589298</v>
      </c>
      <c r="AF271" s="21" t="n">
        <v>11137176.53902829</v>
      </c>
      <c r="AG271" s="25" t="n">
        <v>370036883.9372457</v>
      </c>
      <c r="AH271" s="25" t="n">
        <v>1186754465.090788</v>
      </c>
      <c r="AI271" s="21" t="n">
        <v>988962.0542423232</v>
      </c>
      <c r="AJ271" s="21" t="n">
        <v>656919.4246270097</v>
      </c>
      <c r="AK271" s="21" t="n">
        <v>36775631.85906698</v>
      </c>
      <c r="AL271" s="25" t="n">
        <v>1221884215.470985</v>
      </c>
      <c r="AM271" s="25" t="n">
        <v>10758218124.8855</v>
      </c>
      <c r="AN271" s="21" t="n">
        <v>8965181.770737916</v>
      </c>
      <c r="AO271" s="21" t="n">
        <v>5955134.502123822</v>
      </c>
      <c r="AP271" s="21" t="n">
        <v>333380055.3175624</v>
      </c>
      <c r="AQ271" s="25" t="n">
        <v>11076677863.9302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 t="n">
        <v>5520584049.948959</v>
      </c>
      <c r="J272" s="19" t="n">
        <v>4600486.7082908</v>
      </c>
      <c r="K272" s="19" t="n">
        <v>3055879.715961365</v>
      </c>
      <c r="L272" s="19" t="n">
        <v>302764654.427232</v>
      </c>
      <c r="M272" s="24" t="n">
        <v>5815692337.951939</v>
      </c>
      <c r="N272" s="24" t="n">
        <v>678983237.8573055</v>
      </c>
      <c r="O272" s="19" t="n">
        <v>565819.364881088</v>
      </c>
      <c r="P272" s="19" t="n">
        <v>375846.3027231863</v>
      </c>
      <c r="Q272" s="19" t="n">
        <v>37237387.11552645</v>
      </c>
      <c r="R272" s="24" t="n">
        <v>715278959.3052278</v>
      </c>
      <c r="S272" s="24" t="n">
        <v>1707493273.748129</v>
      </c>
      <c r="T272" s="19" t="n">
        <v>1422911.061456774</v>
      </c>
      <c r="U272" s="19" t="n">
        <v>945170.6582450484</v>
      </c>
      <c r="V272" s="19" t="n">
        <v>93643825.77744742</v>
      </c>
      <c r="W272" s="24" t="n">
        <v>1798769017.805875</v>
      </c>
      <c r="X272" s="24" t="n">
        <v>1577696202.967575</v>
      </c>
      <c r="Y272" s="19" t="n">
        <v>1314746.835806312</v>
      </c>
      <c r="Z272" s="19" t="n">
        <v>873322.4204135521</v>
      </c>
      <c r="AA272" s="19" t="n">
        <v>86525382.34374861</v>
      </c>
      <c r="AB272" s="24" t="n">
        <v>1662033516.055103</v>
      </c>
      <c r="AC272" s="24" t="n">
        <v>370036883.9372457</v>
      </c>
      <c r="AD272" s="19" t="n">
        <v>308364.0699477048</v>
      </c>
      <c r="AE272" s="19" t="n">
        <v>204831.2637848225</v>
      </c>
      <c r="AF272" s="19" t="n">
        <v>20293883.45090513</v>
      </c>
      <c r="AG272" s="24" t="n">
        <v>389817572.0544183</v>
      </c>
      <c r="AH272" s="24" t="n">
        <v>1221884215.470985</v>
      </c>
      <c r="AI272" s="19" t="n">
        <v>1018236.846225821</v>
      </c>
      <c r="AJ272" s="19" t="n">
        <v>676365.2460550205</v>
      </c>
      <c r="AK272" s="19" t="n">
        <v>67011632.99027804</v>
      </c>
      <c r="AL272" s="24" t="n">
        <v>1287201246.368982</v>
      </c>
      <c r="AM272" s="24" t="n">
        <v>11076677863.9302</v>
      </c>
      <c r="AN272" s="19" t="n">
        <v>9230564.8866085</v>
      </c>
      <c r="AO272" s="19" t="n">
        <v>6131415.607182994</v>
      </c>
      <c r="AP272" s="19" t="n">
        <v>607476766.1051376</v>
      </c>
      <c r="AQ272" s="24" t="n">
        <v>11668792649.54155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 t="n">
        <v>5815692337.951939</v>
      </c>
      <c r="J273" s="21" t="n">
        <v>4846410.281626616</v>
      </c>
      <c r="K273" s="21" t="n">
        <v>3219234.792736027</v>
      </c>
      <c r="L273" s="21" t="n">
        <v>142388955.3384741</v>
      </c>
      <c r="M273" s="25" t="n">
        <v>5950015648.21605</v>
      </c>
      <c r="N273" s="25" t="n">
        <v>715278959.3052278</v>
      </c>
      <c r="O273" s="21" t="n">
        <v>596065.7994210231</v>
      </c>
      <c r="P273" s="21" t="n">
        <v>395937.5390752376</v>
      </c>
      <c r="Q273" s="21" t="n">
        <v>17512587.98998455</v>
      </c>
      <c r="R273" s="25" t="n">
        <v>731799543.9567159</v>
      </c>
      <c r="S273" s="25" t="n">
        <v>1798769017.805875</v>
      </c>
      <c r="T273" s="21" t="n">
        <v>1498974.181504896</v>
      </c>
      <c r="U273" s="21" t="n">
        <v>995695.6918830969</v>
      </c>
      <c r="V273" s="21" t="n">
        <v>44040301.04363959</v>
      </c>
      <c r="W273" s="25" t="n">
        <v>1840314648.976126</v>
      </c>
      <c r="X273" s="25" t="n">
        <v>1662033516.055103</v>
      </c>
      <c r="Y273" s="21" t="n">
        <v>1385027.930045919</v>
      </c>
      <c r="Z273" s="21" t="n">
        <v>920006.7353394782</v>
      </c>
      <c r="AA273" s="21" t="n">
        <v>40692526.75975599</v>
      </c>
      <c r="AB273" s="25" t="n">
        <v>1700421008.149474</v>
      </c>
      <c r="AC273" s="25" t="n">
        <v>389817572.0544183</v>
      </c>
      <c r="AD273" s="21" t="n">
        <v>324847.9767120153</v>
      </c>
      <c r="AE273" s="21" t="n">
        <v>215780.7218563076</v>
      </c>
      <c r="AF273" s="21" t="n">
        <v>9544128.821119161</v>
      </c>
      <c r="AG273" s="25" t="n">
        <v>398821072.1769692</v>
      </c>
      <c r="AH273" s="25" t="n">
        <v>1287201246.368982</v>
      </c>
      <c r="AI273" s="21" t="n">
        <v>1072667.705307485</v>
      </c>
      <c r="AJ273" s="21" t="n">
        <v>712521.0201582798</v>
      </c>
      <c r="AK273" s="21" t="n">
        <v>31515291.75379426</v>
      </c>
      <c r="AL273" s="25" t="n">
        <v>1316931349.397311</v>
      </c>
      <c r="AM273" s="25" t="n">
        <v>11668792649.54155</v>
      </c>
      <c r="AN273" s="21" t="n">
        <v>9723993.874617955</v>
      </c>
      <c r="AO273" s="21" t="n">
        <v>6459176.501048427</v>
      </c>
      <c r="AP273" s="21" t="n">
        <v>285693791.7067676</v>
      </c>
      <c r="AQ273" s="25" t="n">
        <v>11938303270.87265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 t="n">
        <v>5950015648.21605</v>
      </c>
      <c r="J274" s="19" t="n">
        <v>4958346.373513375</v>
      </c>
      <c r="K274" s="19" t="n">
        <v>3293588.497978623</v>
      </c>
      <c r="L274" s="19" t="n">
        <v>329718643.8223187</v>
      </c>
      <c r="M274" s="24" t="n">
        <v>6271482357.166878</v>
      </c>
      <c r="N274" s="24" t="n">
        <v>731799543.9567159</v>
      </c>
      <c r="O274" s="19" t="n">
        <v>609832.9532972634</v>
      </c>
      <c r="P274" s="19" t="n">
        <v>405082.3902495934</v>
      </c>
      <c r="Q274" s="19" t="n">
        <v>40552490.52253221</v>
      </c>
      <c r="R274" s="24" t="n">
        <v>771337119.1357013</v>
      </c>
      <c r="S274" s="24" t="n">
        <v>1840314648.976126</v>
      </c>
      <c r="T274" s="19" t="n">
        <v>1533595.540813439</v>
      </c>
      <c r="U274" s="19" t="n">
        <v>1018692.978117904</v>
      </c>
      <c r="V274" s="19" t="n">
        <v>101980580.5802684</v>
      </c>
      <c r="W274" s="24" t="n">
        <v>1939742941.037463</v>
      </c>
      <c r="X274" s="24" t="n">
        <v>1700421008.149474</v>
      </c>
      <c r="Y274" s="19" t="n">
        <v>1417017.506791228</v>
      </c>
      <c r="Z274" s="19" t="n">
        <v>941255.8563340042</v>
      </c>
      <c r="AA274" s="19" t="n">
        <v>94228409.11386904</v>
      </c>
      <c r="AB274" s="24" t="n">
        <v>1792291143.900218</v>
      </c>
      <c r="AC274" s="24" t="n">
        <v>398821072.1769692</v>
      </c>
      <c r="AD274" s="19" t="n">
        <v>332350.8934808077</v>
      </c>
      <c r="AE274" s="19" t="n">
        <v>220764.5447902983</v>
      </c>
      <c r="AF274" s="19" t="n">
        <v>22100570.95990659</v>
      </c>
      <c r="AG274" s="24" t="n">
        <v>420368527.6986046</v>
      </c>
      <c r="AH274" s="24" t="n">
        <v>1316931349.397311</v>
      </c>
      <c r="AI274" s="19" t="n">
        <v>1097442.791164426</v>
      </c>
      <c r="AJ274" s="19" t="n">
        <v>728977.9055123847</v>
      </c>
      <c r="AK274" s="19" t="n">
        <v>72977424.6325832</v>
      </c>
      <c r="AL274" s="24" t="n">
        <v>1388082353.333217</v>
      </c>
      <c r="AM274" s="24" t="n">
        <v>11938303270.87265</v>
      </c>
      <c r="AN274" s="19" t="n">
        <v>9948586.059060538</v>
      </c>
      <c r="AO274" s="19" t="n">
        <v>6608362.172982809</v>
      </c>
      <c r="AP274" s="19" t="n">
        <v>661558119.6314783</v>
      </c>
      <c r="AQ274" s="24" t="n">
        <v>12583304442.27208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 t="n">
        <v>6271482357.166878</v>
      </c>
      <c r="J275" s="21" t="n">
        <v>5226235.297639065</v>
      </c>
      <c r="K275" s="21" t="n">
        <v>3471534.089668106</v>
      </c>
      <c r="L275" s="21" t="n">
        <v>158329978.3656133</v>
      </c>
      <c r="M275" s="25" t="n">
        <v>6421114566.145184</v>
      </c>
      <c r="N275" s="25" t="n">
        <v>771337119.1357013</v>
      </c>
      <c r="O275" s="21" t="n">
        <v>642780.9326130844</v>
      </c>
      <c r="P275" s="21" t="n">
        <v>426968.1314890327</v>
      </c>
      <c r="Q275" s="21" t="n">
        <v>19473193.48603254</v>
      </c>
      <c r="R275" s="25" t="n">
        <v>789740563.5576316</v>
      </c>
      <c r="S275" s="25" t="n">
        <v>1939742941.037463</v>
      </c>
      <c r="T275" s="21" t="n">
        <v>1616452.450864553</v>
      </c>
      <c r="U275" s="21" t="n">
        <v>1073730.796246174</v>
      </c>
      <c r="V275" s="21" t="n">
        <v>48970791.97525685</v>
      </c>
      <c r="W275" s="25" t="n">
        <v>1986023549.765609</v>
      </c>
      <c r="X275" s="25" t="n">
        <v>1792291143.900218</v>
      </c>
      <c r="Y275" s="21" t="n">
        <v>1493575.953250182</v>
      </c>
      <c r="Z275" s="21" t="n">
        <v>992109.9112316758</v>
      </c>
      <c r="AA275" s="21" t="n">
        <v>45248220.73593388</v>
      </c>
      <c r="AB275" s="25" t="n">
        <v>1835053678.77167</v>
      </c>
      <c r="AC275" s="25" t="n">
        <v>420368527.6986046</v>
      </c>
      <c r="AD275" s="21" t="n">
        <v>350307.1064155039</v>
      </c>
      <c r="AE275" s="21" t="n">
        <v>232691.9842900654</v>
      </c>
      <c r="AF275" s="21" t="n">
        <v>10612632.884161</v>
      </c>
      <c r="AG275" s="25" t="n">
        <v>430398161.4920601</v>
      </c>
      <c r="AH275" s="25" t="n">
        <v>1388082353.333217</v>
      </c>
      <c r="AI275" s="21" t="n">
        <v>1156735.294444348</v>
      </c>
      <c r="AJ275" s="21" t="n">
        <v>768363.0335587612</v>
      </c>
      <c r="AK275" s="21" t="n">
        <v>35043556.92267633</v>
      </c>
      <c r="AL275" s="25" t="n">
        <v>1421200811.92789</v>
      </c>
      <c r="AM275" s="25" t="n">
        <v>12583304442.27208</v>
      </c>
      <c r="AN275" s="21" t="n">
        <v>10486087.03522674</v>
      </c>
      <c r="AO275" s="21" t="n">
        <v>6965397.946483817</v>
      </c>
      <c r="AP275" s="21" t="n">
        <v>317678374.3696739</v>
      </c>
      <c r="AQ275" s="25" t="n">
        <v>12883531331.66004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 t="n">
        <v>6421114566.145184</v>
      </c>
      <c r="J276" s="19" t="n">
        <v>5350928.805120987</v>
      </c>
      <c r="K276" s="19" t="n">
        <v>3554361.926022762</v>
      </c>
      <c r="L276" s="19" t="n">
        <v>237532828.5920991</v>
      </c>
      <c r="M276" s="24" t="n">
        <v>6649742104.006139</v>
      </c>
      <c r="N276" s="24" t="n">
        <v>789740563.5576316</v>
      </c>
      <c r="O276" s="19" t="n">
        <v>658117.1362980264</v>
      </c>
      <c r="P276" s="19" t="n">
        <v>437155.2261884277</v>
      </c>
      <c r="Q276" s="19" t="n">
        <v>29214446.80411286</v>
      </c>
      <c r="R276" s="24" t="n">
        <v>817859737.999258</v>
      </c>
      <c r="S276" s="24" t="n">
        <v>1986023549.765609</v>
      </c>
      <c r="T276" s="19" t="n">
        <v>1655019.624804674</v>
      </c>
      <c r="U276" s="19" t="n">
        <v>1099349.095356391</v>
      </c>
      <c r="V276" s="19" t="n">
        <v>73467898.22340018</v>
      </c>
      <c r="W276" s="24" t="n">
        <v>2056737079.268848</v>
      </c>
      <c r="X276" s="24" t="n">
        <v>1835053678.77167</v>
      </c>
      <c r="Y276" s="19" t="n">
        <v>1529211.398976392</v>
      </c>
      <c r="Z276" s="19" t="n">
        <v>1015780.805784575</v>
      </c>
      <c r="AA276" s="19" t="n">
        <v>67883151.19545501</v>
      </c>
      <c r="AB276" s="24" t="n">
        <v>1900391837.762364</v>
      </c>
      <c r="AC276" s="24" t="n">
        <v>430398161.4920601</v>
      </c>
      <c r="AD276" s="19" t="n">
        <v>358665.1345767168</v>
      </c>
      <c r="AE276" s="19" t="n">
        <v>238243.8161597794</v>
      </c>
      <c r="AF276" s="19" t="n">
        <v>15921487.09806038</v>
      </c>
      <c r="AG276" s="24" t="n">
        <v>445722739.6393839</v>
      </c>
      <c r="AH276" s="24" t="n">
        <v>1421200811.92789</v>
      </c>
      <c r="AI276" s="19" t="n">
        <v>1184334.009939909</v>
      </c>
      <c r="AJ276" s="19" t="n">
        <v>786695.518840695</v>
      </c>
      <c r="AK276" s="19" t="n">
        <v>52573715.26035265</v>
      </c>
      <c r="AL276" s="24" t="n">
        <v>1471803497.659462</v>
      </c>
      <c r="AM276" s="24" t="n">
        <v>12883531331.66004</v>
      </c>
      <c r="AN276" s="19" t="n">
        <v>10736276.10971671</v>
      </c>
      <c r="AO276" s="19" t="n">
        <v>7131586.388352631</v>
      </c>
      <c r="AP276" s="19" t="n">
        <v>476593527.1734802</v>
      </c>
      <c r="AQ276" s="24" t="n">
        <v>13342256996.33545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 t="n">
        <v>6649742104.006139</v>
      </c>
      <c r="J277" s="21" t="n">
        <v>5541451.75333845</v>
      </c>
      <c r="K277" s="21" t="n">
        <v>3680917.060250986</v>
      </c>
      <c r="L277" s="21" t="n">
        <v>160429162.8716516</v>
      </c>
      <c r="M277" s="25" t="n">
        <v>6800948898.0642</v>
      </c>
      <c r="N277" s="25" t="n">
        <v>817859737.999258</v>
      </c>
      <c r="O277" s="21" t="n">
        <v>681549.7816660485</v>
      </c>
      <c r="P277" s="21" t="n">
        <v>452720.3935743929</v>
      </c>
      <c r="Q277" s="21" t="n">
        <v>19731374.70017109</v>
      </c>
      <c r="R277" s="25" t="n">
        <v>836456842.5241888</v>
      </c>
      <c r="S277" s="25" t="n">
        <v>2056737079.268848</v>
      </c>
      <c r="T277" s="21" t="n">
        <v>1713947.566057374</v>
      </c>
      <c r="U277" s="21" t="n">
        <v>1138492.062567439</v>
      </c>
      <c r="V277" s="21" t="n">
        <v>49620060.85550327</v>
      </c>
      <c r="W277" s="25" t="n">
        <v>2103504700.495727</v>
      </c>
      <c r="X277" s="25" t="n">
        <v>1900391837.762364</v>
      </c>
      <c r="Y277" s="21" t="n">
        <v>1583659.86480197</v>
      </c>
      <c r="Z277" s="21" t="n">
        <v>1051948.27519205</v>
      </c>
      <c r="AA277" s="21" t="n">
        <v>45848134.69332315</v>
      </c>
      <c r="AB277" s="25" t="n">
        <v>1943604364.315693</v>
      </c>
      <c r="AC277" s="25" t="n">
        <v>445722739.6393839</v>
      </c>
      <c r="AD277" s="21" t="n">
        <v>371435.6163661533</v>
      </c>
      <c r="AE277" s="21" t="n">
        <v>246726.6265096199</v>
      </c>
      <c r="AF277" s="21" t="n">
        <v>10753338.23098584</v>
      </c>
      <c r="AG277" s="25" t="n">
        <v>455857915.627494</v>
      </c>
      <c r="AH277" s="25" t="n">
        <v>1471803497.659462</v>
      </c>
      <c r="AI277" s="21" t="n">
        <v>1226502.914716219</v>
      </c>
      <c r="AJ277" s="21" t="n">
        <v>814706.2726850655</v>
      </c>
      <c r="AK277" s="21" t="n">
        <v>35508174.5048166</v>
      </c>
      <c r="AL277" s="25" t="n">
        <v>1505270462.976877</v>
      </c>
      <c r="AM277" s="25" t="n">
        <v>13342256996.33545</v>
      </c>
      <c r="AN277" s="21" t="n">
        <v>11118547.49694622</v>
      </c>
      <c r="AO277" s="21" t="n">
        <v>7385510.690779554</v>
      </c>
      <c r="AP277" s="21" t="n">
        <v>321890245.8564515</v>
      </c>
      <c r="AQ277" s="25" t="n">
        <v>13645643184.00418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 t="n">
        <v>6800948898.0642</v>
      </c>
      <c r="J278" s="19" t="n">
        <v>5667457.415053501</v>
      </c>
      <c r="K278" s="19" t="n">
        <v>3764616.49688611</v>
      </c>
      <c r="L278" s="19" t="n">
        <v>331314064.1104897</v>
      </c>
      <c r="M278" s="24" t="n">
        <v>7122830888.262751</v>
      </c>
      <c r="N278" s="24" t="n">
        <v>836456842.5241888</v>
      </c>
      <c r="O278" s="19" t="n">
        <v>697047.3687701573</v>
      </c>
      <c r="P278" s="19" t="n">
        <v>463014.6874351801</v>
      </c>
      <c r="Q278" s="19" t="n">
        <v>40748713.17274538</v>
      </c>
      <c r="R278" s="24" t="n">
        <v>876045493.6407288</v>
      </c>
      <c r="S278" s="24" t="n">
        <v>2103504700.495727</v>
      </c>
      <c r="T278" s="19" t="n">
        <v>1752920.583746439</v>
      </c>
      <c r="U278" s="19" t="n">
        <v>1164379.943954246</v>
      </c>
      <c r="V278" s="19" t="n">
        <v>102474037.3207519</v>
      </c>
      <c r="W278" s="24" t="n">
        <v>2203061437.288778</v>
      </c>
      <c r="X278" s="24" t="n">
        <v>1943604364.315693</v>
      </c>
      <c r="Y278" s="19" t="n">
        <v>1619670.303596411</v>
      </c>
      <c r="Z278" s="19" t="n">
        <v>1075868.259413825</v>
      </c>
      <c r="AA278" s="19" t="n">
        <v>94684355.17102724</v>
      </c>
      <c r="AB278" s="24" t="n">
        <v>2035593180.92371</v>
      </c>
      <c r="AC278" s="24" t="n">
        <v>455857915.627494</v>
      </c>
      <c r="AD278" s="19" t="n">
        <v>379881.596356245</v>
      </c>
      <c r="AE278" s="19" t="n">
        <v>252336.8805044034</v>
      </c>
      <c r="AF278" s="19" t="n">
        <v>22207509.70889827</v>
      </c>
      <c r="AG278" s="24" t="n">
        <v>477433206.8595315</v>
      </c>
      <c r="AH278" s="24" t="n">
        <v>1505270462.976877</v>
      </c>
      <c r="AI278" s="19" t="n">
        <v>1254392.052480731</v>
      </c>
      <c r="AJ278" s="19" t="n">
        <v>833231.6713644349</v>
      </c>
      <c r="AK278" s="19" t="n">
        <v>73330542.86237924</v>
      </c>
      <c r="AL278" s="24" t="n">
        <v>1576513382.115412</v>
      </c>
      <c r="AM278" s="24" t="n">
        <v>13645643184.00418</v>
      </c>
      <c r="AN278" s="19" t="n">
        <v>11371369.32000348</v>
      </c>
      <c r="AO278" s="19" t="n">
        <v>7553447.939558199</v>
      </c>
      <c r="AP278" s="19" t="n">
        <v>664759222.3462917</v>
      </c>
      <c r="AQ278" s="24" t="n">
        <v>14291477589.09091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 t="n">
        <v>7122830888.262751</v>
      </c>
      <c r="J279" s="21" t="n">
        <v>5935692.406885626</v>
      </c>
      <c r="K279" s="21" t="n">
        <v>3942791.96453253</v>
      </c>
      <c r="L279" s="21" t="n">
        <v>119459394.5059056</v>
      </c>
      <c r="M279" s="25" t="n">
        <v>7232411798.397238</v>
      </c>
      <c r="N279" s="25" t="n">
        <v>876045493.6407288</v>
      </c>
      <c r="O279" s="21" t="n">
        <v>730037.9113672741</v>
      </c>
      <c r="P279" s="21" t="n">
        <v>484928.701393617</v>
      </c>
      <c r="Q279" s="21" t="n">
        <v>14692453.86723945</v>
      </c>
      <c r="R279" s="25" t="n">
        <v>889522980.8952074</v>
      </c>
      <c r="S279" s="25" t="n">
        <v>2203061437.288778</v>
      </c>
      <c r="T279" s="21" t="n">
        <v>1835884.531073982</v>
      </c>
      <c r="U279" s="21" t="n">
        <v>1219488.861742755</v>
      </c>
      <c r="V279" s="21" t="n">
        <v>36948284.9566875</v>
      </c>
      <c r="W279" s="25" t="n">
        <v>2236954348.852648</v>
      </c>
      <c r="X279" s="25" t="n">
        <v>2035593180.92371</v>
      </c>
      <c r="Y279" s="21" t="n">
        <v>1696327.650769759</v>
      </c>
      <c r="Z279" s="21" t="n">
        <v>1126788.009249049</v>
      </c>
      <c r="AA279" s="21" t="n">
        <v>34139618.45622393</v>
      </c>
      <c r="AB279" s="25" t="n">
        <v>2066909683.719916</v>
      </c>
      <c r="AC279" s="25" t="n">
        <v>477433206.8595315</v>
      </c>
      <c r="AD279" s="21" t="n">
        <v>397861.0057162763</v>
      </c>
      <c r="AE279" s="21" t="n">
        <v>264279.72826207</v>
      </c>
      <c r="AF279" s="21" t="n">
        <v>8007193.025238723</v>
      </c>
      <c r="AG279" s="25" t="n">
        <v>484778259.1507919</v>
      </c>
      <c r="AH279" s="25" t="n">
        <v>1576513382.115412</v>
      </c>
      <c r="AI279" s="21" t="n">
        <v>1313761.151762843</v>
      </c>
      <c r="AJ279" s="21" t="n">
        <v>872667.6784121557</v>
      </c>
      <c r="AK279" s="21" t="n">
        <v>26440236.61551479</v>
      </c>
      <c r="AL279" s="25" t="n">
        <v>1600767189.900751</v>
      </c>
      <c r="AM279" s="25" t="n">
        <v>14291477589.09091</v>
      </c>
      <c r="AN279" s="21" t="n">
        <v>11909564.65757576</v>
      </c>
      <c r="AO279" s="21" t="n">
        <v>7910944.943592176</v>
      </c>
      <c r="AP279" s="21" t="n">
        <v>239687181.4268101</v>
      </c>
      <c r="AQ279" s="25" t="n">
        <v>14511344260.91655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 t="n">
        <v>7232411798.397238</v>
      </c>
      <c r="J280" s="19" t="n">
        <v>6027009.831997698</v>
      </c>
      <c r="K280" s="19" t="n">
        <v>4003449.691596691</v>
      </c>
      <c r="L280" s="19" t="n">
        <v>267504337.7357949</v>
      </c>
      <c r="M280" s="24" t="n">
        <v>7489885676.609438</v>
      </c>
      <c r="N280" s="24" t="n">
        <v>889522980.8952074</v>
      </c>
      <c r="O280" s="19" t="n">
        <v>741269.1507460062</v>
      </c>
      <c r="P280" s="19" t="n">
        <v>492389.0678241344</v>
      </c>
      <c r="Q280" s="19" t="n">
        <v>32900678.57555823</v>
      </c>
      <c r="R280" s="24" t="n">
        <v>921190001.2521955</v>
      </c>
      <c r="S280" s="24" t="n">
        <v>2236954348.852648</v>
      </c>
      <c r="T280" s="19" t="n">
        <v>1864128.624043874</v>
      </c>
      <c r="U280" s="19" t="n">
        <v>1238250.039912638</v>
      </c>
      <c r="V280" s="19" t="n">
        <v>82737959.10897154</v>
      </c>
      <c r="W280" s="24" t="n">
        <v>2316589929.297663</v>
      </c>
      <c r="X280" s="24" t="n">
        <v>2066909683.719916</v>
      </c>
      <c r="Y280" s="19" t="n">
        <v>1722424.736433263</v>
      </c>
      <c r="Z280" s="19" t="n">
        <v>1144123.034819514</v>
      </c>
      <c r="AA280" s="19" t="n">
        <v>76448537.70988622</v>
      </c>
      <c r="AB280" s="24" t="n">
        <v>2140491673.658549</v>
      </c>
      <c r="AC280" s="24" t="n">
        <v>484778259.1507919</v>
      </c>
      <c r="AD280" s="19" t="n">
        <v>403981.88262566</v>
      </c>
      <c r="AE280" s="19" t="n">
        <v>268345.5292908118</v>
      </c>
      <c r="AF280" s="19" t="n">
        <v>17930434.65688477</v>
      </c>
      <c r="AG280" s="24" t="n">
        <v>502036366.3957603</v>
      </c>
      <c r="AH280" s="24" t="n">
        <v>1600767189.900751</v>
      </c>
      <c r="AI280" s="19" t="n">
        <v>1333972.658250626</v>
      </c>
      <c r="AJ280" s="19" t="n">
        <v>886093.1998018229</v>
      </c>
      <c r="AK280" s="19" t="n">
        <v>59207381.84439184</v>
      </c>
      <c r="AL280" s="24" t="n">
        <v>1657754505.887091</v>
      </c>
      <c r="AM280" s="24" t="n">
        <v>14511344260.91655</v>
      </c>
      <c r="AN280" s="19" t="n">
        <v>12092786.88409713</v>
      </c>
      <c r="AO280" s="19" t="n">
        <v>8032650.563245612</v>
      </c>
      <c r="AP280" s="19" t="n">
        <v>536729329.6314875</v>
      </c>
      <c r="AQ280" s="24" t="n">
        <v>15027948153.10069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 t="n">
        <v>7489885676.609438</v>
      </c>
      <c r="J281" s="21" t="n">
        <v>6241571.397174532</v>
      </c>
      <c r="K281" s="21" t="n">
        <v>4145972.510686066</v>
      </c>
      <c r="L281" s="21" t="n">
        <v>421905417.9414355</v>
      </c>
      <c r="M281" s="25" t="n">
        <v>7901403550.643013</v>
      </c>
      <c r="N281" s="25" t="n">
        <v>921190001.2521955</v>
      </c>
      <c r="O281" s="21" t="n">
        <v>767658.3343768296</v>
      </c>
      <c r="P281" s="21" t="n">
        <v>509918.1198770146</v>
      </c>
      <c r="Q281" s="21" t="n">
        <v>51890652.17584436</v>
      </c>
      <c r="R281" s="25" t="n">
        <v>971803076.973786</v>
      </c>
      <c r="S281" s="25" t="n">
        <v>2316589929.297663</v>
      </c>
      <c r="T281" s="21" t="n">
        <v>1930491.607748053</v>
      </c>
      <c r="U281" s="21" t="n">
        <v>1282331.744447683</v>
      </c>
      <c r="V281" s="21" t="n">
        <v>130493559.5174128</v>
      </c>
      <c r="W281" s="25" t="n">
        <v>2443870665.46288</v>
      </c>
      <c r="X281" s="25" t="n">
        <v>2140491673.658549</v>
      </c>
      <c r="Y281" s="21" t="n">
        <v>1783743.061382124</v>
      </c>
      <c r="Z281" s="21" t="n">
        <v>1184853.817736518</v>
      </c>
      <c r="AA281" s="21" t="n">
        <v>120573941.0676675</v>
      </c>
      <c r="AB281" s="25" t="n">
        <v>2258097017.847098</v>
      </c>
      <c r="AC281" s="25" t="n">
        <v>502036366.3957603</v>
      </c>
      <c r="AD281" s="21" t="n">
        <v>418363.6386631336</v>
      </c>
      <c r="AE281" s="21" t="n">
        <v>277898.6308084442</v>
      </c>
      <c r="AF281" s="21" t="n">
        <v>28279719.09470947</v>
      </c>
      <c r="AG281" s="25" t="n">
        <v>529619823.2209982</v>
      </c>
      <c r="AH281" s="25" t="n">
        <v>1657754505.887091</v>
      </c>
      <c r="AI281" s="21" t="n">
        <v>1381462.088239242</v>
      </c>
      <c r="AJ281" s="21" t="n">
        <v>917638.1199432607</v>
      </c>
      <c r="AK281" s="21" t="n">
        <v>93381346.23801176</v>
      </c>
      <c r="AL281" s="25" t="n">
        <v>1748836751.91692</v>
      </c>
      <c r="AM281" s="25" t="n">
        <v>15027948153.10069</v>
      </c>
      <c r="AN281" s="21" t="n">
        <v>12523290.12758391</v>
      </c>
      <c r="AO281" s="21" t="n">
        <v>8318612.943498988</v>
      </c>
      <c r="AP281" s="21" t="n">
        <v>846524636.0350813</v>
      </c>
      <c r="AQ281" s="25" t="n">
        <v>15853630886.06469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 t="n">
        <v>7901403550.643013</v>
      </c>
      <c r="J282" s="19" t="n">
        <v>6584502.958869178</v>
      </c>
      <c r="K282" s="19" t="n">
        <v>4373765.27910273</v>
      </c>
      <c r="L282" s="19" t="n">
        <v>93643808.1638985</v>
      </c>
      <c r="M282" s="24" t="n">
        <v>7984089090.56894</v>
      </c>
      <c r="N282" s="24" t="n">
        <v>971803076.973786</v>
      </c>
      <c r="O282" s="19" t="n">
        <v>809835.8974781551</v>
      </c>
      <c r="P282" s="19" t="n">
        <v>537934.6250258593</v>
      </c>
      <c r="Q282" s="19" t="n">
        <v>11517364.01386734</v>
      </c>
      <c r="R282" s="24" t="n">
        <v>981972670.4651494</v>
      </c>
      <c r="S282" s="24" t="n">
        <v>2443870665.46288</v>
      </c>
      <c r="T282" s="19" t="n">
        <v>2036558.887885734</v>
      </c>
      <c r="U282" s="19" t="n">
        <v>1352787.083296026</v>
      </c>
      <c r="V282" s="19" t="n">
        <v>28963633.39844361</v>
      </c>
      <c r="W282" s="24" t="n">
        <v>2469444952.890142</v>
      </c>
      <c r="X282" s="24" t="n">
        <v>2258097017.847098</v>
      </c>
      <c r="Y282" s="19" t="n">
        <v>1881747.514872582</v>
      </c>
      <c r="Z282" s="19" t="n">
        <v>1249953.412732769</v>
      </c>
      <c r="AA282" s="19" t="n">
        <v>26761929.3963965</v>
      </c>
      <c r="AB282" s="24" t="n">
        <v>2281727246.315889</v>
      </c>
      <c r="AC282" s="24" t="n">
        <v>529619823.2209982</v>
      </c>
      <c r="AD282" s="19" t="n">
        <v>441349.8526841652</v>
      </c>
      <c r="AE282" s="19" t="n">
        <v>293167.2555491761</v>
      </c>
      <c r="AF282" s="19" t="n">
        <v>6276811.051052938</v>
      </c>
      <c r="AG282" s="24" t="n">
        <v>535162117.1638178</v>
      </c>
      <c r="AH282" s="24" t="n">
        <v>1748836751.91692</v>
      </c>
      <c r="AI282" s="19" t="n">
        <v>1457363.959930767</v>
      </c>
      <c r="AJ282" s="19" t="n">
        <v>968056.0441354179</v>
      </c>
      <c r="AK282" s="19" t="n">
        <v>20726410.47338432</v>
      </c>
      <c r="AL282" s="24" t="n">
        <v>1767137742.386239</v>
      </c>
      <c r="AM282" s="24" t="n">
        <v>15853630886.06469</v>
      </c>
      <c r="AN282" s="19" t="n">
        <v>13211359.07172058</v>
      </c>
      <c r="AO282" s="19" t="n">
        <v>8775663.699841978</v>
      </c>
      <c r="AP282" s="19" t="n">
        <v>187889956.4970432</v>
      </c>
      <c r="AQ282" s="24" t="n">
        <v>16019533819.79018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 t="n">
        <v>7984089090.56894</v>
      </c>
      <c r="J283" s="21" t="n">
        <v>6653407.575474117</v>
      </c>
      <c r="K283" s="21" t="n">
        <v>4419535.266838953</v>
      </c>
      <c r="L283" s="21" t="n">
        <v>411417219.3806754</v>
      </c>
      <c r="M283" s="25" t="n">
        <v>8384433367.107303</v>
      </c>
      <c r="N283" s="25" t="n">
        <v>981972670.4651494</v>
      </c>
      <c r="O283" s="21" t="n">
        <v>818310.5587209578</v>
      </c>
      <c r="P283" s="21" t="n">
        <v>543563.9305827809</v>
      </c>
      <c r="Q283" s="21" t="n">
        <v>50600696.08539391</v>
      </c>
      <c r="R283" s="25" t="n">
        <v>1031211492.06124</v>
      </c>
      <c r="S283" s="25" t="n">
        <v>2469444952.890142</v>
      </c>
      <c r="T283" s="21" t="n">
        <v>2057870.794075119</v>
      </c>
      <c r="U283" s="21" t="n">
        <v>1366943.546723091</v>
      </c>
      <c r="V283" s="21" t="n">
        <v>127249604.1072242</v>
      </c>
      <c r="W283" s="25" t="n">
        <v>2593269742.656569</v>
      </c>
      <c r="X283" s="25" t="n">
        <v>2281727246.315889</v>
      </c>
      <c r="Y283" s="21" t="n">
        <v>1901439.371929908</v>
      </c>
      <c r="Z283" s="21" t="n">
        <v>1263033.756263084</v>
      </c>
      <c r="AA283" s="21" t="n">
        <v>117576578.6698548</v>
      </c>
      <c r="AB283" s="25" t="n">
        <v>2396139351.857551</v>
      </c>
      <c r="AC283" s="25" t="n">
        <v>535162117.1638178</v>
      </c>
      <c r="AD283" s="21" t="n">
        <v>445968.4309698482</v>
      </c>
      <c r="AE283" s="21" t="n">
        <v>296235.152620667</v>
      </c>
      <c r="AF283" s="21" t="n">
        <v>27576710.08725225</v>
      </c>
      <c r="AG283" s="25" t="n">
        <v>561996623.6674795</v>
      </c>
      <c r="AH283" s="25" t="n">
        <v>1767137742.386239</v>
      </c>
      <c r="AI283" s="21" t="n">
        <v>1472614.785321865</v>
      </c>
      <c r="AJ283" s="21" t="n">
        <v>978186.4261839819</v>
      </c>
      <c r="AK283" s="21" t="n">
        <v>91059967.89213969</v>
      </c>
      <c r="AL283" s="25" t="n">
        <v>1855746909.066872</v>
      </c>
      <c r="AM283" s="25" t="n">
        <v>16019533819.79018</v>
      </c>
      <c r="AN283" s="21" t="n">
        <v>13349611.51649181</v>
      </c>
      <c r="AO283" s="21" t="n">
        <v>8867498.079212558</v>
      </c>
      <c r="AP283" s="21" t="n">
        <v>825480776.2225401</v>
      </c>
      <c r="AQ283" s="25" t="n">
        <v>16822797486.41702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 t="n">
        <v>8384433367.107303</v>
      </c>
      <c r="J284" s="19" t="n">
        <v>6987027.805922752</v>
      </c>
      <c r="K284" s="19" t="n">
        <v>4641142.970481491</v>
      </c>
      <c r="L284" s="19" t="n">
        <v>172227713.6478413</v>
      </c>
      <c r="M284" s="24" t="n">
        <v>8545032909.97874</v>
      </c>
      <c r="N284" s="24" t="n">
        <v>1031211492.06124</v>
      </c>
      <c r="O284" s="19" t="n">
        <v>859342.910051033</v>
      </c>
      <c r="P284" s="19" t="n">
        <v>570819.7272144296</v>
      </c>
      <c r="Q284" s="19" t="n">
        <v>21182492.57747526</v>
      </c>
      <c r="R284" s="24" t="n">
        <v>1050963822.001449</v>
      </c>
      <c r="S284" s="24" t="n">
        <v>2593269742.656569</v>
      </c>
      <c r="T284" s="19" t="n">
        <v>2161058.118880474</v>
      </c>
      <c r="U284" s="19" t="n">
        <v>1435485.87122296</v>
      </c>
      <c r="V284" s="19" t="n">
        <v>53269302.65819008</v>
      </c>
      <c r="W284" s="24" t="n">
        <v>2642942501.324656</v>
      </c>
      <c r="X284" s="24" t="n">
        <v>2396139351.857551</v>
      </c>
      <c r="Y284" s="19" t="n">
        <v>1996782.793214626</v>
      </c>
      <c r="Z284" s="19" t="n">
        <v>1326365.756903203</v>
      </c>
      <c r="AA284" s="19" t="n">
        <v>49219975.17101442</v>
      </c>
      <c r="AB284" s="24" t="n">
        <v>2442036178.478447</v>
      </c>
      <c r="AC284" s="24" t="n">
        <v>561996623.6674795</v>
      </c>
      <c r="AD284" s="19" t="n">
        <v>468330.5197228997</v>
      </c>
      <c r="AE284" s="19" t="n">
        <v>311089.2012811763</v>
      </c>
      <c r="AF284" s="19" t="n">
        <v>11544178.28064273</v>
      </c>
      <c r="AG284" s="24" t="n">
        <v>572761382.2271181</v>
      </c>
      <c r="AH284" s="24" t="n">
        <v>1855746909.066872</v>
      </c>
      <c r="AI284" s="19" t="n">
        <v>1546455.757555727</v>
      </c>
      <c r="AJ284" s="19" t="n">
        <v>1027235.395035401</v>
      </c>
      <c r="AK284" s="19" t="n">
        <v>38119576.27470589</v>
      </c>
      <c r="AL284" s="24" t="n">
        <v>1891292794.188987</v>
      </c>
      <c r="AM284" s="24" t="n">
        <v>16822797486.41702</v>
      </c>
      <c r="AN284" s="19" t="n">
        <v>14018997.90534751</v>
      </c>
      <c r="AO284" s="19" t="n">
        <v>9312138.922138661</v>
      </c>
      <c r="AP284" s="19" t="n">
        <v>345563238.6098697</v>
      </c>
      <c r="AQ284" s="24" t="n">
        <v>17145029588.1994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 t="n">
        <v>8545032909.97874</v>
      </c>
      <c r="J285" s="21" t="n">
        <v>7120860.758315617</v>
      </c>
      <c r="K285" s="21" t="n">
        <v>4730041.695872336</v>
      </c>
      <c r="L285" s="21" t="n">
        <v>448911293.8475757</v>
      </c>
      <c r="M285" s="25" t="n">
        <v>8982093301.372128</v>
      </c>
      <c r="N285" s="25" t="n">
        <v>1050963822.001449</v>
      </c>
      <c r="O285" s="21" t="n">
        <v>875803.185001208</v>
      </c>
      <c r="P285" s="21" t="n">
        <v>581753.4878203969</v>
      </c>
      <c r="Q285" s="21" t="n">
        <v>55212137.16692845</v>
      </c>
      <c r="R285" s="25" t="n">
        <v>1104718402.495556</v>
      </c>
      <c r="S285" s="25" t="n">
        <v>2642942501.324656</v>
      </c>
      <c r="T285" s="21" t="n">
        <v>2202452.084437213</v>
      </c>
      <c r="U285" s="21" t="n">
        <v>1462981.870609302</v>
      </c>
      <c r="V285" s="21" t="n">
        <v>138846362.5984269</v>
      </c>
      <c r="W285" s="25" t="n">
        <v>2778123429.968036</v>
      </c>
      <c r="X285" s="25" t="n">
        <v>2442036178.478447</v>
      </c>
      <c r="Y285" s="21" t="n">
        <v>2035030.148732039</v>
      </c>
      <c r="Z285" s="21" t="n">
        <v>1351771.616179829</v>
      </c>
      <c r="AA285" s="21" t="n">
        <v>128291796.1876026</v>
      </c>
      <c r="AB285" s="25" t="n">
        <v>2566941172.901137</v>
      </c>
      <c r="AC285" s="25" t="n">
        <v>572761382.2271181</v>
      </c>
      <c r="AD285" s="21" t="n">
        <v>477301.1518559318</v>
      </c>
      <c r="AE285" s="21" t="n">
        <v>317047.95619406</v>
      </c>
      <c r="AF285" s="21" t="n">
        <v>30089884.48262643</v>
      </c>
      <c r="AG285" s="25" t="n">
        <v>602056917.6016946</v>
      </c>
      <c r="AH285" s="25" t="n">
        <v>1891292794.188987</v>
      </c>
      <c r="AI285" s="21" t="n">
        <v>1576077.328490823</v>
      </c>
      <c r="AJ285" s="21" t="n">
        <v>1046911.564865941</v>
      </c>
      <c r="AK285" s="21" t="n">
        <v>99358622.04725988</v>
      </c>
      <c r="AL285" s="25" t="n">
        <v>1988028427.34289</v>
      </c>
      <c r="AM285" s="25" t="n">
        <v>17145029588.1994</v>
      </c>
      <c r="AN285" s="21" t="n">
        <v>14287524.65683283</v>
      </c>
      <c r="AO285" s="21" t="n">
        <v>9490508.191541865</v>
      </c>
      <c r="AP285" s="21" t="n">
        <v>900710096.3304199</v>
      </c>
      <c r="AQ285" s="25" t="n">
        <v>18021961651.68144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 t="n">
        <v>8982093301.372128</v>
      </c>
      <c r="J286" s="19" t="n">
        <v>7485077.75114344</v>
      </c>
      <c r="K286" s="19" t="n">
        <v>4971973.341623032</v>
      </c>
      <c r="L286" s="19" t="n">
        <v>220543884.5294006</v>
      </c>
      <c r="M286" s="24" t="n">
        <v>9190180134.808762</v>
      </c>
      <c r="N286" s="24" t="n">
        <v>1104718402.495556</v>
      </c>
      <c r="O286" s="19" t="n">
        <v>920598.668746297</v>
      </c>
      <c r="P286" s="19" t="n">
        <v>611508.9504101699</v>
      </c>
      <c r="Q286" s="19" t="n">
        <v>27124956.24603064</v>
      </c>
      <c r="R286" s="24" t="n">
        <v>1130311251.122431</v>
      </c>
      <c r="S286" s="24" t="n">
        <v>2778123429.968036</v>
      </c>
      <c r="T286" s="19" t="n">
        <v>2315102.858306697</v>
      </c>
      <c r="U286" s="19" t="n">
        <v>1537810.304356262</v>
      </c>
      <c r="V286" s="19" t="n">
        <v>68213289.75214446</v>
      </c>
      <c r="W286" s="24" t="n">
        <v>2842483806.557517</v>
      </c>
      <c r="X286" s="24" t="n">
        <v>2566941172.901137</v>
      </c>
      <c r="Y286" s="19" t="n">
        <v>2139117.644084281</v>
      </c>
      <c r="Z286" s="19" t="n">
        <v>1420911.880221656</v>
      </c>
      <c r="AA286" s="19" t="n">
        <v>63027977.84828065</v>
      </c>
      <c r="AB286" s="24" t="n">
        <v>2626409121.225111</v>
      </c>
      <c r="AC286" s="24" t="n">
        <v>602056917.6016946</v>
      </c>
      <c r="AD286" s="19" t="n">
        <v>501714.0980014122</v>
      </c>
      <c r="AE286" s="19" t="n">
        <v>333264.2897394618</v>
      </c>
      <c r="AF286" s="19" t="n">
        <v>14782742.38093153</v>
      </c>
      <c r="AG286" s="24" t="n">
        <v>616004681.5948852</v>
      </c>
      <c r="AH286" s="24" t="n">
        <v>1988028427.34289</v>
      </c>
      <c r="AI286" s="19" t="n">
        <v>1656690.356119075</v>
      </c>
      <c r="AJ286" s="19" t="n">
        <v>1100458.880963488</v>
      </c>
      <c r="AK286" s="19" t="n">
        <v>48813511.19500148</v>
      </c>
      <c r="AL286" s="24" t="n">
        <v>2034084789.300809</v>
      </c>
      <c r="AM286" s="24" t="n">
        <v>18021961651.68144</v>
      </c>
      <c r="AN286" s="19" t="n">
        <v>15018301.3764012</v>
      </c>
      <c r="AO286" s="19" t="n">
        <v>9975927.647314068</v>
      </c>
      <c r="AP286" s="19" t="n">
        <v>442506361.9517894</v>
      </c>
      <c r="AQ286" s="24" t="n">
        <v>18439473784.60951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 t="n">
        <v>9190180134.808762</v>
      </c>
      <c r="J287" s="21" t="n">
        <v>7658483.445673969</v>
      </c>
      <c r="K287" s="21" t="n">
        <v>5087158.316202581</v>
      </c>
      <c r="L287" s="21" t="n">
        <v>472950301.4527709</v>
      </c>
      <c r="M287" s="25" t="n">
        <v>9650384794.499655</v>
      </c>
      <c r="N287" s="25" t="n">
        <v>1130311251.122431</v>
      </c>
      <c r="O287" s="21" t="n">
        <v>941926.0426020256</v>
      </c>
      <c r="P287" s="21" t="n">
        <v>625675.6882561877</v>
      </c>
      <c r="Q287" s="21" t="n">
        <v>58168723.47572721</v>
      </c>
      <c r="R287" s="25" t="n">
        <v>1186912372.8673</v>
      </c>
      <c r="S287" s="25" t="n">
        <v>2842483806.557517</v>
      </c>
      <c r="T287" s="21" t="n">
        <v>2368736.505464598</v>
      </c>
      <c r="U287" s="21" t="n">
        <v>1573436.529326652</v>
      </c>
      <c r="V287" s="21" t="n">
        <v>146281525.8750064</v>
      </c>
      <c r="W287" s="25" t="n">
        <v>2984823159.397732</v>
      </c>
      <c r="X287" s="25" t="n">
        <v>2626409121.225111</v>
      </c>
      <c r="Y287" s="21" t="n">
        <v>2188674.267687593</v>
      </c>
      <c r="Z287" s="21" t="n">
        <v>1453829.936606424</v>
      </c>
      <c r="AA287" s="21" t="n">
        <v>135161766.9513256</v>
      </c>
      <c r="AB287" s="25" t="n">
        <v>2757928383.972143</v>
      </c>
      <c r="AC287" s="25" t="n">
        <v>616004681.5948852</v>
      </c>
      <c r="AD287" s="21" t="n">
        <v>513337.2346624044</v>
      </c>
      <c r="AE287" s="21" t="n">
        <v>340984.974486613</v>
      </c>
      <c r="AF287" s="21" t="n">
        <v>31701184.91509651</v>
      </c>
      <c r="AG287" s="25" t="n">
        <v>646851544.3008327</v>
      </c>
      <c r="AH287" s="25" t="n">
        <v>2034084789.300809</v>
      </c>
      <c r="AI287" s="21" t="n">
        <v>1695070.657750674</v>
      </c>
      <c r="AJ287" s="21" t="n">
        <v>1125953.049881988</v>
      </c>
      <c r="AK287" s="21" t="n">
        <v>104679233.7221508</v>
      </c>
      <c r="AL287" s="25" t="n">
        <v>2135942999.315327</v>
      </c>
      <c r="AM287" s="25" t="n">
        <v>18439473784.60951</v>
      </c>
      <c r="AN287" s="21" t="n">
        <v>15366228.15384126</v>
      </c>
      <c r="AO287" s="21" t="n">
        <v>10207038.49476044</v>
      </c>
      <c r="AP287" s="21" t="n">
        <v>948942736.3920774</v>
      </c>
      <c r="AQ287" s="25" t="n">
        <v>19362843254.35299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 t="n">
        <v>9650384794.499655</v>
      </c>
      <c r="J288" s="19" t="n">
        <v>8041987.328749713</v>
      </c>
      <c r="K288" s="19" t="n">
        <v>5341901.305715312</v>
      </c>
      <c r="L288" s="19" t="n">
        <v>141684648.2594913</v>
      </c>
      <c r="M288" s="24" t="n">
        <v>9778685554.12468</v>
      </c>
      <c r="N288" s="24" t="n">
        <v>1186912372.8673</v>
      </c>
      <c r="O288" s="19" t="n">
        <v>989093.6440560831</v>
      </c>
      <c r="P288" s="19" t="n">
        <v>657006.8333444333</v>
      </c>
      <c r="Q288" s="19" t="n">
        <v>17425964.41961468</v>
      </c>
      <c r="R288" s="24" t="n">
        <v>1202692236.809514</v>
      </c>
      <c r="S288" s="24" t="n">
        <v>2984823159.397732</v>
      </c>
      <c r="T288" s="19" t="n">
        <v>2487352.632831444</v>
      </c>
      <c r="U288" s="19" t="n">
        <v>1652227.457458885</v>
      </c>
      <c r="V288" s="19" t="n">
        <v>43822461.84598668</v>
      </c>
      <c r="W288" s="24" t="n">
        <v>3024506041.153429</v>
      </c>
      <c r="X288" s="24" t="n">
        <v>2757928383.972143</v>
      </c>
      <c r="Y288" s="19" t="n">
        <v>2298273.653310119</v>
      </c>
      <c r="Z288" s="19" t="n">
        <v>1526631.481452129</v>
      </c>
      <c r="AA288" s="19" t="n">
        <v>40491246.85998801</v>
      </c>
      <c r="AB288" s="24" t="n">
        <v>2794594725.697369</v>
      </c>
      <c r="AC288" s="24" t="n">
        <v>646851544.3008327</v>
      </c>
      <c r="AD288" s="19" t="n">
        <v>539042.9535840274</v>
      </c>
      <c r="AE288" s="19" t="n">
        <v>358060.0341526318</v>
      </c>
      <c r="AF288" s="19" t="n">
        <v>9496920.121009948</v>
      </c>
      <c r="AG288" s="24" t="n">
        <v>655451361.434106</v>
      </c>
      <c r="AH288" s="24" t="n">
        <v>2135942999.315327</v>
      </c>
      <c r="AI288" s="19" t="n">
        <v>1779952.499429439</v>
      </c>
      <c r="AJ288" s="19" t="n">
        <v>1182335.931669718</v>
      </c>
      <c r="AK288" s="19" t="n">
        <v>31359405.76512581</v>
      </c>
      <c r="AL288" s="24" t="n">
        <v>2164340116.649354</v>
      </c>
      <c r="AM288" s="24" t="n">
        <v>19362843254.35299</v>
      </c>
      <c r="AN288" s="19" t="n">
        <v>16135702.71196082</v>
      </c>
      <c r="AO288" s="19" t="n">
        <v>10718163.04379311</v>
      </c>
      <c r="AP288" s="19" t="n">
        <v>284280647.2712164</v>
      </c>
      <c r="AQ288" s="24" t="n">
        <v>19620270035.86845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 t="n">
        <v>9778685554.12468</v>
      </c>
      <c r="J289" s="21" t="n">
        <v>8148904.628437233</v>
      </c>
      <c r="K289" s="21" t="n">
        <v>5412921.27123584</v>
      </c>
      <c r="L289" s="21" t="n">
        <v>394920708.4311467</v>
      </c>
      <c r="M289" s="25" t="n">
        <v>10160044436.65615</v>
      </c>
      <c r="N289" s="25" t="n">
        <v>1202692236.809514</v>
      </c>
      <c r="O289" s="21" t="n">
        <v>1002243.530674595</v>
      </c>
      <c r="P289" s="21" t="n">
        <v>665741.6638814466</v>
      </c>
      <c r="Q289" s="21" t="n">
        <v>48571770.46511232</v>
      </c>
      <c r="R289" s="25" t="n">
        <v>1249596022.08007</v>
      </c>
      <c r="S289" s="25" t="n">
        <v>3024506041.153429</v>
      </c>
      <c r="T289" s="21" t="n">
        <v>2520421.700961191</v>
      </c>
      <c r="U289" s="21" t="n">
        <v>1674193.632111954</v>
      </c>
      <c r="V289" s="21" t="n">
        <v>122147303.1130218</v>
      </c>
      <c r="W289" s="25" t="n">
        <v>3142458728.933377</v>
      </c>
      <c r="X289" s="25" t="n">
        <v>2794594725.697369</v>
      </c>
      <c r="Y289" s="21" t="n">
        <v>2328828.938081141</v>
      </c>
      <c r="Z289" s="21" t="n">
        <v>1546927.87200118</v>
      </c>
      <c r="AA289" s="21" t="n">
        <v>112862134.9711803</v>
      </c>
      <c r="AB289" s="25" t="n">
        <v>2903581103.858467</v>
      </c>
      <c r="AC289" s="25" t="n">
        <v>655451361.434106</v>
      </c>
      <c r="AD289" s="21" t="n">
        <v>546209.4678617551</v>
      </c>
      <c r="AE289" s="21" t="n">
        <v>362820.4012624831</v>
      </c>
      <c r="AF289" s="21" t="n">
        <v>26470972.46015161</v>
      </c>
      <c r="AG289" s="25" t="n">
        <v>681013304.0251333</v>
      </c>
      <c r="AH289" s="25" t="n">
        <v>2164340116.649354</v>
      </c>
      <c r="AI289" s="21" t="n">
        <v>1803616.763874462</v>
      </c>
      <c r="AJ289" s="21" t="n">
        <v>1198054.952350805</v>
      </c>
      <c r="AK289" s="21" t="n">
        <v>87408755.23833369</v>
      </c>
      <c r="AL289" s="25" t="n">
        <v>2248747200.171463</v>
      </c>
      <c r="AM289" s="25" t="n">
        <v>19620270035.86845</v>
      </c>
      <c r="AN289" s="21" t="n">
        <v>16350225.02989038</v>
      </c>
      <c r="AO289" s="21" t="n">
        <v>10860659.79284371</v>
      </c>
      <c r="AP289" s="21" t="n">
        <v>792381644.6789465</v>
      </c>
      <c r="AQ289" s="25" t="n">
        <v>20385440795.72467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 t="n">
        <v>10160044436.65615</v>
      </c>
      <c r="J290" s="19" t="n">
        <v>8466703.697213462</v>
      </c>
      <c r="K290" s="19" t="n">
        <v>5624019.74615905</v>
      </c>
      <c r="L290" s="19" t="n">
        <v>99295205.72061059</v>
      </c>
      <c r="M290" s="24" t="n">
        <v>10245248918.93339</v>
      </c>
      <c r="N290" s="24" t="n">
        <v>1249596022.08007</v>
      </c>
      <c r="O290" s="19" t="n">
        <v>1041330.018400058</v>
      </c>
      <c r="P290" s="19" t="n">
        <v>691704.9178982793</v>
      </c>
      <c r="Q290" s="19" t="n">
        <v>12212436.16144397</v>
      </c>
      <c r="R290" s="24" t="n">
        <v>1260075423.305216</v>
      </c>
      <c r="S290" s="24" t="n">
        <v>3142458728.933377</v>
      </c>
      <c r="T290" s="19" t="n">
        <v>2618715.607444481</v>
      </c>
      <c r="U290" s="19" t="n">
        <v>1739485.496662627</v>
      </c>
      <c r="V290" s="19" t="n">
        <v>30711586.73599887</v>
      </c>
      <c r="W290" s="24" t="n">
        <v>3168812114.565269</v>
      </c>
      <c r="X290" s="24" t="n">
        <v>2903581103.858467</v>
      </c>
      <c r="Y290" s="19" t="n">
        <v>2419650.919882056</v>
      </c>
      <c r="Z290" s="19" t="n">
        <v>1607256.500154514</v>
      </c>
      <c r="AA290" s="19" t="n">
        <v>28377010.0447506</v>
      </c>
      <c r="AB290" s="24" t="n">
        <v>2927931206.483181</v>
      </c>
      <c r="AC290" s="24" t="n">
        <v>681013304.0251333</v>
      </c>
      <c r="AD290" s="19" t="n">
        <v>567511.0866876111</v>
      </c>
      <c r="AE290" s="19" t="n">
        <v>376970.0312939671</v>
      </c>
      <c r="AF290" s="19" t="n">
        <v>6655616.177984326</v>
      </c>
      <c r="AG290" s="24" t="n">
        <v>686724439.0851361</v>
      </c>
      <c r="AH290" s="24" t="n">
        <v>2248747200.171463</v>
      </c>
      <c r="AI290" s="19" t="n">
        <v>1873956.000142886</v>
      </c>
      <c r="AJ290" s="19" t="n">
        <v>1244777.88820051</v>
      </c>
      <c r="AK290" s="19" t="n">
        <v>21977247.95858875</v>
      </c>
      <c r="AL290" s="24" t="n">
        <v>2267605714.241708</v>
      </c>
      <c r="AM290" s="24" t="n">
        <v>20385440795.72467</v>
      </c>
      <c r="AN290" s="19" t="n">
        <v>16987867.32977055</v>
      </c>
      <c r="AO290" s="19" t="n">
        <v>11284214.58036895</v>
      </c>
      <c r="AP290" s="19" t="n">
        <v>199229102.7993771</v>
      </c>
      <c r="AQ290" s="24" t="n">
        <v>20556397816.6139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 t="n">
        <v>10245248918.93339</v>
      </c>
      <c r="J291" s="21" t="n">
        <v>8537707.432444492</v>
      </c>
      <c r="K291" s="21" t="n">
        <v>5671184.076371975</v>
      </c>
      <c r="L291" s="21" t="n">
        <v>193733289.5546399</v>
      </c>
      <c r="M291" s="25" t="n">
        <v>10424773316.97921</v>
      </c>
      <c r="N291" s="25" t="n">
        <v>1260075423.305216</v>
      </c>
      <c r="O291" s="21" t="n">
        <v>1050062.852754346</v>
      </c>
      <c r="P291" s="21" t="n">
        <v>697505.7153047855</v>
      </c>
      <c r="Q291" s="21" t="n">
        <v>23827489.09035676</v>
      </c>
      <c r="R291" s="25" t="n">
        <v>1282155343.827513</v>
      </c>
      <c r="S291" s="25" t="n">
        <v>3168812114.565269</v>
      </c>
      <c r="T291" s="21" t="n">
        <v>2640676.762137725</v>
      </c>
      <c r="U291" s="21" t="n">
        <v>1754073.224314405</v>
      </c>
      <c r="V291" s="21" t="n">
        <v>59920886.23643086</v>
      </c>
      <c r="W291" s="25" t="n">
        <v>3224338250.815248</v>
      </c>
      <c r="X291" s="25" t="n">
        <v>2927931206.483181</v>
      </c>
      <c r="Y291" s="21" t="n">
        <v>2439942.672069318</v>
      </c>
      <c r="Z291" s="21" t="n">
        <v>1620735.324862043</v>
      </c>
      <c r="AA291" s="21" t="n">
        <v>55365930.95101938</v>
      </c>
      <c r="AB291" s="25" t="n">
        <v>2979236459.437269</v>
      </c>
      <c r="AC291" s="25" t="n">
        <v>686724439.0851361</v>
      </c>
      <c r="AD291" s="21" t="n">
        <v>572270.3659042801</v>
      </c>
      <c r="AE291" s="21" t="n">
        <v>380131.3891552135</v>
      </c>
      <c r="AF291" s="21" t="n">
        <v>12985666.39563687</v>
      </c>
      <c r="AG291" s="25" t="n">
        <v>698757703.7257134</v>
      </c>
      <c r="AH291" s="25" t="n">
        <v>2267605714.241708</v>
      </c>
      <c r="AI291" s="21" t="n">
        <v>1889671.428534757</v>
      </c>
      <c r="AJ291" s="21" t="n">
        <v>1255216.88344069</v>
      </c>
      <c r="AK291" s="21" t="n">
        <v>42879457.38644682</v>
      </c>
      <c r="AL291" s="25" t="n">
        <v>2307340283.316179</v>
      </c>
      <c r="AM291" s="25" t="n">
        <v>20556397816.6139</v>
      </c>
      <c r="AN291" s="21" t="n">
        <v>17130331.51384492</v>
      </c>
      <c r="AO291" s="21" t="n">
        <v>11378846.61344911</v>
      </c>
      <c r="AP291" s="21" t="n">
        <v>388712719.6145306</v>
      </c>
      <c r="AQ291" s="25" t="n">
        <v>20916601358.10114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 t="n">
        <v>10424773316.97921</v>
      </c>
      <c r="J292" s="19" t="n">
        <v>8687311.097482679</v>
      </c>
      <c r="K292" s="19" t="n">
        <v>5770558.519645505</v>
      </c>
      <c r="L292" s="19" t="n">
        <v>505432263.5633875</v>
      </c>
      <c r="M292" s="24" t="n">
        <v>10915747710.92547</v>
      </c>
      <c r="N292" s="24" t="n">
        <v>1282155343.827513</v>
      </c>
      <c r="O292" s="19" t="n">
        <v>1068462.786522928</v>
      </c>
      <c r="P292" s="19" t="n">
        <v>709727.8969876732</v>
      </c>
      <c r="Q292" s="19" t="n">
        <v>62163718.86141085</v>
      </c>
      <c r="R292" s="24" t="n">
        <v>1342540872.005414</v>
      </c>
      <c r="S292" s="24" t="n">
        <v>3224338250.815248</v>
      </c>
      <c r="T292" s="19" t="n">
        <v>2686948.54234604</v>
      </c>
      <c r="U292" s="19" t="n">
        <v>1784809.318890048</v>
      </c>
      <c r="V292" s="19" t="n">
        <v>156328059.2345578</v>
      </c>
      <c r="W292" s="24" t="n">
        <v>3376194552.18857</v>
      </c>
      <c r="X292" s="24" t="n">
        <v>2979236459.437269</v>
      </c>
      <c r="Y292" s="19" t="n">
        <v>2482697.049531057</v>
      </c>
      <c r="Z292" s="19" t="n">
        <v>1649134.979754737</v>
      </c>
      <c r="AA292" s="19" t="n">
        <v>144444601.4889739</v>
      </c>
      <c r="AB292" s="24" t="n">
        <v>3119549228.896957</v>
      </c>
      <c r="AC292" s="24" t="n">
        <v>698757703.7257134</v>
      </c>
      <c r="AD292" s="19" t="n">
        <v>582298.0864380945</v>
      </c>
      <c r="AE292" s="19" t="n">
        <v>386792.3165134839</v>
      </c>
      <c r="AF292" s="19" t="n">
        <v>33878404.5597628</v>
      </c>
      <c r="AG292" s="24" t="n">
        <v>731667017.8825246</v>
      </c>
      <c r="AH292" s="24" t="n">
        <v>2307340283.316179</v>
      </c>
      <c r="AI292" s="19" t="n">
        <v>1922783.56943015</v>
      </c>
      <c r="AJ292" s="19" t="n">
        <v>1277211.669238448</v>
      </c>
      <c r="AK292" s="19" t="n">
        <v>111868544.9311444</v>
      </c>
      <c r="AL292" s="24" t="n">
        <v>2416008833.008655</v>
      </c>
      <c r="AM292" s="24" t="n">
        <v>20916601358.10114</v>
      </c>
      <c r="AN292" s="19" t="n">
        <v>17430501.13175095</v>
      </c>
      <c r="AO292" s="19" t="n">
        <v>11578234.70102989</v>
      </c>
      <c r="AP292" s="19" t="n">
        <v>1014115592.639237</v>
      </c>
      <c r="AQ292" s="24" t="n">
        <v>21901708214.90759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 t="n">
        <v>10915747710.92547</v>
      </c>
      <c r="J293" s="21" t="n">
        <v>9096456.425771227</v>
      </c>
      <c r="K293" s="21" t="n">
        <v>6042333.874923479</v>
      </c>
      <c r="L293" s="21" t="n">
        <v>287185906.7756022</v>
      </c>
      <c r="M293" s="25" t="n">
        <v>11187794827.40038</v>
      </c>
      <c r="N293" s="25" t="n">
        <v>1342540872.005414</v>
      </c>
      <c r="O293" s="21" t="n">
        <v>1118784.060004511</v>
      </c>
      <c r="P293" s="21" t="n">
        <v>743153.8731211523</v>
      </c>
      <c r="Q293" s="21" t="n">
        <v>35321338.30138636</v>
      </c>
      <c r="R293" s="25" t="n">
        <v>1376000272.373674</v>
      </c>
      <c r="S293" s="25" t="n">
        <v>3376194552.18857</v>
      </c>
      <c r="T293" s="21" t="n">
        <v>2813495.460157142</v>
      </c>
      <c r="U293" s="21" t="n">
        <v>1868868.285642296</v>
      </c>
      <c r="V293" s="21" t="n">
        <v>88825385.08568344</v>
      </c>
      <c r="W293" s="25" t="n">
        <v>3460337573.528454</v>
      </c>
      <c r="X293" s="25" t="n">
        <v>3119549228.896957</v>
      </c>
      <c r="Y293" s="21" t="n">
        <v>2599624.357414131</v>
      </c>
      <c r="Z293" s="21" t="n">
        <v>1726804.107188127</v>
      </c>
      <c r="AA293" s="21" t="n">
        <v>82073220.97919269</v>
      </c>
      <c r="AB293" s="25" t="n">
        <v>3197296021.411547</v>
      </c>
      <c r="AC293" s="25" t="n">
        <v>731667017.8825246</v>
      </c>
      <c r="AD293" s="21" t="n">
        <v>609722.5149021039</v>
      </c>
      <c r="AE293" s="21" t="n">
        <v>405009.0313914919</v>
      </c>
      <c r="AF293" s="21" t="n">
        <v>19249662.19016604</v>
      </c>
      <c r="AG293" s="25" t="n">
        <v>749901948.526397</v>
      </c>
      <c r="AH293" s="25" t="n">
        <v>2416008833.008655</v>
      </c>
      <c r="AI293" s="21" t="n">
        <v>2013340.694173879</v>
      </c>
      <c r="AJ293" s="21" t="n">
        <v>1337364.365721938</v>
      </c>
      <c r="AK293" s="21" t="n">
        <v>63563551.10616867</v>
      </c>
      <c r="AL293" s="25" t="n">
        <v>2476221679.054928</v>
      </c>
      <c r="AM293" s="25" t="n">
        <v>21901708214.90759</v>
      </c>
      <c r="AN293" s="21" t="n">
        <v>18251423.51242299</v>
      </c>
      <c r="AO293" s="21" t="n">
        <v>12123533.53798848</v>
      </c>
      <c r="AP293" s="21" t="n">
        <v>576219064.4381993</v>
      </c>
      <c r="AQ293" s="25" t="n">
        <v>22447552322.29538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 t="n">
        <v>11187794827.40038</v>
      </c>
      <c r="J294" s="19" t="n">
        <v>9323162.356166983</v>
      </c>
      <c r="K294" s="19" t="n">
        <v>6192923.605556985</v>
      </c>
      <c r="L294" s="19" t="n">
        <v>318967077.8998837</v>
      </c>
      <c r="M294" s="24" t="n">
        <v>11491245819.33854</v>
      </c>
      <c r="N294" s="24" t="n">
        <v>1376000272.373674</v>
      </c>
      <c r="O294" s="19" t="n">
        <v>1146666.893644728</v>
      </c>
      <c r="P294" s="19" t="n">
        <v>761675.0842771608</v>
      </c>
      <c r="Q294" s="19" t="n">
        <v>39230142.56514198</v>
      </c>
      <c r="R294" s="24" t="n">
        <v>1413322072.960894</v>
      </c>
      <c r="S294" s="24" t="n">
        <v>3460337573.528454</v>
      </c>
      <c r="T294" s="19" t="n">
        <v>2883614.644607045</v>
      </c>
      <c r="U294" s="19" t="n">
        <v>1915445.051764466</v>
      </c>
      <c r="V294" s="19" t="n">
        <v>98655166.76015151</v>
      </c>
      <c r="W294" s="24" t="n">
        <v>3554193680.592234</v>
      </c>
      <c r="X294" s="24" t="n">
        <v>3197296021.411547</v>
      </c>
      <c r="Y294" s="19" t="n">
        <v>2664413.351176289</v>
      </c>
      <c r="Z294" s="19" t="n">
        <v>1769840.286707682</v>
      </c>
      <c r="AA294" s="19" t="n">
        <v>91155780.4611202</v>
      </c>
      <c r="AB294" s="24" t="n">
        <v>3284017548.234783</v>
      </c>
      <c r="AC294" s="24" t="n">
        <v>749901948.526397</v>
      </c>
      <c r="AD294" s="19" t="n">
        <v>624918.2904386641</v>
      </c>
      <c r="AE294" s="19" t="n">
        <v>415102.8464973569</v>
      </c>
      <c r="AF294" s="19" t="n">
        <v>21379908.81340407</v>
      </c>
      <c r="AG294" s="24" t="n">
        <v>770241836.202865</v>
      </c>
      <c r="AH294" s="24" t="n">
        <v>2476221679.054928</v>
      </c>
      <c r="AI294" s="19" t="n">
        <v>2063518.065879107</v>
      </c>
      <c r="AJ294" s="19" t="n">
        <v>1370694.754899657</v>
      </c>
      <c r="AK294" s="19" t="n">
        <v>70597754.55178072</v>
      </c>
      <c r="AL294" s="24" t="n">
        <v>2543385220.78593</v>
      </c>
      <c r="AM294" s="24" t="n">
        <v>22447552322.29538</v>
      </c>
      <c r="AN294" s="19" t="n">
        <v>18706293.60191282</v>
      </c>
      <c r="AO294" s="19" t="n">
        <v>12425681.62970331</v>
      </c>
      <c r="AP294" s="19" t="n">
        <v>639985831.0514822</v>
      </c>
      <c r="AQ294" s="24" t="n">
        <v>23056406178.11525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 t="n">
        <v>11491245819.33854</v>
      </c>
      <c r="J295" s="21" t="n">
        <v>9576038.182782117</v>
      </c>
      <c r="K295" s="21" t="n">
        <v>6360896.726274304</v>
      </c>
      <c r="L295" s="21" t="n">
        <v>336986131.7403327</v>
      </c>
      <c r="M295" s="25" t="n">
        <v>11812295016.16982</v>
      </c>
      <c r="N295" s="25" t="n">
        <v>1413322072.960894</v>
      </c>
      <c r="O295" s="21" t="n">
        <v>1177768.394134078</v>
      </c>
      <c r="P295" s="21" t="n">
        <v>782334.2993793555</v>
      </c>
      <c r="Q295" s="21" t="n">
        <v>41446327.55734879</v>
      </c>
      <c r="R295" s="25" t="n">
        <v>1452808297.824729</v>
      </c>
      <c r="S295" s="25" t="n">
        <v>3554193680.592234</v>
      </c>
      <c r="T295" s="21" t="n">
        <v>2961828.067160195</v>
      </c>
      <c r="U295" s="21" t="n">
        <v>1967398.426842227</v>
      </c>
      <c r="V295" s="21" t="n">
        <v>104228383.8244142</v>
      </c>
      <c r="W295" s="25" t="n">
        <v>3653492837.922646</v>
      </c>
      <c r="X295" s="25" t="n">
        <v>3284017548.234783</v>
      </c>
      <c r="Y295" s="21" t="n">
        <v>2736681.290195653</v>
      </c>
      <c r="Z295" s="21" t="n">
        <v>1817844.366051203</v>
      </c>
      <c r="AA295" s="21" t="n">
        <v>96305343.00159226</v>
      </c>
      <c r="AB295" s="25" t="n">
        <v>3375768365.580129</v>
      </c>
      <c r="AC295" s="25" t="n">
        <v>770241836.202865</v>
      </c>
      <c r="AD295" s="21" t="n">
        <v>641868.1968357209</v>
      </c>
      <c r="AE295" s="21" t="n">
        <v>426361.8454751962</v>
      </c>
      <c r="AF295" s="21" t="n">
        <v>22587700.32138389</v>
      </c>
      <c r="AG295" s="25" t="n">
        <v>791761306.4819379</v>
      </c>
      <c r="AH295" s="25" t="n">
        <v>2543385220.78593</v>
      </c>
      <c r="AI295" s="21" t="n">
        <v>2119487.683988275</v>
      </c>
      <c r="AJ295" s="21" t="n">
        <v>1407872.651834274</v>
      </c>
      <c r="AK295" s="21" t="n">
        <v>74585955.30484597</v>
      </c>
      <c r="AL295" s="25" t="n">
        <v>2614443815.754953</v>
      </c>
      <c r="AM295" s="25" t="n">
        <v>23056406178.11525</v>
      </c>
      <c r="AN295" s="21" t="n">
        <v>19213671.81509604</v>
      </c>
      <c r="AO295" s="21" t="n">
        <v>12762708.31585656</v>
      </c>
      <c r="AP295" s="21" t="n">
        <v>676139841.7499177</v>
      </c>
      <c r="AQ295" s="25" t="n">
        <v>23700569639.73421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 t="n">
        <v>11812295016.16982</v>
      </c>
      <c r="J296" s="19" t="n">
        <v>9843579.180141514</v>
      </c>
      <c r="K296" s="19" t="n">
        <v>6538611.207123746</v>
      </c>
      <c r="L296" s="19" t="n">
        <v>131233328.6082509</v>
      </c>
      <c r="M296" s="24" t="n">
        <v>11927146154.3908</v>
      </c>
      <c r="N296" s="24" t="n">
        <v>1452808297.824729</v>
      </c>
      <c r="O296" s="19" t="n">
        <v>1210673.581520608</v>
      </c>
      <c r="P296" s="19" t="n">
        <v>804191.6160200468</v>
      </c>
      <c r="Q296" s="19" t="n">
        <v>16140544.11037286</v>
      </c>
      <c r="R296" s="24" t="n">
        <v>1466933976.737562</v>
      </c>
      <c r="S296" s="24" t="n">
        <v>3653492837.922646</v>
      </c>
      <c r="T296" s="19" t="n">
        <v>3044577.364935538</v>
      </c>
      <c r="U296" s="19" t="n">
        <v>2022364.763366144</v>
      </c>
      <c r="V296" s="19" t="n">
        <v>40589912.92637564</v>
      </c>
      <c r="W296" s="24" t="n">
        <v>3689015808.72072</v>
      </c>
      <c r="X296" s="24" t="n">
        <v>3375768365.580129</v>
      </c>
      <c r="Y296" s="19" t="n">
        <v>2813140.304650107</v>
      </c>
      <c r="Z296" s="19" t="n">
        <v>1868632.373101128</v>
      </c>
      <c r="AA296" s="19" t="n">
        <v>37504423.87521438</v>
      </c>
      <c r="AB296" s="24" t="n">
        <v>3408591016.777592</v>
      </c>
      <c r="AC296" s="24" t="n">
        <v>791761306.4819379</v>
      </c>
      <c r="AD296" s="19" t="n">
        <v>659801.0887349483</v>
      </c>
      <c r="AE296" s="19" t="n">
        <v>438273.7939446086</v>
      </c>
      <c r="AF296" s="19" t="n">
        <v>8796383.054318091</v>
      </c>
      <c r="AG296" s="24" t="n">
        <v>799459614.6535764</v>
      </c>
      <c r="AH296" s="24" t="n">
        <v>2614443815.754953</v>
      </c>
      <c r="AI296" s="19" t="n">
        <v>2178703.179795794</v>
      </c>
      <c r="AJ296" s="19" t="n">
        <v>1447206.627559643</v>
      </c>
      <c r="AK296" s="19" t="n">
        <v>29046189.91746376</v>
      </c>
      <c r="AL296" s="24" t="n">
        <v>2639864095.865061</v>
      </c>
      <c r="AM296" s="24" t="n">
        <v>23700569639.73421</v>
      </c>
      <c r="AN296" s="19" t="n">
        <v>19750474.69977851</v>
      </c>
      <c r="AO296" s="19" t="n">
        <v>13119280.38111532</v>
      </c>
      <c r="AP296" s="19" t="n">
        <v>263310782.4919957</v>
      </c>
      <c r="AQ296" s="24" t="n">
        <v>23931010667.14532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 t="n">
        <v>11927146154.3908</v>
      </c>
      <c r="J297" s="21" t="n">
        <v>9939288.461992338</v>
      </c>
      <c r="K297" s="21" t="n">
        <v>6602186.231155458</v>
      </c>
      <c r="L297" s="21" t="n">
        <v>545609878.2910095</v>
      </c>
      <c r="M297" s="25" t="n">
        <v>12456214557.98867</v>
      </c>
      <c r="N297" s="25" t="n">
        <v>1466933976.737562</v>
      </c>
      <c r="O297" s="21" t="n">
        <v>1222444.980614635</v>
      </c>
      <c r="P297" s="21" t="n">
        <v>812010.7842952415</v>
      </c>
      <c r="Q297" s="21" t="n">
        <v>67105211.77055265</v>
      </c>
      <c r="R297" s="25" t="n">
        <v>1532004732.743204</v>
      </c>
      <c r="S297" s="25" t="n">
        <v>3689015808.72072</v>
      </c>
      <c r="T297" s="21" t="n">
        <v>3074179.8406006</v>
      </c>
      <c r="U297" s="21" t="n">
        <v>2042028.249136916</v>
      </c>
      <c r="V297" s="21" t="n">
        <v>168754825.3669007</v>
      </c>
      <c r="W297" s="25" t="n">
        <v>3852654425.997883</v>
      </c>
      <c r="X297" s="25" t="n">
        <v>3408591016.777592</v>
      </c>
      <c r="Y297" s="21" t="n">
        <v>2840492.513981326</v>
      </c>
      <c r="Z297" s="21" t="n">
        <v>1886801.116319399</v>
      </c>
      <c r="AA297" s="21" t="n">
        <v>155926732.659615</v>
      </c>
      <c r="AB297" s="25" t="n">
        <v>3559790455.806906</v>
      </c>
      <c r="AC297" s="25" t="n">
        <v>799459614.6535764</v>
      </c>
      <c r="AD297" s="21" t="n">
        <v>666216.3455446471</v>
      </c>
      <c r="AE297" s="21" t="n">
        <v>442535.1372329419</v>
      </c>
      <c r="AF297" s="21" t="n">
        <v>36571452.83569255</v>
      </c>
      <c r="AG297" s="25" t="n">
        <v>834922316.0064913</v>
      </c>
      <c r="AH297" s="25" t="n">
        <v>2639864095.865061</v>
      </c>
      <c r="AI297" s="21" t="n">
        <v>2199886.746554218</v>
      </c>
      <c r="AJ297" s="21" t="n">
        <v>1461277.841340594</v>
      </c>
      <c r="AK297" s="21" t="n">
        <v>120761153.5404472</v>
      </c>
      <c r="AL297" s="25" t="n">
        <v>2756964084.817614</v>
      </c>
      <c r="AM297" s="25" t="n">
        <v>23931010667.14532</v>
      </c>
      <c r="AN297" s="21" t="n">
        <v>19942508.88928777</v>
      </c>
      <c r="AO297" s="21" t="n">
        <v>13246839.35948055</v>
      </c>
      <c r="AP297" s="21" t="n">
        <v>1094729254.464218</v>
      </c>
      <c r="AQ297" s="25" t="n">
        <v>24992550573.36077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 t="n">
        <v>12456214557.98867</v>
      </c>
      <c r="J298" s="19" t="n">
        <v>10380178.79832389</v>
      </c>
      <c r="K298" s="19" t="n">
        <v>6895048.252326155</v>
      </c>
      <c r="L298" s="19" t="n">
        <v>501511346.5096863</v>
      </c>
      <c r="M298" s="24" t="n">
        <v>12940450677.4477</v>
      </c>
      <c r="N298" s="24" t="n">
        <v>1532004732.743204</v>
      </c>
      <c r="O298" s="19" t="n">
        <v>1276670.610619337</v>
      </c>
      <c r="P298" s="19" t="n">
        <v>848030.2346977316</v>
      </c>
      <c r="Q298" s="19" t="n">
        <v>61681480.58147439</v>
      </c>
      <c r="R298" s="24" t="n">
        <v>1591561512.479362</v>
      </c>
      <c r="S298" s="24" t="n">
        <v>3852654425.997883</v>
      </c>
      <c r="T298" s="19" t="n">
        <v>3210545.354998237</v>
      </c>
      <c r="U298" s="19" t="n">
        <v>2132609.232373621</v>
      </c>
      <c r="V298" s="19" t="n">
        <v>155115336.1901218</v>
      </c>
      <c r="W298" s="24" t="n">
        <v>4002426607.600633</v>
      </c>
      <c r="X298" s="24" t="n">
        <v>3559790455.806906</v>
      </c>
      <c r="Y298" s="19" t="n">
        <v>2966492.046505755</v>
      </c>
      <c r="Z298" s="19" t="n">
        <v>1970496.481631099</v>
      </c>
      <c r="AA298" s="19" t="n">
        <v>143324064.9856246</v>
      </c>
      <c r="AB298" s="24" t="n">
        <v>3698177532.264394</v>
      </c>
      <c r="AC298" s="24" t="n">
        <v>834922316.0064913</v>
      </c>
      <c r="AD298" s="19" t="n">
        <v>695768.5966720761</v>
      </c>
      <c r="AE298" s="19" t="n">
        <v>462165.2612845032</v>
      </c>
      <c r="AF298" s="19" t="n">
        <v>33615591.07560953</v>
      </c>
      <c r="AG298" s="24" t="n">
        <v>867379973.2241443</v>
      </c>
      <c r="AH298" s="24" t="n">
        <v>2756964084.817614</v>
      </c>
      <c r="AI298" s="19" t="n">
        <v>2297470.070681345</v>
      </c>
      <c r="AJ298" s="19" t="n">
        <v>1526097.700569567</v>
      </c>
      <c r="AK298" s="19" t="n">
        <v>111000718.8796358</v>
      </c>
      <c r="AL298" s="24" t="n">
        <v>2864141235.925998</v>
      </c>
      <c r="AM298" s="24" t="n">
        <v>24992550573.36077</v>
      </c>
      <c r="AN298" s="19" t="n">
        <v>20827125.47780064</v>
      </c>
      <c r="AO298" s="19" t="n">
        <v>13834447.16288267</v>
      </c>
      <c r="AP298" s="19" t="n">
        <v>1006248538.222152</v>
      </c>
      <c r="AQ298" s="24" t="n">
        <v>25964137538.94223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 t="n">
        <v>12940450677.4477</v>
      </c>
      <c r="J299" s="21" t="n">
        <v>10783708.89787308</v>
      </c>
      <c r="K299" s="21" t="n">
        <v>7163093.684077962</v>
      </c>
      <c r="L299" s="21" t="n">
        <v>339401593.7921607</v>
      </c>
      <c r="M299" s="25" t="n">
        <v>13261905468.65791</v>
      </c>
      <c r="N299" s="25" t="n">
        <v>1591561512.479362</v>
      </c>
      <c r="O299" s="21" t="n">
        <v>1326301.260399468</v>
      </c>
      <c r="P299" s="21" t="n">
        <v>880997.4630737553</v>
      </c>
      <c r="Q299" s="21" t="n">
        <v>41743408.12528013</v>
      </c>
      <c r="R299" s="25" t="n">
        <v>1631097621.881168</v>
      </c>
      <c r="S299" s="25" t="n">
        <v>4002426607.600633</v>
      </c>
      <c r="T299" s="21" t="n">
        <v>3335355.506333861</v>
      </c>
      <c r="U299" s="21" t="n">
        <v>2215514.549570876</v>
      </c>
      <c r="V299" s="21" t="n">
        <v>104975476.010526</v>
      </c>
      <c r="W299" s="25" t="n">
        <v>4101851213.555254</v>
      </c>
      <c r="X299" s="25" t="n">
        <v>3698177532.264394</v>
      </c>
      <c r="Y299" s="21" t="n">
        <v>3081814.610220328</v>
      </c>
      <c r="Z299" s="21" t="n">
        <v>2047099.655511141</v>
      </c>
      <c r="AA299" s="21" t="n">
        <v>96995644.11341329</v>
      </c>
      <c r="AB299" s="25" t="n">
        <v>3790044262.112075</v>
      </c>
      <c r="AC299" s="25" t="n">
        <v>867379973.2241443</v>
      </c>
      <c r="AD299" s="21" t="n">
        <v>722816.6443534537</v>
      </c>
      <c r="AE299" s="21" t="n">
        <v>480131.9647024086</v>
      </c>
      <c r="AF299" s="21" t="n">
        <v>22749605.30151644</v>
      </c>
      <c r="AG299" s="25" t="n">
        <v>888926629.9166049</v>
      </c>
      <c r="AH299" s="25" t="n">
        <v>2864141235.925998</v>
      </c>
      <c r="AI299" s="21" t="n">
        <v>2386784.363271665</v>
      </c>
      <c r="AJ299" s="21" t="n">
        <v>1585424.844060782</v>
      </c>
      <c r="AK299" s="21" t="n">
        <v>75120575.36089329</v>
      </c>
      <c r="AL299" s="25" t="n">
        <v>2935289602.079559</v>
      </c>
      <c r="AM299" s="25" t="n">
        <v>25964137538.94223</v>
      </c>
      <c r="AN299" s="21" t="n">
        <v>21636781.28245186</v>
      </c>
      <c r="AO299" s="21" t="n">
        <v>14372262.16099693</v>
      </c>
      <c r="AP299" s="21" t="n">
        <v>680986302.7037898</v>
      </c>
      <c r="AQ299" s="25" t="n">
        <v>26609114798.20257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 t="n">
        <v>13261905468.65791</v>
      </c>
      <c r="J300" s="19" t="n">
        <v>11051587.89054826</v>
      </c>
      <c r="K300" s="19" t="n">
        <v>7341032.678787581</v>
      </c>
      <c r="L300" s="19" t="n">
        <v>576135887.4127541</v>
      </c>
      <c r="M300" s="24" t="n">
        <v>13819648735.50133</v>
      </c>
      <c r="N300" s="24" t="n">
        <v>1631097621.881168</v>
      </c>
      <c r="O300" s="19" t="n">
        <v>1359248.018234307</v>
      </c>
      <c r="P300" s="19" t="n">
        <v>902882.3929427478</v>
      </c>
      <c r="Q300" s="19" t="n">
        <v>70859642.15777507</v>
      </c>
      <c r="R300" s="24" t="n">
        <v>1699695133.627767</v>
      </c>
      <c r="S300" s="24" t="n">
        <v>4101851213.555254</v>
      </c>
      <c r="T300" s="19" t="n">
        <v>3418209.344629379</v>
      </c>
      <c r="U300" s="19" t="n">
        <v>2270550.327281205</v>
      </c>
      <c r="V300" s="19" t="n">
        <v>178196390.7480555</v>
      </c>
      <c r="W300" s="24" t="n">
        <v>4274358844.6314</v>
      </c>
      <c r="X300" s="24" t="n">
        <v>3790044262.112075</v>
      </c>
      <c r="Y300" s="19" t="n">
        <v>3158370.21842673</v>
      </c>
      <c r="Z300" s="19" t="n">
        <v>2097951.825095594</v>
      </c>
      <c r="AA300" s="19" t="n">
        <v>164650586.5575691</v>
      </c>
      <c r="AB300" s="24" t="n">
        <v>3949438526.626122</v>
      </c>
      <c r="AC300" s="24" t="n">
        <v>888926629.9166049</v>
      </c>
      <c r="AD300" s="19" t="n">
        <v>740772.1915971708</v>
      </c>
      <c r="AE300" s="19" t="n">
        <v>492058.9620160139</v>
      </c>
      <c r="AF300" s="19" t="n">
        <v>38617567.73807409</v>
      </c>
      <c r="AG300" s="24" t="n">
        <v>926311366.5010657</v>
      </c>
      <c r="AH300" s="24" t="n">
        <v>2935289602.079559</v>
      </c>
      <c r="AI300" s="19" t="n">
        <v>2446074.668399632</v>
      </c>
      <c r="AJ300" s="19" t="n">
        <v>1624808.511981655</v>
      </c>
      <c r="AK300" s="19" t="n">
        <v>127517548.9453007</v>
      </c>
      <c r="AL300" s="24" t="n">
        <v>3058736267.844478</v>
      </c>
      <c r="AM300" s="24" t="n">
        <v>26609114798.20257</v>
      </c>
      <c r="AN300" s="19" t="n">
        <v>22174262.33183548</v>
      </c>
      <c r="AO300" s="19" t="n">
        <v>14729284.6981048</v>
      </c>
      <c r="AP300" s="19" t="n">
        <v>1155977623.559528</v>
      </c>
      <c r="AQ300" s="24" t="n">
        <v>27728188874.73216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 t="n">
        <v>13819648735.50133</v>
      </c>
      <c r="J301" s="21" t="n">
        <v>11516373.94625111</v>
      </c>
      <c r="K301" s="21" t="n">
        <v>7649767.464897138</v>
      </c>
      <c r="L301" s="21" t="n">
        <v>727451920.6002792</v>
      </c>
      <c r="M301" s="25" t="n">
        <v>14527934514.69046</v>
      </c>
      <c r="N301" s="25" t="n">
        <v>1699695133.627767</v>
      </c>
      <c r="O301" s="21" t="n">
        <v>1416412.611356472</v>
      </c>
      <c r="P301" s="21" t="n">
        <v>940854.0536973357</v>
      </c>
      <c r="Q301" s="21" t="n">
        <v>89470182.13394649</v>
      </c>
      <c r="R301" s="25" t="n">
        <v>1786808049.096659</v>
      </c>
      <c r="S301" s="25" t="n">
        <v>4274358844.6314</v>
      </c>
      <c r="T301" s="21" t="n">
        <v>3561965.7038595</v>
      </c>
      <c r="U301" s="21" t="n">
        <v>2366040.689511812</v>
      </c>
      <c r="V301" s="21" t="n">
        <v>224997799.1751832</v>
      </c>
      <c r="W301" s="25" t="n">
        <v>4493428637.413212</v>
      </c>
      <c r="X301" s="25" t="n">
        <v>3949438526.626122</v>
      </c>
      <c r="Y301" s="21" t="n">
        <v>3291198.772188435</v>
      </c>
      <c r="Z301" s="21" t="n">
        <v>2186183.377294054</v>
      </c>
      <c r="AA301" s="21" t="n">
        <v>207894331.9381472</v>
      </c>
      <c r="AB301" s="25" t="n">
        <v>4151855476.414786</v>
      </c>
      <c r="AC301" s="25" t="n">
        <v>926311366.5010657</v>
      </c>
      <c r="AD301" s="21" t="n">
        <v>771926.1387508882</v>
      </c>
      <c r="AE301" s="21" t="n">
        <v>512753.014888204</v>
      </c>
      <c r="AF301" s="21" t="n">
        <v>48760065.86940393</v>
      </c>
      <c r="AG301" s="25" t="n">
        <v>973786753.2168306</v>
      </c>
      <c r="AH301" s="25" t="n">
        <v>3058736267.844478</v>
      </c>
      <c r="AI301" s="21" t="n">
        <v>2548946.889870399</v>
      </c>
      <c r="AJ301" s="21" t="n">
        <v>1693141.528651797</v>
      </c>
      <c r="AK301" s="21" t="n">
        <v>161008692.423359</v>
      </c>
      <c r="AL301" s="25" t="n">
        <v>3215502871.849315</v>
      </c>
      <c r="AM301" s="25" t="n">
        <v>27728188874.73216</v>
      </c>
      <c r="AN301" s="21" t="n">
        <v>23106824.0622768</v>
      </c>
      <c r="AO301" s="21" t="n">
        <v>15348740.12894034</v>
      </c>
      <c r="AP301" s="21" t="n">
        <v>1459582992.140319</v>
      </c>
      <c r="AQ301" s="25" t="n">
        <v>29149316302.68126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 t="n">
        <v>14527934514.69046</v>
      </c>
      <c r="J302" s="19" t="n">
        <v>12106612.09557538</v>
      </c>
      <c r="K302" s="19" t="n">
        <v>8041833.979263126</v>
      </c>
      <c r="L302" s="19" t="n">
        <v>679363375.6641617</v>
      </c>
      <c r="M302" s="24" t="n">
        <v>15187149444.27978</v>
      </c>
      <c r="N302" s="24" t="n">
        <v>1786808049.096659</v>
      </c>
      <c r="O302" s="19" t="n">
        <v>1489006.707580549</v>
      </c>
      <c r="P302" s="19" t="n">
        <v>989074.7834192401</v>
      </c>
      <c r="Q302" s="19" t="n">
        <v>83555714.45278266</v>
      </c>
      <c r="R302" s="24" t="n">
        <v>1867885682.058442</v>
      </c>
      <c r="S302" s="24" t="n">
        <v>4493428637.413212</v>
      </c>
      <c r="T302" s="19" t="n">
        <v>3744523.86451101</v>
      </c>
      <c r="U302" s="19" t="n">
        <v>2487305.202484491</v>
      </c>
      <c r="V302" s="19" t="n">
        <v>210124215.8224373</v>
      </c>
      <c r="W302" s="24" t="n">
        <v>4697321024.168654</v>
      </c>
      <c r="X302" s="24" t="n">
        <v>4151855476.414786</v>
      </c>
      <c r="Y302" s="19" t="n">
        <v>3459879.563678989</v>
      </c>
      <c r="Z302" s="19" t="n">
        <v>2298229.828435699</v>
      </c>
      <c r="AA302" s="19" t="n">
        <v>194151381.1804914</v>
      </c>
      <c r="AB302" s="24" t="n">
        <v>4340248748.203163</v>
      </c>
      <c r="AC302" s="24" t="n">
        <v>973786753.2168306</v>
      </c>
      <c r="AD302" s="19" t="n">
        <v>811488.9610140256</v>
      </c>
      <c r="AE302" s="19" t="n">
        <v>539032.6747864115</v>
      </c>
      <c r="AF302" s="19" t="n">
        <v>45536759.21194951</v>
      </c>
      <c r="AG302" s="24" t="n">
        <v>1017972990.79298</v>
      </c>
      <c r="AH302" s="24" t="n">
        <v>3215502871.849315</v>
      </c>
      <c r="AI302" s="19" t="n">
        <v>2679585.726541096</v>
      </c>
      <c r="AJ302" s="19" t="n">
        <v>1779918.558216804</v>
      </c>
      <c r="AK302" s="19" t="n">
        <v>150365138.5039232</v>
      </c>
      <c r="AL302" s="24" t="n">
        <v>3361408506.068481</v>
      </c>
      <c r="AM302" s="24" t="n">
        <v>29149316302.68126</v>
      </c>
      <c r="AN302" s="19" t="n">
        <v>24291096.91890105</v>
      </c>
      <c r="AO302" s="19" t="n">
        <v>16135395.02660577</v>
      </c>
      <c r="AP302" s="19" t="n">
        <v>1363096584.835746</v>
      </c>
      <c r="AQ302" s="24" t="n">
        <v>30471986395.5715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 t="n">
        <v>15187149444.27978</v>
      </c>
      <c r="J303" s="21" t="n">
        <v>12655957.87023315</v>
      </c>
      <c r="K303" s="21" t="n">
        <v>8406737.676691577</v>
      </c>
      <c r="L303" s="21" t="n">
        <v>301920953.7555889</v>
      </c>
      <c r="M303" s="25" t="n">
        <v>15468007702.48845</v>
      </c>
      <c r="N303" s="25" t="n">
        <v>1867885682.058442</v>
      </c>
      <c r="O303" s="21" t="n">
        <v>1556571.401715368</v>
      </c>
      <c r="P303" s="21" t="n">
        <v>1033954.725784824</v>
      </c>
      <c r="Q303" s="21" t="n">
        <v>37133619.36040644</v>
      </c>
      <c r="R303" s="25" t="n">
        <v>1902428775.291348</v>
      </c>
      <c r="S303" s="25" t="n">
        <v>4697321024.168654</v>
      </c>
      <c r="T303" s="21" t="n">
        <v>3914434.186807212</v>
      </c>
      <c r="U303" s="21" t="n">
        <v>2600168.371179598</v>
      </c>
      <c r="V303" s="21" t="n">
        <v>93382872.7317456</v>
      </c>
      <c r="W303" s="25" t="n">
        <v>4784189294.342413</v>
      </c>
      <c r="X303" s="25" t="n">
        <v>4340248748.203163</v>
      </c>
      <c r="Y303" s="21" t="n">
        <v>3616873.956835969</v>
      </c>
      <c r="Z303" s="21" t="n">
        <v>2402513.573175899</v>
      </c>
      <c r="AA303" s="21" t="n">
        <v>86284265.94482251</v>
      </c>
      <c r="AB303" s="25" t="n">
        <v>4420513626.617974</v>
      </c>
      <c r="AC303" s="25" t="n">
        <v>1017972990.79298</v>
      </c>
      <c r="AD303" s="21" t="n">
        <v>848310.8256608164</v>
      </c>
      <c r="AE303" s="21" t="n">
        <v>563491.6497629543</v>
      </c>
      <c r="AF303" s="21" t="n">
        <v>20237331.39686774</v>
      </c>
      <c r="AG303" s="25" t="n">
        <v>1036798519.714424</v>
      </c>
      <c r="AH303" s="25" t="n">
        <v>3361408506.068481</v>
      </c>
      <c r="AI303" s="21" t="n">
        <v>2801173.755057068</v>
      </c>
      <c r="AJ303" s="21" t="n">
        <v>1860683.575834632</v>
      </c>
      <c r="AK303" s="21" t="n">
        <v>66824894.68071957</v>
      </c>
      <c r="AL303" s="25" t="n">
        <v>3423571543.418309</v>
      </c>
      <c r="AM303" s="25" t="n">
        <v>30471986395.5715</v>
      </c>
      <c r="AN303" s="21" t="n">
        <v>25393321.99630959</v>
      </c>
      <c r="AO303" s="21" t="n">
        <v>16867549.57242949</v>
      </c>
      <c r="AP303" s="21" t="n">
        <v>605783937.8701508</v>
      </c>
      <c r="AQ303" s="25" t="n">
        <v>31035509461.87291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 t="n">
        <v>15468007702.48845</v>
      </c>
      <c r="J304" s="19" t="n">
        <v>12890006.41874037</v>
      </c>
      <c r="K304" s="19" t="n">
        <v>8562204.751652248</v>
      </c>
      <c r="L304" s="19" t="n">
        <v>292493431.7136698</v>
      </c>
      <c r="M304" s="24" t="n">
        <v>15739048923.03172</v>
      </c>
      <c r="N304" s="24" t="n">
        <v>1902428775.291348</v>
      </c>
      <c r="O304" s="19" t="n">
        <v>1585357.31274279</v>
      </c>
      <c r="P304" s="19" t="n">
        <v>1053075.807355528</v>
      </c>
      <c r="Q304" s="19" t="n">
        <v>35974117.14414139</v>
      </c>
      <c r="R304" s="24" t="n">
        <v>1935764459.315392</v>
      </c>
      <c r="S304" s="24" t="n">
        <v>4784189294.342413</v>
      </c>
      <c r="T304" s="19" t="n">
        <v>3986824.411952011</v>
      </c>
      <c r="U304" s="19" t="n">
        <v>2648253.67925259</v>
      </c>
      <c r="V304" s="19" t="n">
        <v>90466980.07817069</v>
      </c>
      <c r="W304" s="24" t="n">
        <v>4868021196.329379</v>
      </c>
      <c r="X304" s="24" t="n">
        <v>4420513626.617974</v>
      </c>
      <c r="Y304" s="19" t="n">
        <v>3683761.355514979</v>
      </c>
      <c r="Z304" s="19" t="n">
        <v>2446943.621089796</v>
      </c>
      <c r="AA304" s="19" t="n">
        <v>83590028.23476242</v>
      </c>
      <c r="AB304" s="24" t="n">
        <v>4497972949.876132</v>
      </c>
      <c r="AC304" s="24" t="n">
        <v>1036798519.714424</v>
      </c>
      <c r="AD304" s="19" t="n">
        <v>863998.7664286863</v>
      </c>
      <c r="AE304" s="19" t="n">
        <v>573912.3863105333</v>
      </c>
      <c r="AF304" s="19" t="n">
        <v>19605418.02536973</v>
      </c>
      <c r="AG304" s="24" t="n">
        <v>1054966026.587054</v>
      </c>
      <c r="AH304" s="24" t="n">
        <v>3423571543.418309</v>
      </c>
      <c r="AI304" s="19" t="n">
        <v>2852976.286181924</v>
      </c>
      <c r="AJ304" s="19" t="n">
        <v>1895093.47942475</v>
      </c>
      <c r="AK304" s="19" t="n">
        <v>64738278.43327158</v>
      </c>
      <c r="AL304" s="24" t="n">
        <v>3483561752.085973</v>
      </c>
      <c r="AM304" s="24" t="n">
        <v>31035509461.87291</v>
      </c>
      <c r="AN304" s="19" t="n">
        <v>25862924.55156076</v>
      </c>
      <c r="AO304" s="19" t="n">
        <v>17179483.72508544</v>
      </c>
      <c r="AP304" s="19" t="n">
        <v>586868253.6293856</v>
      </c>
      <c r="AQ304" s="24" t="n">
        <v>31579335307.22565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 t="n">
        <v>15739048923.03172</v>
      </c>
      <c r="J305" s="21" t="n">
        <v>13115874.10252644</v>
      </c>
      <c r="K305" s="21" t="n">
        <v>8712237.675805494</v>
      </c>
      <c r="L305" s="21" t="n">
        <v>909488910.358482</v>
      </c>
      <c r="M305" s="25" t="n">
        <v>16626709721.61187</v>
      </c>
      <c r="N305" s="25" t="n">
        <v>1935764459.315392</v>
      </c>
      <c r="O305" s="21" t="n">
        <v>1613137.049429493</v>
      </c>
      <c r="P305" s="21" t="n">
        <v>1071528.536216293</v>
      </c>
      <c r="Q305" s="21" t="n">
        <v>111859129.3173454</v>
      </c>
      <c r="R305" s="25" t="n">
        <v>2044938923.047091</v>
      </c>
      <c r="S305" s="25" t="n">
        <v>4868021196.329379</v>
      </c>
      <c r="T305" s="21" t="n">
        <v>4056684.330274483</v>
      </c>
      <c r="U305" s="21" t="n">
        <v>2694658.227487808</v>
      </c>
      <c r="V305" s="21" t="n">
        <v>281301069.4040574</v>
      </c>
      <c r="W305" s="25" t="n">
        <v>5142570923.175674</v>
      </c>
      <c r="X305" s="25" t="n">
        <v>4497972949.876132</v>
      </c>
      <c r="Y305" s="21" t="n">
        <v>3748310.791563443</v>
      </c>
      <c r="Z305" s="21" t="n">
        <v>2489820.674063727</v>
      </c>
      <c r="AA305" s="21" t="n">
        <v>259917644.1353086</v>
      </c>
      <c r="AB305" s="25" t="n">
        <v>4751652462.545814</v>
      </c>
      <c r="AC305" s="25" t="n">
        <v>1054966026.587054</v>
      </c>
      <c r="AD305" s="21" t="n">
        <v>879138.3554892117</v>
      </c>
      <c r="AE305" s="21" t="n">
        <v>583968.8794712839</v>
      </c>
      <c r="AF305" s="21" t="n">
        <v>60961745.95288429</v>
      </c>
      <c r="AG305" s="25" t="n">
        <v>1114464665.304978</v>
      </c>
      <c r="AH305" s="25" t="n">
        <v>3483561752.085973</v>
      </c>
      <c r="AI305" s="21" t="n">
        <v>2902968.126738311</v>
      </c>
      <c r="AJ305" s="21" t="n">
        <v>1928300.629277944</v>
      </c>
      <c r="AK305" s="21" t="n">
        <v>201299379.4964882</v>
      </c>
      <c r="AL305" s="25" t="n">
        <v>3680029862.826445</v>
      </c>
      <c r="AM305" s="25" t="n">
        <v>31579335307.22565</v>
      </c>
      <c r="AN305" s="21" t="n">
        <v>26316112.75602138</v>
      </c>
      <c r="AO305" s="21" t="n">
        <v>17480514.62232255</v>
      </c>
      <c r="AP305" s="21" t="n">
        <v>1824827878.664566</v>
      </c>
      <c r="AQ305" s="25" t="n">
        <v>33360366558.51188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 t="n">
        <v>16626709721.61187</v>
      </c>
      <c r="J306" s="19" t="n">
        <v>13855591.43467656</v>
      </c>
      <c r="K306" s="19" t="n">
        <v>9203595.945961751</v>
      </c>
      <c r="L306" s="19" t="n">
        <v>700051702.0529001</v>
      </c>
      <c r="M306" s="24" t="n">
        <v>17303702236.28413</v>
      </c>
      <c r="N306" s="24" t="n">
        <v>2044938923.047091</v>
      </c>
      <c r="O306" s="19" t="n">
        <v>1704115.769205909</v>
      </c>
      <c r="P306" s="19" t="n">
        <v>1131961.277788581</v>
      </c>
      <c r="Q306" s="19" t="n">
        <v>86100196.46957295</v>
      </c>
      <c r="R306" s="24" t="n">
        <v>2128203042.46967</v>
      </c>
      <c r="S306" s="24" t="n">
        <v>5142570923.175674</v>
      </c>
      <c r="T306" s="19" t="n">
        <v>4285475.769313063</v>
      </c>
      <c r="U306" s="19" t="n">
        <v>2846633.260147637</v>
      </c>
      <c r="V306" s="19" t="n">
        <v>216523027.5847913</v>
      </c>
      <c r="W306" s="24" t="n">
        <v>5351961841.731005</v>
      </c>
      <c r="X306" s="24" t="n">
        <v>4751652462.545814</v>
      </c>
      <c r="Y306" s="19" t="n">
        <v>3959710.385454845</v>
      </c>
      <c r="Z306" s="19" t="n">
        <v>2630243.149314223</v>
      </c>
      <c r="AA306" s="19" t="n">
        <v>200063779.885764</v>
      </c>
      <c r="AB306" s="24" t="n">
        <v>4945126288.896809</v>
      </c>
      <c r="AC306" s="24" t="n">
        <v>1114464665.304978</v>
      </c>
      <c r="AD306" s="19" t="n">
        <v>928720.5544208147</v>
      </c>
      <c r="AE306" s="19" t="n">
        <v>616903.9243035598</v>
      </c>
      <c r="AF306" s="19" t="n">
        <v>46923468.25604715</v>
      </c>
      <c r="AG306" s="24" t="n">
        <v>1159842509.082301</v>
      </c>
      <c r="AH306" s="24" t="n">
        <v>3680029862.826445</v>
      </c>
      <c r="AI306" s="19" t="n">
        <v>3066691.552355371</v>
      </c>
      <c r="AJ306" s="19" t="n">
        <v>2037054.143220116</v>
      </c>
      <c r="AK306" s="19" t="n">
        <v>154944135.8038819</v>
      </c>
      <c r="AL306" s="24" t="n">
        <v>3829870252.934752</v>
      </c>
      <c r="AM306" s="24" t="n">
        <v>33360366558.51188</v>
      </c>
      <c r="AN306" s="19" t="n">
        <v>27800305.46542656</v>
      </c>
      <c r="AO306" s="19" t="n">
        <v>18466391.70073587</v>
      </c>
      <c r="AP306" s="19" t="n">
        <v>1404606310.052958</v>
      </c>
      <c r="AQ306" s="24" t="n">
        <v>34718706171.39867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 t="n">
        <v>17303702236.28413</v>
      </c>
      <c r="J307" s="21" t="n">
        <v>14419751.86357011</v>
      </c>
      <c r="K307" s="21" t="n">
        <v>9578340.29814017</v>
      </c>
      <c r="L307" s="21" t="n">
        <v>138527148.2657805</v>
      </c>
      <c r="M307" s="25" t="n">
        <v>17418231292.3882</v>
      </c>
      <c r="N307" s="25" t="n">
        <v>2128203042.46967</v>
      </c>
      <c r="O307" s="21" t="n">
        <v>1773502.535391392</v>
      </c>
      <c r="P307" s="21" t="n">
        <v>1178051.53405652</v>
      </c>
      <c r="Q307" s="21" t="n">
        <v>17037619.71733921</v>
      </c>
      <c r="R307" s="25" t="n">
        <v>2142289108.117561</v>
      </c>
      <c r="S307" s="25" t="n">
        <v>5351961841.731005</v>
      </c>
      <c r="T307" s="21" t="n">
        <v>4459968.201442504</v>
      </c>
      <c r="U307" s="21" t="n">
        <v>2962540.101693808</v>
      </c>
      <c r="V307" s="21" t="n">
        <v>42845860.46607098</v>
      </c>
      <c r="W307" s="25" t="n">
        <v>5387385193.893939</v>
      </c>
      <c r="X307" s="25" t="n">
        <v>4945126288.896809</v>
      </c>
      <c r="Y307" s="21" t="n">
        <v>4120938.574080674</v>
      </c>
      <c r="Z307" s="21" t="n">
        <v>2737339.198602867</v>
      </c>
      <c r="AA307" s="21" t="n">
        <v>39588882.96046662</v>
      </c>
      <c r="AB307" s="25" t="n">
        <v>4977856894.084592</v>
      </c>
      <c r="AC307" s="25" t="n">
        <v>1159842509.082301</v>
      </c>
      <c r="AD307" s="21" t="n">
        <v>966535.4242352506</v>
      </c>
      <c r="AE307" s="21" t="n">
        <v>642022.5043484495</v>
      </c>
      <c r="AF307" s="21" t="n">
        <v>9285277.394781472</v>
      </c>
      <c r="AG307" s="25" t="n">
        <v>1167519228.548498</v>
      </c>
      <c r="AH307" s="25" t="n">
        <v>3829870252.934752</v>
      </c>
      <c r="AI307" s="21" t="n">
        <v>3191558.544112293</v>
      </c>
      <c r="AJ307" s="21" t="n">
        <v>2119997.216746539</v>
      </c>
      <c r="AK307" s="21" t="n">
        <v>30660548.6572985</v>
      </c>
      <c r="AL307" s="25" t="n">
        <v>3855219245.831192</v>
      </c>
      <c r="AM307" s="25" t="n">
        <v>34718706171.39867</v>
      </c>
      <c r="AN307" s="21" t="n">
        <v>28932255.14283223</v>
      </c>
      <c r="AO307" s="21" t="n">
        <v>19218290.85358835</v>
      </c>
      <c r="AP307" s="21" t="n">
        <v>277945337.4617373</v>
      </c>
      <c r="AQ307" s="25" t="n">
        <v>34948500962.86398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 t="n">
        <v>17418231292.3882</v>
      </c>
      <c r="J308" s="19" t="n">
        <v>14515192.74365684</v>
      </c>
      <c r="K308" s="19" t="n">
        <v>9641737.035925526</v>
      </c>
      <c r="L308" s="19" t="n">
        <v>901720534.7810451</v>
      </c>
      <c r="M308" s="24" t="n">
        <v>18295794897.38966</v>
      </c>
      <c r="N308" s="24" t="n">
        <v>2142289108.117561</v>
      </c>
      <c r="O308" s="19" t="n">
        <v>1785240.923431301</v>
      </c>
      <c r="P308" s="19" t="n">
        <v>1185848.77469295</v>
      </c>
      <c r="Q308" s="19" t="n">
        <v>110903687.5099685</v>
      </c>
      <c r="R308" s="24" t="n">
        <v>2250221705.929405</v>
      </c>
      <c r="S308" s="24" t="n">
        <v>5387385193.893939</v>
      </c>
      <c r="T308" s="19" t="n">
        <v>4489487.661578283</v>
      </c>
      <c r="U308" s="19" t="n">
        <v>2982148.444283406</v>
      </c>
      <c r="V308" s="19" t="n">
        <v>278898343.7274969</v>
      </c>
      <c r="W308" s="24" t="n">
        <v>5658811901.515574</v>
      </c>
      <c r="X308" s="24" t="n">
        <v>4977856894.084592</v>
      </c>
      <c r="Y308" s="19" t="n">
        <v>4148214.078403827</v>
      </c>
      <c r="Z308" s="19" t="n">
        <v>2755456.990412488</v>
      </c>
      <c r="AA308" s="19" t="n">
        <v>257697564.4225721</v>
      </c>
      <c r="AB308" s="24" t="n">
        <v>5228650787.438348</v>
      </c>
      <c r="AC308" s="24" t="n">
        <v>1167519228.548498</v>
      </c>
      <c r="AD308" s="19" t="n">
        <v>972932.690457082</v>
      </c>
      <c r="AE308" s="19" t="n">
        <v>646271.8973636861</v>
      </c>
      <c r="AF308" s="19" t="n">
        <v>60441042.80518827</v>
      </c>
      <c r="AG308" s="24" t="n">
        <v>1226341066.765866</v>
      </c>
      <c r="AH308" s="24" t="n">
        <v>3855219245.831192</v>
      </c>
      <c r="AI308" s="19" t="n">
        <v>3212682.704859327</v>
      </c>
      <c r="AJ308" s="19" t="n">
        <v>2134028.970001522</v>
      </c>
      <c r="AK308" s="19" t="n">
        <v>199579986.1475167</v>
      </c>
      <c r="AL308" s="24" t="n">
        <v>4049452520.303847</v>
      </c>
      <c r="AM308" s="24" t="n">
        <v>34948500962.86398</v>
      </c>
      <c r="AN308" s="19" t="n">
        <v>29123750.80238666</v>
      </c>
      <c r="AO308" s="19" t="n">
        <v>19345492.11267958</v>
      </c>
      <c r="AP308" s="19" t="n">
        <v>1809241159.393787</v>
      </c>
      <c r="AQ308" s="24" t="n">
        <v>36709272879.3427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 t="n">
        <v>18295794897.38966</v>
      </c>
      <c r="J309" s="21" t="n">
        <v>15246495.74782472</v>
      </c>
      <c r="K309" s="21" t="n">
        <v>10127506.07697739</v>
      </c>
      <c r="L309" s="21" t="n">
        <v>462359053.3742262</v>
      </c>
      <c r="M309" s="25" t="n">
        <v>18732779948.93909</v>
      </c>
      <c r="N309" s="25" t="n">
        <v>2250221705.929405</v>
      </c>
      <c r="O309" s="21" t="n">
        <v>1875184.754941171</v>
      </c>
      <c r="P309" s="21" t="n">
        <v>1245594.090289998</v>
      </c>
      <c r="Q309" s="21" t="n">
        <v>56866093.20178244</v>
      </c>
      <c r="R309" s="25" t="n">
        <v>2303967020.285956</v>
      </c>
      <c r="S309" s="25" t="n">
        <v>5658811901.515574</v>
      </c>
      <c r="T309" s="21" t="n">
        <v>4715676.584596313</v>
      </c>
      <c r="U309" s="21" t="n">
        <v>3132394.752044774</v>
      </c>
      <c r="V309" s="21" t="n">
        <v>143005697.6852555</v>
      </c>
      <c r="W309" s="25" t="n">
        <v>5793969527.864188</v>
      </c>
      <c r="X309" s="25" t="n">
        <v>5228650787.438348</v>
      </c>
      <c r="Y309" s="21" t="n">
        <v>4357208.989531957</v>
      </c>
      <c r="Z309" s="21" t="n">
        <v>2894282.151781747</v>
      </c>
      <c r="AA309" s="21" t="n">
        <v>132134954.6200539</v>
      </c>
      <c r="AB309" s="25" t="n">
        <v>5353534250.917089</v>
      </c>
      <c r="AC309" s="25" t="n">
        <v>1226341066.765866</v>
      </c>
      <c r="AD309" s="21" t="n">
        <v>1021950.888971555</v>
      </c>
      <c r="AE309" s="21" t="n">
        <v>678832.3041318208</v>
      </c>
      <c r="AF309" s="21" t="n">
        <v>30991268.64527225</v>
      </c>
      <c r="AG309" s="25" t="n">
        <v>1255631552.218035</v>
      </c>
      <c r="AH309" s="25" t="n">
        <v>4049452520.303847</v>
      </c>
      <c r="AI309" s="21" t="n">
        <v>3374543.766919873</v>
      </c>
      <c r="AJ309" s="21" t="n">
        <v>2241545.406352352</v>
      </c>
      <c r="AK309" s="21" t="n">
        <v>102335047.1773539</v>
      </c>
      <c r="AL309" s="25" t="n">
        <v>4146171478.307929</v>
      </c>
      <c r="AM309" s="25" t="n">
        <v>36709272879.3427</v>
      </c>
      <c r="AN309" s="21" t="n">
        <v>30591060.73278559</v>
      </c>
      <c r="AO309" s="21" t="n">
        <v>20320154.78157808</v>
      </c>
      <c r="AP309" s="21" t="n">
        <v>927692114.7039441</v>
      </c>
      <c r="AQ309" s="25" t="n">
        <v>37586053778.53229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 t="n">
        <v>18732779948.93909</v>
      </c>
      <c r="J310" s="19" t="n">
        <v>15610649.95744924</v>
      </c>
      <c r="K310" s="19" t="n">
        <v>10369396.01889767</v>
      </c>
      <c r="L310" s="19" t="n">
        <v>457689121.6791314</v>
      </c>
      <c r="M310" s="24" t="n">
        <v>19164489024.64187</v>
      </c>
      <c r="N310" s="24" t="n">
        <v>2303967020.285956</v>
      </c>
      <c r="O310" s="19" t="n">
        <v>1919972.516904964</v>
      </c>
      <c r="P310" s="19" t="n">
        <v>1275344.423675769</v>
      </c>
      <c r="Q310" s="19" t="n">
        <v>56291732.71488121</v>
      </c>
      <c r="R310" s="24" t="n">
        <v>2357063436.060257</v>
      </c>
      <c r="S310" s="24" t="n">
        <v>5793969527.864188</v>
      </c>
      <c r="T310" s="19" t="n">
        <v>4828307.939886824</v>
      </c>
      <c r="U310" s="19" t="n">
        <v>3207210.286973552</v>
      </c>
      <c r="V310" s="19" t="n">
        <v>141561307.5833946</v>
      </c>
      <c r="W310" s="24" t="n">
        <v>5927495317.220722</v>
      </c>
      <c r="X310" s="24" t="n">
        <v>5353534250.917089</v>
      </c>
      <c r="Y310" s="19" t="n">
        <v>4461278.542430907</v>
      </c>
      <c r="Z310" s="19" t="n">
        <v>2963410.497523936</v>
      </c>
      <c r="AA310" s="19" t="n">
        <v>130800361.4978757</v>
      </c>
      <c r="AB310" s="24" t="n">
        <v>5476909923.375009</v>
      </c>
      <c r="AC310" s="24" t="n">
        <v>1255631552.218035</v>
      </c>
      <c r="AD310" s="19" t="n">
        <v>1046359.626848362</v>
      </c>
      <c r="AE310" s="19" t="n">
        <v>695045.8423288838</v>
      </c>
      <c r="AF310" s="19" t="n">
        <v>30678249.77679428</v>
      </c>
      <c r="AG310" s="24" t="n">
        <v>1284568396.525652</v>
      </c>
      <c r="AH310" s="24" t="n">
        <v>4146171478.307929</v>
      </c>
      <c r="AI310" s="19" t="n">
        <v>3455142.898589941</v>
      </c>
      <c r="AJ310" s="19" t="n">
        <v>2295083.492040283</v>
      </c>
      <c r="AK310" s="19" t="n">
        <v>101301439.9042943</v>
      </c>
      <c r="AL310" s="24" t="n">
        <v>4241722691.821593</v>
      </c>
      <c r="AM310" s="24" t="n">
        <v>37586053778.53229</v>
      </c>
      <c r="AN310" s="19" t="n">
        <v>31321711.48211024</v>
      </c>
      <c r="AO310" s="19" t="n">
        <v>20805490.5614401</v>
      </c>
      <c r="AP310" s="19" t="n">
        <v>918322213.1563715</v>
      </c>
      <c r="AQ310" s="24" t="n">
        <v>38452248789.6451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 t="n">
        <v>19164489024.64187</v>
      </c>
      <c r="J311" s="21" t="n">
        <v>15970407.52053489</v>
      </c>
      <c r="K311" s="21" t="n">
        <v>10608365.482219</v>
      </c>
      <c r="L311" s="21" t="n">
        <v>1137446372.50855</v>
      </c>
      <c r="M311" s="25" t="n">
        <v>20275356624.14766</v>
      </c>
      <c r="N311" s="25" t="n">
        <v>2357063436.060257</v>
      </c>
      <c r="O311" s="21" t="n">
        <v>1964219.530050215</v>
      </c>
      <c r="P311" s="21" t="n">
        <v>1304735.563904209</v>
      </c>
      <c r="Q311" s="21" t="n">
        <v>139895890.345523</v>
      </c>
      <c r="R311" s="25" t="n">
        <v>2493690371.311826</v>
      </c>
      <c r="S311" s="25" t="n">
        <v>5927495317.220722</v>
      </c>
      <c r="T311" s="21" t="n">
        <v>4939579.431017268</v>
      </c>
      <c r="U311" s="21" t="n">
        <v>3281122.530236316</v>
      </c>
      <c r="V311" s="21" t="n">
        <v>351807347.3268677</v>
      </c>
      <c r="W311" s="25" t="n">
        <v>6271081962.586337</v>
      </c>
      <c r="X311" s="25" t="n">
        <v>5476909923.375009</v>
      </c>
      <c r="Y311" s="21" t="n">
        <v>4564091.602812507</v>
      </c>
      <c r="Z311" s="21" t="n">
        <v>3031704.216358039</v>
      </c>
      <c r="AA311" s="21" t="n">
        <v>325064306.0135227</v>
      </c>
      <c r="AB311" s="25" t="n">
        <v>5794378433.569361</v>
      </c>
      <c r="AC311" s="25" t="n">
        <v>1284568396.525652</v>
      </c>
      <c r="AD311" s="21" t="n">
        <v>1070473.663771376</v>
      </c>
      <c r="AE311" s="21" t="n">
        <v>711063.6250061345</v>
      </c>
      <c r="AF311" s="21" t="n">
        <v>76241409.87993449</v>
      </c>
      <c r="AG311" s="25" t="n">
        <v>1359028269.116809</v>
      </c>
      <c r="AH311" s="25" t="n">
        <v>4241722691.821593</v>
      </c>
      <c r="AI311" s="21" t="n">
        <v>3534768.909851328</v>
      </c>
      <c r="AJ311" s="21" t="n">
        <v>2347975.181138758</v>
      </c>
      <c r="AK311" s="21" t="n">
        <v>251753755.7508571</v>
      </c>
      <c r="AL311" s="25" t="n">
        <v>4487593703.48146</v>
      </c>
      <c r="AM311" s="25" t="n">
        <v>38452248789.6451</v>
      </c>
      <c r="AN311" s="21" t="n">
        <v>32043540.65803758</v>
      </c>
      <c r="AO311" s="21" t="n">
        <v>21284966.59886245</v>
      </c>
      <c r="AP311" s="21" t="n">
        <v>2282209081.825254</v>
      </c>
      <c r="AQ311" s="25" t="n">
        <v>40681129364.21346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 t="n">
        <v>20275356624.14766</v>
      </c>
      <c r="J312" s="19" t="n">
        <v>16896130.52012305</v>
      </c>
      <c r="K312" s="19" t="n">
        <v>11223278.27654188</v>
      </c>
      <c r="L312" s="19" t="n">
        <v>672541741.5077814</v>
      </c>
      <c r="M312" s="24" t="n">
        <v>20919778956.85878</v>
      </c>
      <c r="N312" s="24" t="n">
        <v>2493690371.311826</v>
      </c>
      <c r="O312" s="19" t="n">
        <v>2078075.309426522</v>
      </c>
      <c r="P312" s="19" t="n">
        <v>1380364.424240661</v>
      </c>
      <c r="Q312" s="19" t="n">
        <v>82716713.50558768</v>
      </c>
      <c r="R312" s="24" t="n">
        <v>2572948645.083746</v>
      </c>
      <c r="S312" s="24" t="n">
        <v>6271081962.586337</v>
      </c>
      <c r="T312" s="19" t="n">
        <v>5225901.635488614</v>
      </c>
      <c r="U312" s="19" t="n">
        <v>3471312.454119044</v>
      </c>
      <c r="V312" s="19" t="n">
        <v>208014313.2591212</v>
      </c>
      <c r="W312" s="24" t="n">
        <v>6470399061.755851</v>
      </c>
      <c r="X312" s="24" t="n">
        <v>5794378433.569361</v>
      </c>
      <c r="Y312" s="19" t="n">
        <v>4828648.694641135</v>
      </c>
      <c r="Z312" s="19" t="n">
        <v>3207436.633794626</v>
      </c>
      <c r="AA312" s="19" t="n">
        <v>192201865.2942776</v>
      </c>
      <c r="AB312" s="24" t="n">
        <v>5978544213.535202</v>
      </c>
      <c r="AC312" s="24" t="n">
        <v>1359028269.116809</v>
      </c>
      <c r="AD312" s="19" t="n">
        <v>1132523.557597341</v>
      </c>
      <c r="AE312" s="19" t="n">
        <v>752280.3535706579</v>
      </c>
      <c r="AF312" s="19" t="n">
        <v>45079514.79292647</v>
      </c>
      <c r="AG312" s="24" t="n">
        <v>1402222979.998567</v>
      </c>
      <c r="AH312" s="24" t="n">
        <v>4487593703.48146</v>
      </c>
      <c r="AI312" s="19" t="n">
        <v>3739661.419567883</v>
      </c>
      <c r="AJ312" s="19" t="n">
        <v>2484075.316645477</v>
      </c>
      <c r="AK312" s="19" t="n">
        <v>148855289.7227104</v>
      </c>
      <c r="AL312" s="24" t="n">
        <v>4630225256.467957</v>
      </c>
      <c r="AM312" s="24" t="n">
        <v>40681129364.21346</v>
      </c>
      <c r="AN312" s="19" t="n">
        <v>33900941.13684455</v>
      </c>
      <c r="AO312" s="19" t="n">
        <v>22518747.45891234</v>
      </c>
      <c r="AP312" s="19" t="n">
        <v>1349409438.082405</v>
      </c>
      <c r="AQ312" s="24" t="n">
        <v>41974119113.7001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 t="n">
        <v>20919778956.85878</v>
      </c>
      <c r="J313" s="21" t="n">
        <v>17433149.13071565</v>
      </c>
      <c r="K313" s="21" t="n">
        <v>11579993.63803748</v>
      </c>
      <c r="L313" s="21" t="n">
        <v>1092760577.267526</v>
      </c>
      <c r="M313" s="25" t="n">
        <v>21983526391.35755</v>
      </c>
      <c r="N313" s="25" t="n">
        <v>2572948645.083746</v>
      </c>
      <c r="O313" s="21" t="n">
        <v>2144123.870903122</v>
      </c>
      <c r="P313" s="21" t="n">
        <v>1424237.273372261</v>
      </c>
      <c r="Q313" s="21" t="n">
        <v>134399930.9208568</v>
      </c>
      <c r="R313" s="25" t="n">
        <v>2703780214.860328</v>
      </c>
      <c r="S313" s="25" t="n">
        <v>6470399061.755851</v>
      </c>
      <c r="T313" s="21" t="n">
        <v>5391999.218129876</v>
      </c>
      <c r="U313" s="21" t="n">
        <v>3581643.005177678</v>
      </c>
      <c r="V313" s="21" t="n">
        <v>337986220.0483437</v>
      </c>
      <c r="W313" s="25" t="n">
        <v>6799411639.580887</v>
      </c>
      <c r="X313" s="25" t="n">
        <v>5978544213.535202</v>
      </c>
      <c r="Y313" s="21" t="n">
        <v>4982120.177946002</v>
      </c>
      <c r="Z313" s="21" t="n">
        <v>3309380.28074934</v>
      </c>
      <c r="AA313" s="21" t="n">
        <v>312293807.6676092</v>
      </c>
      <c r="AB313" s="25" t="n">
        <v>6282546520.744116</v>
      </c>
      <c r="AC313" s="25" t="n">
        <v>1402222979.998567</v>
      </c>
      <c r="AD313" s="21" t="n">
        <v>1168519.149998806</v>
      </c>
      <c r="AE313" s="21" t="n">
        <v>776190.4760551805</v>
      </c>
      <c r="AF313" s="21" t="n">
        <v>73246184.68679589</v>
      </c>
      <c r="AG313" s="25" t="n">
        <v>1473524455.059309</v>
      </c>
      <c r="AH313" s="25" t="n">
        <v>4630225256.467957</v>
      </c>
      <c r="AI313" s="21" t="n">
        <v>3858521.047056631</v>
      </c>
      <c r="AJ313" s="21" t="n">
        <v>2563027.990073488</v>
      </c>
      <c r="AK313" s="21" t="n">
        <v>241863340.6486217</v>
      </c>
      <c r="AL313" s="25" t="n">
        <v>4865667048.079449</v>
      </c>
      <c r="AM313" s="25" t="n">
        <v>41974119113.7001</v>
      </c>
      <c r="AN313" s="21" t="n">
        <v>34978432.59475009</v>
      </c>
      <c r="AO313" s="21" t="n">
        <v>23234472.66346543</v>
      </c>
      <c r="AP313" s="21" t="n">
        <v>2192550061.239753</v>
      </c>
      <c r="AQ313" s="25" t="n">
        <v>44108456269.68164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 t="n">
        <v>21983526391.35755</v>
      </c>
      <c r="J314" s="19" t="n">
        <v>18319605.3261313</v>
      </c>
      <c r="K314" s="19" t="n">
        <v>12168823.40289194</v>
      </c>
      <c r="L314" s="19" t="n">
        <v>356463030.6938025</v>
      </c>
      <c r="M314" s="24" t="n">
        <v>22309500993.32233</v>
      </c>
      <c r="N314" s="24" t="n">
        <v>2703780214.860328</v>
      </c>
      <c r="O314" s="19" t="n">
        <v>2253150.179050274</v>
      </c>
      <c r="P314" s="19" t="n">
        <v>1496658.150705219</v>
      </c>
      <c r="Q314" s="19" t="n">
        <v>43841814.66436402</v>
      </c>
      <c r="R314" s="24" t="n">
        <v>2743872221.194936</v>
      </c>
      <c r="S314" s="24" t="n">
        <v>6799411639.580887</v>
      </c>
      <c r="T314" s="19" t="n">
        <v>5666176.366317406</v>
      </c>
      <c r="U314" s="19" t="n">
        <v>3763765.558475455</v>
      </c>
      <c r="V314" s="19" t="n">
        <v>110252506.2099487</v>
      </c>
      <c r="W314" s="24" t="n">
        <v>6900234203.866042</v>
      </c>
      <c r="X314" s="24" t="n">
        <v>6282546520.744116</v>
      </c>
      <c r="Y314" s="19" t="n">
        <v>5235455.433953431</v>
      </c>
      <c r="Z314" s="19" t="n">
        <v>3477658.578081624</v>
      </c>
      <c r="AA314" s="19" t="n">
        <v>101871534.7752247</v>
      </c>
      <c r="AB314" s="24" t="n">
        <v>6375704941.507305</v>
      </c>
      <c r="AC314" s="24" t="n">
        <v>1473524455.059309</v>
      </c>
      <c r="AD314" s="19" t="n">
        <v>1227937.045882758</v>
      </c>
      <c r="AE314" s="19" t="n">
        <v>815658.8963137692</v>
      </c>
      <c r="AF314" s="19" t="n">
        <v>23893209.11036233</v>
      </c>
      <c r="AG314" s="24" t="n">
        <v>1495374068.227475</v>
      </c>
      <c r="AH314" s="24" t="n">
        <v>4865667048.079449</v>
      </c>
      <c r="AI314" s="19" t="n">
        <v>4054722.540066207</v>
      </c>
      <c r="AJ314" s="19" t="n">
        <v>2693355.105604283</v>
      </c>
      <c r="AK314" s="19" t="n">
        <v>78896824.44156137</v>
      </c>
      <c r="AL314" s="24" t="n">
        <v>4937815794.87534</v>
      </c>
      <c r="AM314" s="24" t="n">
        <v>44108456269.68164</v>
      </c>
      <c r="AN314" s="19" t="n">
        <v>36757046.89140137</v>
      </c>
      <c r="AO314" s="19" t="n">
        <v>24415919.69207229</v>
      </c>
      <c r="AP314" s="19" t="n">
        <v>715218919.8952636</v>
      </c>
      <c r="AQ314" s="24" t="n">
        <v>44762502222.99343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 t="n">
        <v>22309500993.32233</v>
      </c>
      <c r="J315" s="21" t="n">
        <v>18591250.82776861</v>
      </c>
      <c r="K315" s="21" t="n">
        <v>12349264.30643583</v>
      </c>
      <c r="L315" s="21" t="n">
        <v>913086972.1203094</v>
      </c>
      <c r="M315" s="25" t="n">
        <v>23191647450.30843</v>
      </c>
      <c r="N315" s="25" t="n">
        <v>2743872221.194936</v>
      </c>
      <c r="O315" s="21" t="n">
        <v>2286560.184329114</v>
      </c>
      <c r="P315" s="21" t="n">
        <v>1518850.793335351</v>
      </c>
      <c r="Q315" s="21" t="n">
        <v>112301659.2386278</v>
      </c>
      <c r="R315" s="25" t="n">
        <v>2852368469.4559</v>
      </c>
      <c r="S315" s="25" t="n">
        <v>6900234203.866042</v>
      </c>
      <c r="T315" s="21" t="n">
        <v>5750195.169888369</v>
      </c>
      <c r="U315" s="21" t="n">
        <v>3819575.165995708</v>
      </c>
      <c r="V315" s="21" t="n">
        <v>282413934.6736131</v>
      </c>
      <c r="W315" s="25" t="n">
        <v>7173078368.203772</v>
      </c>
      <c r="X315" s="25" t="n">
        <v>6375704941.507305</v>
      </c>
      <c r="Y315" s="21" t="n">
        <v>5313087.451256088</v>
      </c>
      <c r="Z315" s="21" t="n">
        <v>3529225.753910394</v>
      </c>
      <c r="AA315" s="21" t="n">
        <v>260945913.6677199</v>
      </c>
      <c r="AB315" s="25" t="n">
        <v>6627808541.969859</v>
      </c>
      <c r="AC315" s="25" t="n">
        <v>1495374068.227475</v>
      </c>
      <c r="AD315" s="21" t="n">
        <v>1246145.056856229</v>
      </c>
      <c r="AE315" s="21" t="n">
        <v>827753.5930121769</v>
      </c>
      <c r="AF315" s="21" t="n">
        <v>61202918.90678088</v>
      </c>
      <c r="AG315" s="25" t="n">
        <v>1554503088.484388</v>
      </c>
      <c r="AH315" s="25" t="n">
        <v>4937815794.87534</v>
      </c>
      <c r="AI315" s="21" t="n">
        <v>4114846.495729451</v>
      </c>
      <c r="AJ315" s="21" t="n">
        <v>2733292.527056572</v>
      </c>
      <c r="AK315" s="21" t="n">
        <v>202095747.2056454</v>
      </c>
      <c r="AL315" s="25" t="n">
        <v>5133063403.0582</v>
      </c>
      <c r="AM315" s="25" t="n">
        <v>44762502222.99343</v>
      </c>
      <c r="AN315" s="21" t="n">
        <v>37302085.18582787</v>
      </c>
      <c r="AO315" s="21" t="n">
        <v>24777962.13974602</v>
      </c>
      <c r="AP315" s="21" t="n">
        <v>1832047145.812696</v>
      </c>
      <c r="AQ315" s="25" t="n">
        <v>46532469321.48055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 t="n">
        <v>23191647450.30843</v>
      </c>
      <c r="J316" s="19" t="n">
        <v>19326372.87525703</v>
      </c>
      <c r="K316" s="19" t="n">
        <v>12837570.15234283</v>
      </c>
      <c r="L316" s="19" t="n">
        <v>346243156.3700414</v>
      </c>
      <c r="M316" s="24" t="n">
        <v>23505726663.65088</v>
      </c>
      <c r="N316" s="24" t="n">
        <v>2852368469.4559</v>
      </c>
      <c r="O316" s="19" t="n">
        <v>2376973.724546583</v>
      </c>
      <c r="P316" s="19" t="n">
        <v>1578908.1135969</v>
      </c>
      <c r="Q316" s="19" t="n">
        <v>42584860.09288055</v>
      </c>
      <c r="R316" s="24" t="n">
        <v>2890997447.710637</v>
      </c>
      <c r="S316" s="24" t="n">
        <v>7173078368.203772</v>
      </c>
      <c r="T316" s="19" t="n">
        <v>5977565.306836477</v>
      </c>
      <c r="U316" s="19" t="n">
        <v>3970606.096758515</v>
      </c>
      <c r="V316" s="19" t="n">
        <v>107091542.3502399</v>
      </c>
      <c r="W316" s="24" t="n">
        <v>7270221739.150416</v>
      </c>
      <c r="X316" s="24" t="n">
        <v>6627808541.969859</v>
      </c>
      <c r="Y316" s="19" t="n">
        <v>5523173.784974883</v>
      </c>
      <c r="Z316" s="19" t="n">
        <v>3668775.894258582</v>
      </c>
      <c r="AA316" s="19" t="n">
        <v>98950855.22945228</v>
      </c>
      <c r="AB316" s="24" t="n">
        <v>6717567447.520078</v>
      </c>
      <c r="AC316" s="24" t="n">
        <v>1554503088.484388</v>
      </c>
      <c r="AD316" s="19" t="n">
        <v>1295419.240403656</v>
      </c>
      <c r="AE316" s="19" t="n">
        <v>860484.0381956786</v>
      </c>
      <c r="AF316" s="19" t="n">
        <v>23208185.49424154</v>
      </c>
      <c r="AG316" s="24" t="n">
        <v>1575555370.70003</v>
      </c>
      <c r="AH316" s="24" t="n">
        <v>5133063403.0582</v>
      </c>
      <c r="AI316" s="19" t="n">
        <v>4277552.835881834</v>
      </c>
      <c r="AJ316" s="19" t="n">
        <v>2841370.44055949</v>
      </c>
      <c r="AK316" s="19" t="n">
        <v>76634834.94781998</v>
      </c>
      <c r="AL316" s="24" t="n">
        <v>5202579314.729578</v>
      </c>
      <c r="AM316" s="24" t="n">
        <v>46532469321.48055</v>
      </c>
      <c r="AN316" s="19" t="n">
        <v>38777057.76790047</v>
      </c>
      <c r="AO316" s="19" t="n">
        <v>25757714.73571199</v>
      </c>
      <c r="AP316" s="19" t="n">
        <v>694713434.4846756</v>
      </c>
      <c r="AQ316" s="24" t="n">
        <v>47162647983.46161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 t="n">
        <v>23505726663.65088</v>
      </c>
      <c r="J317" s="21" t="n">
        <v>19588105.5530424</v>
      </c>
      <c r="K317" s="21" t="n">
        <v>13011426.44880971</v>
      </c>
      <c r="L317" s="21" t="n">
        <v>473431629.7857959</v>
      </c>
      <c r="M317" s="25" t="n">
        <v>23946558761.43482</v>
      </c>
      <c r="N317" s="25" t="n">
        <v>2890997447.710637</v>
      </c>
      <c r="O317" s="21" t="n">
        <v>2409164.539758864</v>
      </c>
      <c r="P317" s="21" t="n">
        <v>1600290.907523941</v>
      </c>
      <c r="Q317" s="21" t="n">
        <v>58227922.62333065</v>
      </c>
      <c r="R317" s="25" t="n">
        <v>2945215914.886685</v>
      </c>
      <c r="S317" s="25" t="n">
        <v>7270221739.150416</v>
      </c>
      <c r="T317" s="21" t="n">
        <v>6058518.11595868</v>
      </c>
      <c r="U317" s="21" t="n">
        <v>4024379.113187584</v>
      </c>
      <c r="V317" s="21" t="n">
        <v>146430398.6905762</v>
      </c>
      <c r="W317" s="25" t="n">
        <v>7406569240.611847</v>
      </c>
      <c r="X317" s="25" t="n">
        <v>6717567447.520078</v>
      </c>
      <c r="Y317" s="21" t="n">
        <v>5597972.872933398</v>
      </c>
      <c r="Z317" s="21" t="n">
        <v>3718461.292817154</v>
      </c>
      <c r="AA317" s="21" t="n">
        <v>135299323.0280964</v>
      </c>
      <c r="AB317" s="25" t="n">
        <v>6843550336.382423</v>
      </c>
      <c r="AC317" s="25" t="n">
        <v>1575555370.70003</v>
      </c>
      <c r="AD317" s="21" t="n">
        <v>1312962.808916692</v>
      </c>
      <c r="AE317" s="21" t="n">
        <v>872137.378062512</v>
      </c>
      <c r="AF317" s="21" t="n">
        <v>31733447.66753209</v>
      </c>
      <c r="AG317" s="25" t="n">
        <v>1605103718.180583</v>
      </c>
      <c r="AH317" s="25" t="n">
        <v>5202579314.729578</v>
      </c>
      <c r="AI317" s="21" t="n">
        <v>4335482.762274649</v>
      </c>
      <c r="AJ317" s="21" t="n">
        <v>2879850.475007129</v>
      </c>
      <c r="AK317" s="21" t="n">
        <v>104785767.2858574</v>
      </c>
      <c r="AL317" s="25" t="n">
        <v>5300149748.778153</v>
      </c>
      <c r="AM317" s="25" t="n">
        <v>47162647983.46161</v>
      </c>
      <c r="AN317" s="21" t="n">
        <v>39302206.65288468</v>
      </c>
      <c r="AO317" s="21" t="n">
        <v>26106545.61540803</v>
      </c>
      <c r="AP317" s="21" t="n">
        <v>949908489.0811886</v>
      </c>
      <c r="AQ317" s="25" t="n">
        <v>48047147720.27451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 t="n">
        <v>23946558761.43482</v>
      </c>
      <c r="J318" s="19" t="n">
        <v>19955465.63452902</v>
      </c>
      <c r="K318" s="19" t="n">
        <v>13255445.89558819</v>
      </c>
      <c r="L318" s="19" t="n">
        <v>1263127518.574462</v>
      </c>
      <c r="M318" s="24" t="n">
        <v>25176475368.47916</v>
      </c>
      <c r="N318" s="24" t="n">
        <v>2945215914.886685</v>
      </c>
      <c r="O318" s="19" t="n">
        <v>2454346.595738904</v>
      </c>
      <c r="P318" s="19" t="n">
        <v>1630303.151260241</v>
      </c>
      <c r="Q318" s="19" t="n">
        <v>155353564.881651</v>
      </c>
      <c r="R318" s="24" t="n">
        <v>3096484830.021337</v>
      </c>
      <c r="S318" s="24" t="n">
        <v>7406569240.611847</v>
      </c>
      <c r="T318" s="19" t="n">
        <v>6172141.033843206</v>
      </c>
      <c r="U318" s="19" t="n">
        <v>4099853.294953162</v>
      </c>
      <c r="V318" s="19" t="n">
        <v>390679993.6995803</v>
      </c>
      <c r="W318" s="24" t="n">
        <v>7786977239.982631</v>
      </c>
      <c r="X318" s="24" t="n">
        <v>6843550336.382423</v>
      </c>
      <c r="Y318" s="19" t="n">
        <v>5702958.61365202</v>
      </c>
      <c r="Z318" s="19" t="n">
        <v>3788198.217597099</v>
      </c>
      <c r="AA318" s="19" t="n">
        <v>360982003.3330005</v>
      </c>
      <c r="AB318" s="24" t="n">
        <v>7195041182.884174</v>
      </c>
      <c r="AC318" s="24" t="n">
        <v>1605103718.180583</v>
      </c>
      <c r="AD318" s="19" t="n">
        <v>1337586.431817152</v>
      </c>
      <c r="AE318" s="19" t="n">
        <v>888493.6539364089</v>
      </c>
      <c r="AF318" s="19" t="n">
        <v>84665638.0483875</v>
      </c>
      <c r="AG318" s="24" t="n">
        <v>1687543276.143217</v>
      </c>
      <c r="AH318" s="24" t="n">
        <v>5300149748.778153</v>
      </c>
      <c r="AI318" s="19" t="n">
        <v>4416791.457315128</v>
      </c>
      <c r="AJ318" s="19" t="n">
        <v>2933859.889154052</v>
      </c>
      <c r="AK318" s="19" t="n">
        <v>279571067.6821305</v>
      </c>
      <c r="AL318" s="24" t="n">
        <v>5572370165.113814</v>
      </c>
      <c r="AM318" s="24" t="n">
        <v>48047147720.27451</v>
      </c>
      <c r="AN318" s="19" t="n">
        <v>40039289.76689543</v>
      </c>
      <c r="AO318" s="19" t="n">
        <v>26596154.10248915</v>
      </c>
      <c r="AP318" s="19" t="n">
        <v>2534379786.219212</v>
      </c>
      <c r="AQ318" s="24" t="n">
        <v>50514892062.62434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 t="n">
        <v>25176475368.47916</v>
      </c>
      <c r="J319" s="21" t="n">
        <v>20980396.1403993</v>
      </c>
      <c r="K319" s="21" t="n">
        <v>13936257.41440305</v>
      </c>
      <c r="L319" s="21" t="n">
        <v>1074101342.853799</v>
      </c>
      <c r="M319" s="25" t="n">
        <v>26215660057.77816</v>
      </c>
      <c r="N319" s="25" t="n">
        <v>3096484830.021337</v>
      </c>
      <c r="O319" s="21" t="n">
        <v>2580404.025017781</v>
      </c>
      <c r="P319" s="21" t="n">
        <v>1714036.974571877</v>
      </c>
      <c r="Q319" s="21" t="n">
        <v>132105009.3539461</v>
      </c>
      <c r="R319" s="25" t="n">
        <v>3224295398.375693</v>
      </c>
      <c r="S319" s="25" t="n">
        <v>7786977239.982631</v>
      </c>
      <c r="T319" s="21" t="n">
        <v>6489147.699985526</v>
      </c>
      <c r="U319" s="21" t="n">
        <v>4310425.415321</v>
      </c>
      <c r="V319" s="21" t="n">
        <v>332214997.8431455</v>
      </c>
      <c r="W319" s="25" t="n">
        <v>8108392664.710469</v>
      </c>
      <c r="X319" s="25" t="n">
        <v>7195041182.884174</v>
      </c>
      <c r="Y319" s="21" t="n">
        <v>5995867.652403479</v>
      </c>
      <c r="Z319" s="21" t="n">
        <v>3982763.455342319</v>
      </c>
      <c r="AA319" s="21" t="n">
        <v>306961291.5753868</v>
      </c>
      <c r="AB319" s="25" t="n">
        <v>7492023843.351815</v>
      </c>
      <c r="AC319" s="25" t="n">
        <v>1687543276.143217</v>
      </c>
      <c r="AD319" s="21" t="n">
        <v>1406286.063452681</v>
      </c>
      <c r="AE319" s="21" t="n">
        <v>934127.4801206446</v>
      </c>
      <c r="AF319" s="21" t="n">
        <v>71995482.78702609</v>
      </c>
      <c r="AG319" s="25" t="n">
        <v>1757198345.38667</v>
      </c>
      <c r="AH319" s="25" t="n">
        <v>5572370165.113814</v>
      </c>
      <c r="AI319" s="21" t="n">
        <v>4643641.804261512</v>
      </c>
      <c r="AJ319" s="21" t="n">
        <v>3084545.548682847</v>
      </c>
      <c r="AK319" s="21" t="n">
        <v>237733447.181441</v>
      </c>
      <c r="AL319" s="25" t="n">
        <v>5802375424.942311</v>
      </c>
      <c r="AM319" s="25" t="n">
        <v>50514892062.62434</v>
      </c>
      <c r="AN319" s="21" t="n">
        <v>42095743.38552029</v>
      </c>
      <c r="AO319" s="21" t="n">
        <v>27962156.28844174</v>
      </c>
      <c r="AP319" s="21" t="n">
        <v>2155111571.594744</v>
      </c>
      <c r="AQ319" s="25" t="n">
        <v>52599945734.54513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 t="n">
        <v>26215660057.77816</v>
      </c>
      <c r="J320" s="19" t="n">
        <v>21846383.3814818</v>
      </c>
      <c r="K320" s="19" t="n">
        <v>14511490.64777729</v>
      </c>
      <c r="L320" s="19" t="n">
        <v>1260122461.244708</v>
      </c>
      <c r="M320" s="24" t="n">
        <v>27439424644.99361</v>
      </c>
      <c r="N320" s="24" t="n">
        <v>3224295398.375693</v>
      </c>
      <c r="O320" s="19" t="n">
        <v>2686912.831979745</v>
      </c>
      <c r="P320" s="19" t="n">
        <v>1784785.598229402</v>
      </c>
      <c r="Q320" s="19" t="n">
        <v>154983969.285018</v>
      </c>
      <c r="R320" s="24" t="n">
        <v>3374807669.230502</v>
      </c>
      <c r="S320" s="24" t="n">
        <v>8108392664.710469</v>
      </c>
      <c r="T320" s="19" t="n">
        <v>6756993.887258725</v>
      </c>
      <c r="U320" s="19" t="n">
        <v>4488342.618996577</v>
      </c>
      <c r="V320" s="19" t="n">
        <v>389750542.1902184</v>
      </c>
      <c r="W320" s="24" t="n">
        <v>8486897870.394432</v>
      </c>
      <c r="X320" s="24" t="n">
        <v>7492023843.351815</v>
      </c>
      <c r="Y320" s="19" t="n">
        <v>6243353.20279318</v>
      </c>
      <c r="Z320" s="19" t="n">
        <v>4147156.077554763</v>
      </c>
      <c r="AA320" s="19" t="n">
        <v>360123205.152236</v>
      </c>
      <c r="AB320" s="24" t="n">
        <v>7841756539.223703</v>
      </c>
      <c r="AC320" s="24" t="n">
        <v>1757198345.38667</v>
      </c>
      <c r="AD320" s="19" t="n">
        <v>1464331.954488891</v>
      </c>
      <c r="AE320" s="19" t="n">
        <v>972684.5442444884</v>
      </c>
      <c r="AF320" s="19" t="n">
        <v>84464213.33674571</v>
      </c>
      <c r="AG320" s="24" t="n">
        <v>1839225542.224682</v>
      </c>
      <c r="AH320" s="24" t="n">
        <v>5802375424.942311</v>
      </c>
      <c r="AI320" s="19" t="n">
        <v>4835312.854118593</v>
      </c>
      <c r="AJ320" s="19" t="n">
        <v>3211863.311027363</v>
      </c>
      <c r="AK320" s="19" t="n">
        <v>278905951.0776932</v>
      </c>
      <c r="AL320" s="24" t="n">
        <v>6073234199.854858</v>
      </c>
      <c r="AM320" s="24" t="n">
        <v>52599945734.54513</v>
      </c>
      <c r="AN320" s="19" t="n">
        <v>43833288.11212093</v>
      </c>
      <c r="AO320" s="19" t="n">
        <v>29116322.79782989</v>
      </c>
      <c r="AP320" s="19" t="n">
        <v>2528350342.286619</v>
      </c>
      <c r="AQ320" s="24" t="n">
        <v>55055346465.92178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 t="n">
        <v>27439424644.99361</v>
      </c>
      <c r="J321" s="21" t="n">
        <v>22866187.20416134</v>
      </c>
      <c r="K321" s="21" t="n">
        <v>15188896.76012841</v>
      </c>
      <c r="L321" s="21" t="n">
        <v>563825903.0582628</v>
      </c>
      <c r="M321" s="25" t="n">
        <v>27965195464.08758</v>
      </c>
      <c r="N321" s="25" t="n">
        <v>3374807669.230502</v>
      </c>
      <c r="O321" s="21" t="n">
        <v>2812339.724358752</v>
      </c>
      <c r="P321" s="21" t="n">
        <v>1868100.586525386</v>
      </c>
      <c r="Q321" s="21" t="n">
        <v>69345622.45272918</v>
      </c>
      <c r="R321" s="25" t="n">
        <v>3439472851.372347</v>
      </c>
      <c r="S321" s="25" t="n">
        <v>8486897870.394432</v>
      </c>
      <c r="T321" s="21" t="n">
        <v>7072414.89199536</v>
      </c>
      <c r="U321" s="21" t="n">
        <v>4697861.461562899</v>
      </c>
      <c r="V321" s="21" t="n">
        <v>174388964.704894</v>
      </c>
      <c r="W321" s="25" t="n">
        <v>8649516558.745768</v>
      </c>
      <c r="X321" s="25" t="n">
        <v>7841756539.223703</v>
      </c>
      <c r="Y321" s="21" t="n">
        <v>6534797.116019753</v>
      </c>
      <c r="Z321" s="21" t="n">
        <v>4340748.103625495</v>
      </c>
      <c r="AA321" s="21" t="n">
        <v>161132586.3969066</v>
      </c>
      <c r="AB321" s="25" t="n">
        <v>7992013580.400965</v>
      </c>
      <c r="AC321" s="25" t="n">
        <v>1839225542.224682</v>
      </c>
      <c r="AD321" s="21" t="n">
        <v>1532687.951853902</v>
      </c>
      <c r="AE321" s="21" t="n">
        <v>1018090.110884991</v>
      </c>
      <c r="AF321" s="21" t="n">
        <v>37792447.02428038</v>
      </c>
      <c r="AG321" s="25" t="n">
        <v>1874467211.186223</v>
      </c>
      <c r="AH321" s="25" t="n">
        <v>6073234199.854858</v>
      </c>
      <c r="AI321" s="21" t="n">
        <v>5061028.499879049</v>
      </c>
      <c r="AJ321" s="21" t="n">
        <v>3361795.243709929</v>
      </c>
      <c r="AK321" s="21" t="n">
        <v>124792950.3449794</v>
      </c>
      <c r="AL321" s="25" t="n">
        <v>6189604326.456249</v>
      </c>
      <c r="AM321" s="25" t="n">
        <v>55055346465.92178</v>
      </c>
      <c r="AN321" s="21" t="n">
        <v>45879455.38826816</v>
      </c>
      <c r="AO321" s="21" t="n">
        <v>30475492.26643711</v>
      </c>
      <c r="AP321" s="21" t="n">
        <v>1131278473.982053</v>
      </c>
      <c r="AQ321" s="25" t="n">
        <v>56110269992.24913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 t="n">
        <v>27965195464.08758</v>
      </c>
      <c r="J322" s="19" t="n">
        <v>23304329.55340632</v>
      </c>
      <c r="K322" s="19" t="n">
        <v>15479933.42704204</v>
      </c>
      <c r="L322" s="19" t="n">
        <v>396059415.536408</v>
      </c>
      <c r="M322" s="24" t="n">
        <v>28322470616.64354</v>
      </c>
      <c r="N322" s="24" t="n">
        <v>3439472851.372347</v>
      </c>
      <c r="O322" s="19" t="n">
        <v>2866227.376143623</v>
      </c>
      <c r="P322" s="19" t="n">
        <v>1903895.534423705</v>
      </c>
      <c r="Q322" s="19" t="n">
        <v>48711821.41448766</v>
      </c>
      <c r="R322" s="24" t="n">
        <v>3483414549.876268</v>
      </c>
      <c r="S322" s="24" t="n">
        <v>8649516558.745768</v>
      </c>
      <c r="T322" s="19" t="n">
        <v>7207930.465621473</v>
      </c>
      <c r="U322" s="19" t="n">
        <v>4787877.870456028</v>
      </c>
      <c r="V322" s="19" t="n">
        <v>122499500.3996516</v>
      </c>
      <c r="W322" s="24" t="n">
        <v>8760020250.809341</v>
      </c>
      <c r="X322" s="24" t="n">
        <v>7992013580.400965</v>
      </c>
      <c r="Y322" s="19" t="n">
        <v>6660011.317000804</v>
      </c>
      <c r="Z322" s="19" t="n">
        <v>4423921.811363577</v>
      </c>
      <c r="AA322" s="19" t="n">
        <v>113187559.5748108</v>
      </c>
      <c r="AB322" s="24" t="n">
        <v>8094117206.847412</v>
      </c>
      <c r="AC322" s="24" t="n">
        <v>1874467211.186223</v>
      </c>
      <c r="AD322" s="19" t="n">
        <v>1562056.009321853</v>
      </c>
      <c r="AE322" s="19" t="n">
        <v>1037597.884041202</v>
      </c>
      <c r="AF322" s="19" t="n">
        <v>26547298.37515185</v>
      </c>
      <c r="AG322" s="24" t="n">
        <v>1898414855.668012</v>
      </c>
      <c r="AH322" s="24" t="n">
        <v>6189604326.456249</v>
      </c>
      <c r="AI322" s="19" t="n">
        <v>5158003.605380208</v>
      </c>
      <c r="AJ322" s="19" t="n">
        <v>3426211.092867834</v>
      </c>
      <c r="AK322" s="19" t="n">
        <v>87660788.03511298</v>
      </c>
      <c r="AL322" s="24" t="n">
        <v>6268680899.793115</v>
      </c>
      <c r="AM322" s="24" t="n">
        <v>56110269992.24913</v>
      </c>
      <c r="AN322" s="19" t="n">
        <v>46758558.32687429</v>
      </c>
      <c r="AO322" s="19" t="n">
        <v>31059437.62019438</v>
      </c>
      <c r="AP322" s="19" t="n">
        <v>794666383.3356229</v>
      </c>
      <c r="AQ322" s="24" t="n">
        <v>56827118379.63769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 t="n">
        <v>28322470616.64354</v>
      </c>
      <c r="J323" s="21" t="n">
        <v>23602058.84720295</v>
      </c>
      <c r="K323" s="21" t="n">
        <v>15677700.52592768</v>
      </c>
      <c r="L323" s="21" t="n">
        <v>1341345795.09811</v>
      </c>
      <c r="M323" s="25" t="n">
        <v>29624536652.36852</v>
      </c>
      <c r="N323" s="25" t="n">
        <v>3483414549.876268</v>
      </c>
      <c r="O323" s="21" t="n">
        <v>2902845.458230224</v>
      </c>
      <c r="P323" s="21" t="n">
        <v>1928219.146550263</v>
      </c>
      <c r="Q323" s="21" t="n">
        <v>164973724.3019456</v>
      </c>
      <c r="R323" s="25" t="n">
        <v>3643557209.573433</v>
      </c>
      <c r="S323" s="25" t="n">
        <v>8760020250.809341</v>
      </c>
      <c r="T323" s="21" t="n">
        <v>7300016.875674452</v>
      </c>
      <c r="U323" s="21" t="n">
        <v>4849046.396840303</v>
      </c>
      <c r="V323" s="21" t="n">
        <v>414872575.4698974</v>
      </c>
      <c r="W323" s="25" t="n">
        <v>9162743763.006723</v>
      </c>
      <c r="X323" s="25" t="n">
        <v>8094117206.847412</v>
      </c>
      <c r="Y323" s="21" t="n">
        <v>6745097.672372844</v>
      </c>
      <c r="Z323" s="21" t="n">
        <v>4480440.541657463</v>
      </c>
      <c r="AA323" s="21" t="n">
        <v>383335558.0941436</v>
      </c>
      <c r="AB323" s="25" t="n">
        <v>8466227226.727526</v>
      </c>
      <c r="AC323" s="25" t="n">
        <v>1898414855.668012</v>
      </c>
      <c r="AD323" s="21" t="n">
        <v>1582012.379723343</v>
      </c>
      <c r="AE323" s="21" t="n">
        <v>1050853.930929506</v>
      </c>
      <c r="AF323" s="21" t="n">
        <v>89908497.68966402</v>
      </c>
      <c r="AG323" s="25" t="n">
        <v>1985690487.047023</v>
      </c>
      <c r="AH323" s="25" t="n">
        <v>6268680899.793115</v>
      </c>
      <c r="AI323" s="21" t="n">
        <v>5223900.749827595</v>
      </c>
      <c r="AJ323" s="21" t="n">
        <v>3469983.363026476</v>
      </c>
      <c r="AK323" s="21" t="n">
        <v>296883307.9416505</v>
      </c>
      <c r="AL323" s="25" t="n">
        <v>6556870323.621911</v>
      </c>
      <c r="AM323" s="25" t="n">
        <v>56827118379.63769</v>
      </c>
      <c r="AN323" s="21" t="n">
        <v>47355931.98303141</v>
      </c>
      <c r="AO323" s="21" t="n">
        <v>31456243.90493169</v>
      </c>
      <c r="AP323" s="21" t="n">
        <v>2691319458.595411</v>
      </c>
      <c r="AQ323" s="25" t="n">
        <v>59439625662.34513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 t="n">
        <v>29624536652.36852</v>
      </c>
      <c r="J324" s="19" t="n">
        <v>24687113.87697377</v>
      </c>
      <c r="K324" s="19" t="n">
        <v>16398449.84364724</v>
      </c>
      <c r="L324" s="19" t="n">
        <v>240550182.4251036</v>
      </c>
      <c r="M324" s="24" t="n">
        <v>29824001271.073</v>
      </c>
      <c r="N324" s="24" t="n">
        <v>3643557209.573433</v>
      </c>
      <c r="O324" s="19" t="n">
        <v>3036297.674644528</v>
      </c>
      <c r="P324" s="19" t="n">
        <v>2016864.967536032</v>
      </c>
      <c r="Q324" s="19" t="n">
        <v>29585554.76239379</v>
      </c>
      <c r="R324" s="24" t="n">
        <v>3668089601.693647</v>
      </c>
      <c r="S324" s="24" t="n">
        <v>9162743763.006723</v>
      </c>
      <c r="T324" s="19" t="n">
        <v>7635619.802505603</v>
      </c>
      <c r="U324" s="19" t="n">
        <v>5071971.109321781</v>
      </c>
      <c r="V324" s="19" t="n">
        <v>74401152.9891566</v>
      </c>
      <c r="W324" s="24" t="n">
        <v>9224437325.084053</v>
      </c>
      <c r="X324" s="24" t="n">
        <v>8466227226.727526</v>
      </c>
      <c r="Y324" s="19" t="n">
        <v>7055189.355606272</v>
      </c>
      <c r="Z324" s="19" t="n">
        <v>4686419.374978211</v>
      </c>
      <c r="AA324" s="19" t="n">
        <v>68745463.52369228</v>
      </c>
      <c r="AB324" s="24" t="n">
        <v>8523231081.520634</v>
      </c>
      <c r="AC324" s="24" t="n">
        <v>1985690487.047023</v>
      </c>
      <c r="AD324" s="19" t="n">
        <v>1654742.072539186</v>
      </c>
      <c r="AE324" s="19" t="n">
        <v>1099164.730876717</v>
      </c>
      <c r="AF324" s="19" t="n">
        <v>16123736.02679672</v>
      </c>
      <c r="AG324" s="24" t="n">
        <v>1999060316.270404</v>
      </c>
      <c r="AH324" s="24" t="n">
        <v>6556870323.621911</v>
      </c>
      <c r="AI324" s="19" t="n">
        <v>5464058.60301826</v>
      </c>
      <c r="AJ324" s="19" t="n">
        <v>3629508.552148659</v>
      </c>
      <c r="AK324" s="19" t="n">
        <v>53241553.47958481</v>
      </c>
      <c r="AL324" s="24" t="n">
        <v>6601018309.946329</v>
      </c>
      <c r="AM324" s="24" t="n">
        <v>59439625662.34513</v>
      </c>
      <c r="AN324" s="19" t="n">
        <v>49533021.38528762</v>
      </c>
      <c r="AO324" s="19" t="n">
        <v>32902378.57850864</v>
      </c>
      <c r="AP324" s="19" t="n">
        <v>482647643.2067277</v>
      </c>
      <c r="AQ324" s="24" t="n">
        <v>59839837905.58807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 t="n">
        <v>29824001271.073</v>
      </c>
      <c r="J325" s="21" t="n">
        <v>24853334.39256084</v>
      </c>
      <c r="K325" s="21" t="n">
        <v>16508862.05308668</v>
      </c>
      <c r="L325" s="21" t="n">
        <v>1382307774.825027</v>
      </c>
      <c r="M325" s="25" t="n">
        <v>31164946849.45238</v>
      </c>
      <c r="N325" s="25" t="n">
        <v>3668089601.693647</v>
      </c>
      <c r="O325" s="21" t="n">
        <v>3056741.334744706</v>
      </c>
      <c r="P325" s="21" t="n">
        <v>2030444.697286703</v>
      </c>
      <c r="Q325" s="21" t="n">
        <v>170011687.2008685</v>
      </c>
      <c r="R325" s="25" t="n">
        <v>3833014102.862484</v>
      </c>
      <c r="S325" s="25" t="n">
        <v>9224437325.084053</v>
      </c>
      <c r="T325" s="21" t="n">
        <v>7687031.104236712</v>
      </c>
      <c r="U325" s="21" t="n">
        <v>5106121.13824114</v>
      </c>
      <c r="V325" s="21" t="n">
        <v>427541942.375699</v>
      </c>
      <c r="W325" s="25" t="n">
        <v>9639186115.217274</v>
      </c>
      <c r="X325" s="25" t="n">
        <v>8523231081.520634</v>
      </c>
      <c r="Y325" s="21" t="n">
        <v>7102692.567933862</v>
      </c>
      <c r="Z325" s="21" t="n">
        <v>4717973.450057546</v>
      </c>
      <c r="AA325" s="21" t="n">
        <v>395041848.4606113</v>
      </c>
      <c r="AB325" s="25" t="n">
        <v>8906452263.963253</v>
      </c>
      <c r="AC325" s="25" t="n">
        <v>1999060316.270404</v>
      </c>
      <c r="AD325" s="21" t="n">
        <v>1665883.596892004</v>
      </c>
      <c r="AE325" s="21" t="n">
        <v>1106565.503976073</v>
      </c>
      <c r="AF325" s="21" t="n">
        <v>92654120.83404663</v>
      </c>
      <c r="AG325" s="25" t="n">
        <v>2088941988.003583</v>
      </c>
      <c r="AH325" s="25" t="n">
        <v>6601018309.946329</v>
      </c>
      <c r="AI325" s="21" t="n">
        <v>5500848.591621941</v>
      </c>
      <c r="AJ325" s="21" t="n">
        <v>3653946.353419083</v>
      </c>
      <c r="AK325" s="21" t="n">
        <v>305949521.952689</v>
      </c>
      <c r="AL325" s="25" t="n">
        <v>6897813036.953977</v>
      </c>
      <c r="AM325" s="25" t="n">
        <v>59839837905.58807</v>
      </c>
      <c r="AN325" s="21" t="n">
        <v>49866531.58799007</v>
      </c>
      <c r="AO325" s="21" t="n">
        <v>33123913.19606722</v>
      </c>
      <c r="AP325" s="21" t="n">
        <v>2773506895.648942</v>
      </c>
      <c r="AQ325" s="25" t="n">
        <v>62530354356.45296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 t="n">
        <v>31164946849.45238</v>
      </c>
      <c r="J326" s="19" t="n">
        <v>25970789.04121032</v>
      </c>
      <c r="K326" s="19" t="n">
        <v>17251132.86286006</v>
      </c>
      <c r="L326" s="19" t="n">
        <v>1524829319.80441</v>
      </c>
      <c r="M326" s="24" t="n">
        <v>32646554247.35272</v>
      </c>
      <c r="N326" s="24" t="n">
        <v>3833014102.862484</v>
      </c>
      <c r="O326" s="19" t="n">
        <v>3194178.41905207</v>
      </c>
      <c r="P326" s="19" t="n">
        <v>2121737.472331321</v>
      </c>
      <c r="Q326" s="19" t="n">
        <v>187540582.5494361</v>
      </c>
      <c r="R326" s="24" t="n">
        <v>4015238769.520536</v>
      </c>
      <c r="S326" s="24" t="n">
        <v>9639186115.217274</v>
      </c>
      <c r="T326" s="19" t="n">
        <v>8032655.096014395</v>
      </c>
      <c r="U326" s="19" t="n">
        <v>5335702.357097748</v>
      </c>
      <c r="V326" s="19" t="n">
        <v>471623252.8339171</v>
      </c>
      <c r="W326" s="24" t="n">
        <v>10097441010.59808</v>
      </c>
      <c r="X326" s="24" t="n">
        <v>8906452263.963253</v>
      </c>
      <c r="Y326" s="19" t="n">
        <v>7422043.553302711</v>
      </c>
      <c r="Z326" s="19" t="n">
        <v>4930102.787743104</v>
      </c>
      <c r="AA326" s="19" t="n">
        <v>435772267.2569926</v>
      </c>
      <c r="AB326" s="24" t="n">
        <v>9329872384.8792</v>
      </c>
      <c r="AC326" s="24" t="n">
        <v>2088941988.003583</v>
      </c>
      <c r="AD326" s="19" t="n">
        <v>1740784.990002986</v>
      </c>
      <c r="AE326" s="19" t="n">
        <v>1156318.858874937</v>
      </c>
      <c r="AF326" s="19" t="n">
        <v>102207136.9499013</v>
      </c>
      <c r="AG326" s="24" t="n">
        <v>2188252021.104606</v>
      </c>
      <c r="AH326" s="24" t="n">
        <v>6897813036.953977</v>
      </c>
      <c r="AI326" s="19" t="n">
        <v>5748177.530794981</v>
      </c>
      <c r="AJ326" s="19" t="n">
        <v>3818234.94641231</v>
      </c>
      <c r="AK326" s="19" t="n">
        <v>337494160.0922814</v>
      </c>
      <c r="AL326" s="24" t="n">
        <v>7225740784.569051</v>
      </c>
      <c r="AM326" s="24" t="n">
        <v>62530354356.45296</v>
      </c>
      <c r="AN326" s="19" t="n">
        <v>52108628.63037746</v>
      </c>
      <c r="AO326" s="19" t="n">
        <v>34613229.28531948</v>
      </c>
      <c r="AP326" s="19" t="n">
        <v>3059466719.486938</v>
      </c>
      <c r="AQ326" s="24" t="n">
        <v>65503099218.0242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 t="n">
        <v>32646554247.35272</v>
      </c>
      <c r="J327" s="21" t="n">
        <v>27205461.87279394</v>
      </c>
      <c r="K327" s="21" t="n">
        <v>18071266.01422541</v>
      </c>
      <c r="L327" s="21" t="n">
        <v>1735894190.691668</v>
      </c>
      <c r="M327" s="25" t="n">
        <v>34337171710.15737</v>
      </c>
      <c r="N327" s="25" t="n">
        <v>4015238769.520536</v>
      </c>
      <c r="O327" s="21" t="n">
        <v>3346032.30793378</v>
      </c>
      <c r="P327" s="21" t="n">
        <v>2222606.629933099</v>
      </c>
      <c r="Q327" s="21" t="n">
        <v>213499703.5656789</v>
      </c>
      <c r="R327" s="25" t="n">
        <v>4223169834.148349</v>
      </c>
      <c r="S327" s="25" t="n">
        <v>10097441010.59808</v>
      </c>
      <c r="T327" s="21" t="n">
        <v>8414534.1754984</v>
      </c>
      <c r="U327" s="21" t="n">
        <v>5589366.068557253</v>
      </c>
      <c r="V327" s="21" t="n">
        <v>536904723.7985414</v>
      </c>
      <c r="W327" s="25" t="n">
        <v>10620341834.15257</v>
      </c>
      <c r="X327" s="25" t="n">
        <v>9329872384.8792</v>
      </c>
      <c r="Y327" s="21" t="n">
        <v>7774893.654066</v>
      </c>
      <c r="Z327" s="21" t="n">
        <v>5164483.959577434</v>
      </c>
      <c r="AA327" s="21" t="n">
        <v>496091291.9047104</v>
      </c>
      <c r="AB327" s="25" t="n">
        <v>9813024299.170267</v>
      </c>
      <c r="AC327" s="25" t="n">
        <v>2188252021.104606</v>
      </c>
      <c r="AD327" s="21" t="n">
        <v>1823543.350920505</v>
      </c>
      <c r="AE327" s="21" t="n">
        <v>1211291.215603692</v>
      </c>
      <c r="AF327" s="21" t="n">
        <v>116354514.5507297</v>
      </c>
      <c r="AG327" s="25" t="n">
        <v>2301571701.088811</v>
      </c>
      <c r="AH327" s="25" t="n">
        <v>7225740784.569051</v>
      </c>
      <c r="AI327" s="21" t="n">
        <v>6021450.653807542</v>
      </c>
      <c r="AJ327" s="21" t="n">
        <v>3999756.999726047</v>
      </c>
      <c r="AK327" s="21" t="n">
        <v>384209658.2794609</v>
      </c>
      <c r="AL327" s="25" t="n">
        <v>7599929235.194978</v>
      </c>
      <c r="AM327" s="25" t="n">
        <v>65503099218.0242</v>
      </c>
      <c r="AN327" s="21" t="n">
        <v>54585916.01502016</v>
      </c>
      <c r="AO327" s="21" t="n">
        <v>36258770.88762294</v>
      </c>
      <c r="AP327" s="21" t="n">
        <v>3482954082.79079</v>
      </c>
      <c r="AQ327" s="25" t="n">
        <v>68895208613.91234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 t="n">
        <v>34337171710.15737</v>
      </c>
      <c r="J328" s="19" t="n">
        <v>28614309.75846448</v>
      </c>
      <c r="K328" s="19" t="n">
        <v>19007095.18832929</v>
      </c>
      <c r="L328" s="19" t="n">
        <v>857084522.9034775</v>
      </c>
      <c r="M328" s="24" t="n">
        <v>35146634828.11406</v>
      </c>
      <c r="N328" s="24" t="n">
        <v>4223169834.148349</v>
      </c>
      <c r="O328" s="19" t="n">
        <v>3519308.195123624</v>
      </c>
      <c r="P328" s="19" t="n">
        <v>2337705.379805453</v>
      </c>
      <c r="Q328" s="19" t="n">
        <v>105413851.0007412</v>
      </c>
      <c r="R328" s="24" t="n">
        <v>4322726671.574161</v>
      </c>
      <c r="S328" s="24" t="n">
        <v>10620341834.15257</v>
      </c>
      <c r="T328" s="19" t="n">
        <v>8850284.861793805</v>
      </c>
      <c r="U328" s="19" t="n">
        <v>5878814.070019059</v>
      </c>
      <c r="V328" s="19" t="n">
        <v>265092614.2325185</v>
      </c>
      <c r="W328" s="24" t="n">
        <v>10870705349.45327</v>
      </c>
      <c r="X328" s="24" t="n">
        <v>9813024299.170267</v>
      </c>
      <c r="Y328" s="19" t="n">
        <v>8177520.249308556</v>
      </c>
      <c r="Z328" s="19" t="n">
        <v>5431929.237332716</v>
      </c>
      <c r="AA328" s="19" t="n">
        <v>244941293.3799269</v>
      </c>
      <c r="AB328" s="24" t="n">
        <v>10044356143.06355</v>
      </c>
      <c r="AC328" s="24" t="n">
        <v>2301571701.088811</v>
      </c>
      <c r="AD328" s="19" t="n">
        <v>1917976.41757401</v>
      </c>
      <c r="AE328" s="19" t="n">
        <v>1274018.511909626</v>
      </c>
      <c r="AF328" s="19" t="n">
        <v>57449154.51997804</v>
      </c>
      <c r="AG328" s="24" t="n">
        <v>2355828860.679306</v>
      </c>
      <c r="AH328" s="24" t="n">
        <v>7599929235.194978</v>
      </c>
      <c r="AI328" s="19" t="n">
        <v>6333274.362662482</v>
      </c>
      <c r="AJ328" s="19" t="n">
        <v>4206886.333482926</v>
      </c>
      <c r="AK328" s="19" t="n">
        <v>189700589.7174816</v>
      </c>
      <c r="AL328" s="24" t="n">
        <v>7779089664.216314</v>
      </c>
      <c r="AM328" s="24" t="n">
        <v>68895208613.91234</v>
      </c>
      <c r="AN328" s="19" t="n">
        <v>57412673.84492695</v>
      </c>
      <c r="AO328" s="19" t="n">
        <v>38136448.72087908</v>
      </c>
      <c r="AP328" s="19" t="n">
        <v>1719682025.754124</v>
      </c>
      <c r="AQ328" s="24" t="n">
        <v>70519341517.10066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 t="n">
        <v>35146634828.11406</v>
      </c>
      <c r="J329" s="21" t="n">
        <v>29288862.35676172</v>
      </c>
      <c r="K329" s="21" t="n">
        <v>19455167.69308639</v>
      </c>
      <c r="L329" s="21" t="n">
        <v>1010404755.756696</v>
      </c>
      <c r="M329" s="25" t="n">
        <v>36108295553.82092</v>
      </c>
      <c r="N329" s="25" t="n">
        <v>4322726671.574161</v>
      </c>
      <c r="O329" s="21" t="n">
        <v>3602272.226311801</v>
      </c>
      <c r="P329" s="21" t="n">
        <v>2392814.353298505</v>
      </c>
      <c r="Q329" s="21" t="n">
        <v>124270889.8918847</v>
      </c>
      <c r="R329" s="25" t="n">
        <v>4441002474.886436</v>
      </c>
      <c r="S329" s="25" t="n">
        <v>10870705349.45327</v>
      </c>
      <c r="T329" s="21" t="n">
        <v>9058921.124544393</v>
      </c>
      <c r="U329" s="21" t="n">
        <v>6017400.998703042</v>
      </c>
      <c r="V329" s="21" t="n">
        <v>312513913.130918</v>
      </c>
      <c r="W329" s="25" t="n">
        <v>11168142940.46094</v>
      </c>
      <c r="X329" s="25" t="n">
        <v>10044356143.06355</v>
      </c>
      <c r="Y329" s="21" t="n">
        <v>8370296.785886294</v>
      </c>
      <c r="Z329" s="21" t="n">
        <v>5559981.320774134</v>
      </c>
      <c r="AA329" s="21" t="n">
        <v>288757807.5425656</v>
      </c>
      <c r="AB329" s="25" t="n">
        <v>10319183672.49946</v>
      </c>
      <c r="AC329" s="25" t="n">
        <v>2355828860.679306</v>
      </c>
      <c r="AD329" s="21" t="n">
        <v>1963190.717232755</v>
      </c>
      <c r="AE329" s="21" t="n">
        <v>1304052.173554503</v>
      </c>
      <c r="AF329" s="21" t="n">
        <v>67725991.29960504</v>
      </c>
      <c r="AG329" s="25" t="n">
        <v>2420287609.088124</v>
      </c>
      <c r="AH329" s="25" t="n">
        <v>7779089664.216314</v>
      </c>
      <c r="AI329" s="21" t="n">
        <v>6482574.720180263</v>
      </c>
      <c r="AJ329" s="21" t="n">
        <v>4306059.30431276</v>
      </c>
      <c r="AK329" s="21" t="n">
        <v>223635327.5533116</v>
      </c>
      <c r="AL329" s="25" t="n">
        <v>7991936357.745132</v>
      </c>
      <c r="AM329" s="25" t="n">
        <v>70519341517.10066</v>
      </c>
      <c r="AN329" s="21" t="n">
        <v>58766117.93091723</v>
      </c>
      <c r="AO329" s="21" t="n">
        <v>39035475.84372933</v>
      </c>
      <c r="AP329" s="21" t="n">
        <v>2027308685.174981</v>
      </c>
      <c r="AQ329" s="25" t="n">
        <v>72448848608.50101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 t="n">
        <v>36108295553.82092</v>
      </c>
      <c r="J330" s="19" t="n">
        <v>30090246.29485076</v>
      </c>
      <c r="K330" s="19" t="n">
        <v>19987488.09229332</v>
      </c>
      <c r="L330" s="19" t="n">
        <v>664149197.841231</v>
      </c>
      <c r="M330" s="24" t="n">
        <v>36722367017.275</v>
      </c>
      <c r="N330" s="24" t="n">
        <v>4441002474.886436</v>
      </c>
      <c r="O330" s="19" t="n">
        <v>3700835.395738697</v>
      </c>
      <c r="P330" s="19" t="n">
        <v>2458285.076135223</v>
      </c>
      <c r="Q330" s="19" t="n">
        <v>81684504.51809372</v>
      </c>
      <c r="R330" s="24" t="n">
        <v>4516527858.932655</v>
      </c>
      <c r="S330" s="24" t="n">
        <v>11168142940.46094</v>
      </c>
      <c r="T330" s="19" t="n">
        <v>9306785.783717453</v>
      </c>
      <c r="U330" s="19" t="n">
        <v>6182045.444453878</v>
      </c>
      <c r="V330" s="19" t="n">
        <v>205418535.0351841</v>
      </c>
      <c r="W330" s="24" t="n">
        <v>11358072644.26796</v>
      </c>
      <c r="X330" s="24" t="n">
        <v>10319183672.49946</v>
      </c>
      <c r="Y330" s="19" t="n">
        <v>8599319.727082882</v>
      </c>
      <c r="Z330" s="19" t="n">
        <v>5712110.129065483</v>
      </c>
      <c r="AA330" s="19" t="n">
        <v>189803408.1462375</v>
      </c>
      <c r="AB330" s="24" t="n">
        <v>10494675650.78955</v>
      </c>
      <c r="AC330" s="24" t="n">
        <v>2420287609.088124</v>
      </c>
      <c r="AD330" s="19" t="n">
        <v>2016906.34090677</v>
      </c>
      <c r="AE330" s="19" t="n">
        <v>1339732.851540121</v>
      </c>
      <c r="AF330" s="19" t="n">
        <v>44516974.54744171</v>
      </c>
      <c r="AG330" s="24" t="n">
        <v>2461447944.443119</v>
      </c>
      <c r="AH330" s="24" t="n">
        <v>7991936357.745132</v>
      </c>
      <c r="AI330" s="19" t="n">
        <v>6659946.964787611</v>
      </c>
      <c r="AJ330" s="19" t="n">
        <v>4423879.065316159</v>
      </c>
      <c r="AK330" s="19" t="n">
        <v>146997747.7414586</v>
      </c>
      <c r="AL330" s="24" t="n">
        <v>8127850279.456488</v>
      </c>
      <c r="AM330" s="24" t="n">
        <v>72448848608.50101</v>
      </c>
      <c r="AN330" s="19" t="n">
        <v>60374040.50708417</v>
      </c>
      <c r="AO330" s="19" t="n">
        <v>40103540.65880418</v>
      </c>
      <c r="AP330" s="19" t="n">
        <v>1332570367.829647</v>
      </c>
      <c r="AQ330" s="24" t="n">
        <v>73680941395.16476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 t="n">
        <v>36722367017.275</v>
      </c>
      <c r="J331" s="21" t="n">
        <v>30601972.51439584</v>
      </c>
      <c r="K331" s="21" t="n">
        <v>20327402.94774007</v>
      </c>
      <c r="L331" s="21" t="n">
        <v>1668642647.157749</v>
      </c>
      <c r="M331" s="25" t="n">
        <v>38340080288.97061</v>
      </c>
      <c r="N331" s="25" t="n">
        <v>4516527858.932655</v>
      </c>
      <c r="O331" s="21" t="n">
        <v>3763773.215777213</v>
      </c>
      <c r="P331" s="21" t="n">
        <v>2500091.610925536</v>
      </c>
      <c r="Q331" s="21" t="n">
        <v>205228355.7578352</v>
      </c>
      <c r="R331" s="25" t="n">
        <v>4715492349.863788</v>
      </c>
      <c r="S331" s="25" t="n">
        <v>11358072644.26796</v>
      </c>
      <c r="T331" s="21" t="n">
        <v>9465060.536889963</v>
      </c>
      <c r="U331" s="21" t="n">
        <v>6287179.670121136</v>
      </c>
      <c r="V331" s="21" t="n">
        <v>516104106.1112863</v>
      </c>
      <c r="W331" s="25" t="n">
        <v>11858424510.17223</v>
      </c>
      <c r="X331" s="25" t="n">
        <v>10494675650.78955</v>
      </c>
      <c r="Y331" s="21" t="n">
        <v>8745563.042324625</v>
      </c>
      <c r="Z331" s="21" t="n">
        <v>5809252.455297356</v>
      </c>
      <c r="AA331" s="21" t="n">
        <v>476871857.1642587</v>
      </c>
      <c r="AB331" s="25" t="n">
        <v>10956992692.45619</v>
      </c>
      <c r="AC331" s="25" t="n">
        <v>2461447944.443119</v>
      </c>
      <c r="AD331" s="21" t="n">
        <v>2051206.620369266</v>
      </c>
      <c r="AE331" s="21" t="n">
        <v>1362516.860039123</v>
      </c>
      <c r="AF331" s="21" t="n">
        <v>111846739.3979373</v>
      </c>
      <c r="AG331" s="25" t="n">
        <v>2569880960.360647</v>
      </c>
      <c r="AH331" s="25" t="n">
        <v>8127850279.456488</v>
      </c>
      <c r="AI331" s="21" t="n">
        <v>6773208.56621374</v>
      </c>
      <c r="AJ331" s="21" t="n">
        <v>4499113.24212003</v>
      </c>
      <c r="AK331" s="21" t="n">
        <v>369324711.5479795</v>
      </c>
      <c r="AL331" s="25" t="n">
        <v>8485902669.196134</v>
      </c>
      <c r="AM331" s="25" t="n">
        <v>73680941395.16476</v>
      </c>
      <c r="AN331" s="21" t="n">
        <v>61400784.49597064</v>
      </c>
      <c r="AO331" s="21" t="n">
        <v>40785556.78624325</v>
      </c>
      <c r="AP331" s="21" t="n">
        <v>3348018417.137046</v>
      </c>
      <c r="AQ331" s="25" t="n">
        <v>76926773471.01959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 t="n">
        <v>38340080288.97061</v>
      </c>
      <c r="J332" s="19" t="n">
        <v>31950066.90747551</v>
      </c>
      <c r="K332" s="19" t="n">
        <v>21222876.52960897</v>
      </c>
      <c r="L332" s="19" t="n">
        <v>1927599912.09973</v>
      </c>
      <c r="M332" s="24" t="n">
        <v>40214507257.63326</v>
      </c>
      <c r="N332" s="24" t="n">
        <v>4715492349.863788</v>
      </c>
      <c r="O332" s="19" t="n">
        <v>3929576.958219823</v>
      </c>
      <c r="P332" s="19" t="n">
        <v>2610226.978222162</v>
      </c>
      <c r="Q332" s="19" t="n">
        <v>237077819.6236384</v>
      </c>
      <c r="R332" s="24" t="n">
        <v>4946030365.550984</v>
      </c>
      <c r="S332" s="24" t="n">
        <v>11858424510.17223</v>
      </c>
      <c r="T332" s="19" t="n">
        <v>9882020.425143527</v>
      </c>
      <c r="U332" s="19" t="n">
        <v>6564145.85776109</v>
      </c>
      <c r="V332" s="19" t="n">
        <v>596198491.7914995</v>
      </c>
      <c r="W332" s="24" t="n">
        <v>12438176835.68083</v>
      </c>
      <c r="X332" s="24" t="n">
        <v>10956992692.45619</v>
      </c>
      <c r="Y332" s="19" t="n">
        <v>9130827.243713489</v>
      </c>
      <c r="Z332" s="19" t="n">
        <v>6065164.738706103</v>
      </c>
      <c r="AA332" s="19" t="n">
        <v>550877775.7289093</v>
      </c>
      <c r="AB332" s="24" t="n">
        <v>11492674476.20267</v>
      </c>
      <c r="AC332" s="24" t="n">
        <v>2569880960.360647</v>
      </c>
      <c r="AD332" s="19" t="n">
        <v>2141567.466967206</v>
      </c>
      <c r="AE332" s="19" t="n">
        <v>1422539.178490367</v>
      </c>
      <c r="AF332" s="19" t="n">
        <v>129204275.9420876</v>
      </c>
      <c r="AG332" s="24" t="n">
        <v>2695521129.657278</v>
      </c>
      <c r="AH332" s="24" t="n">
        <v>8485902669.196134</v>
      </c>
      <c r="AI332" s="19" t="n">
        <v>7071585.557663445</v>
      </c>
      <c r="AJ332" s="19" t="n">
        <v>4697310.575075588</v>
      </c>
      <c r="AK332" s="19" t="n">
        <v>426640349.1057611</v>
      </c>
      <c r="AL332" s="24" t="n">
        <v>8900774122.169155</v>
      </c>
      <c r="AM332" s="24" t="n">
        <v>76926773471.01959</v>
      </c>
      <c r="AN332" s="19" t="n">
        <v>64105644.559183</v>
      </c>
      <c r="AO332" s="19" t="n">
        <v>42582263.85786428</v>
      </c>
      <c r="AP332" s="19" t="n">
        <v>3867598624.291626</v>
      </c>
      <c r="AQ332" s="24" t="n">
        <v>80687684186.89418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 t="n">
        <v>40214507257.63326</v>
      </c>
      <c r="J333" s="21" t="n">
        <v>33512089.38136105</v>
      </c>
      <c r="K333" s="21" t="n">
        <v>22260452.1376898</v>
      </c>
      <c r="L333" s="21" t="n">
        <v>1314007007.105181</v>
      </c>
      <c r="M333" s="25" t="n">
        <v>41472741723.21938</v>
      </c>
      <c r="N333" s="25" t="n">
        <v>4946030365.550984</v>
      </c>
      <c r="O333" s="21" t="n">
        <v>4121691.971292487</v>
      </c>
      <c r="P333" s="21" t="n">
        <v>2737839.64375218</v>
      </c>
      <c r="Q333" s="21" t="n">
        <v>161611294.0549676</v>
      </c>
      <c r="R333" s="25" t="n">
        <v>5100782127.990908</v>
      </c>
      <c r="S333" s="25" t="n">
        <v>12438176835.68083</v>
      </c>
      <c r="T333" s="21" t="n">
        <v>10365147.36306736</v>
      </c>
      <c r="U333" s="21" t="n">
        <v>6885063.600480635</v>
      </c>
      <c r="V333" s="21" t="n">
        <v>406416804.089914</v>
      </c>
      <c r="W333" s="25" t="n">
        <v>12827343428.80719</v>
      </c>
      <c r="X333" s="25" t="n">
        <v>11492674476.20267</v>
      </c>
      <c r="Y333" s="21" t="n">
        <v>9577228.730168896</v>
      </c>
      <c r="Z333" s="21" t="n">
        <v>6361687.549037381</v>
      </c>
      <c r="AA333" s="21" t="n">
        <v>375522561.9292581</v>
      </c>
      <c r="AB333" s="25" t="n">
        <v>11852258121.85273</v>
      </c>
      <c r="AC333" s="25" t="n">
        <v>2695521129.657278</v>
      </c>
      <c r="AD333" s="21" t="n">
        <v>2246267.608047732</v>
      </c>
      <c r="AE333" s="21" t="n">
        <v>1492086.393312152</v>
      </c>
      <c r="AF333" s="21" t="n">
        <v>88076017.67885469</v>
      </c>
      <c r="AG333" s="25" t="n">
        <v>2779858793.334772</v>
      </c>
      <c r="AH333" s="25" t="n">
        <v>8900774122.169155</v>
      </c>
      <c r="AI333" s="21" t="n">
        <v>7417311.768474297</v>
      </c>
      <c r="AJ333" s="21" t="n">
        <v>4926959.693067623</v>
      </c>
      <c r="AK333" s="21" t="n">
        <v>290832347.8953168</v>
      </c>
      <c r="AL333" s="25" t="n">
        <v>9179262198.60293</v>
      </c>
      <c r="AM333" s="25" t="n">
        <v>80687684186.89418</v>
      </c>
      <c r="AN333" s="21" t="n">
        <v>67239736.82241182</v>
      </c>
      <c r="AO333" s="21" t="n">
        <v>44664089.01733977</v>
      </c>
      <c r="AP333" s="21" t="n">
        <v>2636466032.753492</v>
      </c>
      <c r="AQ333" s="25" t="n">
        <v>83212246393.80792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 t="n">
        <v>41472741723.21938</v>
      </c>
      <c r="J334" s="19" t="n">
        <v>34560618.10268282</v>
      </c>
      <c r="K334" s="19" t="n">
        <v>22956938.80404962</v>
      </c>
      <c r="L334" s="19" t="n">
        <v>1170979153.711755</v>
      </c>
      <c r="M334" s="24" t="n">
        <v>42586203320.02441</v>
      </c>
      <c r="N334" s="24" t="n">
        <v>5100782127.990908</v>
      </c>
      <c r="O334" s="19" t="n">
        <v>4250651.773325757</v>
      </c>
      <c r="P334" s="19" t="n">
        <v>2823501.372216183</v>
      </c>
      <c r="Q334" s="19" t="n">
        <v>144020127.2287426</v>
      </c>
      <c r="R334" s="24" t="n">
        <v>5237728102.074108</v>
      </c>
      <c r="S334" s="24" t="n">
        <v>12827343428.80719</v>
      </c>
      <c r="T334" s="19" t="n">
        <v>10689452.85733933</v>
      </c>
      <c r="U334" s="19" t="n">
        <v>7100483.977619109</v>
      </c>
      <c r="V334" s="19" t="n">
        <v>362178894.5828271</v>
      </c>
      <c r="W334" s="24" t="n">
        <v>13171732386.55506</v>
      </c>
      <c r="X334" s="24" t="n">
        <v>11852258121.85273</v>
      </c>
      <c r="Y334" s="19" t="n">
        <v>9876881.768210605</v>
      </c>
      <c r="Z334" s="19" t="n">
        <v>6560732.4977224</v>
      </c>
      <c r="AA334" s="19" t="n">
        <v>334647448.1413432</v>
      </c>
      <c r="AB334" s="24" t="n">
        <v>12170467955.72814</v>
      </c>
      <c r="AC334" s="24" t="n">
        <v>2779858793.334772</v>
      </c>
      <c r="AD334" s="19" t="n">
        <v>2316548.994445643</v>
      </c>
      <c r="AE334" s="19" t="n">
        <v>1538770.90230464</v>
      </c>
      <c r="AF334" s="19" t="n">
        <v>78489064.43132176</v>
      </c>
      <c r="AG334" s="24" t="n">
        <v>2854492537.869343</v>
      </c>
      <c r="AH334" s="24" t="n">
        <v>9179262198.60293</v>
      </c>
      <c r="AI334" s="19" t="n">
        <v>7649385.165502442</v>
      </c>
      <c r="AJ334" s="19" t="n">
        <v>5081114.770901995</v>
      </c>
      <c r="AK334" s="19" t="n">
        <v>259175647.2902891</v>
      </c>
      <c r="AL334" s="24" t="n">
        <v>9425707345.956814</v>
      </c>
      <c r="AM334" s="24" t="n">
        <v>83212246393.80792</v>
      </c>
      <c r="AN334" s="19" t="n">
        <v>69343538.66150659</v>
      </c>
      <c r="AO334" s="19" t="n">
        <v>46061542.32481395</v>
      </c>
      <c r="AP334" s="19" t="n">
        <v>2349490335.386279</v>
      </c>
      <c r="AQ334" s="24" t="n">
        <v>85446331648.20787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 t="n">
        <v>42586203320.02441</v>
      </c>
      <c r="J335" s="21" t="n">
        <v>35488502.76668701</v>
      </c>
      <c r="K335" s="21" t="n">
        <v>23573287.48697745</v>
      </c>
      <c r="L335" s="21" t="n">
        <v>407268959.3632163</v>
      </c>
      <c r="M335" s="25" t="n">
        <v>42934410489.13396</v>
      </c>
      <c r="N335" s="25" t="n">
        <v>5237728102.074108</v>
      </c>
      <c r="O335" s="21" t="n">
        <v>4364773.418395091</v>
      </c>
      <c r="P335" s="21" t="n">
        <v>2899306.834210244</v>
      </c>
      <c r="Q335" s="21" t="n">
        <v>50090496.6223219</v>
      </c>
      <c r="R335" s="25" t="n">
        <v>5280554518.443825</v>
      </c>
      <c r="S335" s="25" t="n">
        <v>13171732386.55506</v>
      </c>
      <c r="T335" s="21" t="n">
        <v>10976443.65546255</v>
      </c>
      <c r="U335" s="21" t="n">
        <v>7291118.015768119</v>
      </c>
      <c r="V335" s="21" t="n">
        <v>125966564.8466166</v>
      </c>
      <c r="W335" s="25" t="n">
        <v>13279431389.73045</v>
      </c>
      <c r="X335" s="25" t="n">
        <v>12170467955.72814</v>
      </c>
      <c r="Y335" s="21" t="n">
        <v>10142056.62977345</v>
      </c>
      <c r="Z335" s="21" t="n">
        <v>6736875.269567038</v>
      </c>
      <c r="AA335" s="21" t="n">
        <v>116391071.1186152</v>
      </c>
      <c r="AB335" s="25" t="n">
        <v>12269980094.94741</v>
      </c>
      <c r="AC335" s="25" t="n">
        <v>2854492537.869343</v>
      </c>
      <c r="AD335" s="21" t="n">
        <v>2378743.781557786</v>
      </c>
      <c r="AE335" s="21" t="n">
        <v>1580083.876436706</v>
      </c>
      <c r="AF335" s="21" t="n">
        <v>27298658.12812373</v>
      </c>
      <c r="AG335" s="25" t="n">
        <v>2877832368.339473</v>
      </c>
      <c r="AH335" s="25" t="n">
        <v>9425707345.956814</v>
      </c>
      <c r="AI335" s="21" t="n">
        <v>7854756.121630679</v>
      </c>
      <c r="AJ335" s="21" t="n">
        <v>5217532.715105345</v>
      </c>
      <c r="AK335" s="21" t="n">
        <v>90141823.47279167</v>
      </c>
      <c r="AL335" s="25" t="n">
        <v>9502776880.592869</v>
      </c>
      <c r="AM335" s="25" t="n">
        <v>85446331648.20787</v>
      </c>
      <c r="AN335" s="21" t="n">
        <v>71205276.37350655</v>
      </c>
      <c r="AO335" s="21" t="n">
        <v>47298204.1980649</v>
      </c>
      <c r="AP335" s="21" t="n">
        <v>817157573.5516856</v>
      </c>
      <c r="AQ335" s="25" t="n">
        <v>86144985741.18799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 t="n">
        <v>42934410489.13396</v>
      </c>
      <c r="J336" s="19" t="n">
        <v>35778675.40761163</v>
      </c>
      <c r="K336" s="19" t="n">
        <v>23766035.06864756</v>
      </c>
      <c r="L336" s="19" t="n">
        <v>920610219.1753284</v>
      </c>
      <c r="M336" s="24" t="n">
        <v>43795475997.83303</v>
      </c>
      <c r="N336" s="24" t="n">
        <v>5280554518.443825</v>
      </c>
      <c r="O336" s="19" t="n">
        <v>4400462.098703188</v>
      </c>
      <c r="P336" s="19" t="n">
        <v>2923013.08990845</v>
      </c>
      <c r="Q336" s="19" t="n">
        <v>113226952.3957286</v>
      </c>
      <c r="R336" s="24" t="n">
        <v>5386457995.650941</v>
      </c>
      <c r="S336" s="24" t="n">
        <v>13279431389.73045</v>
      </c>
      <c r="T336" s="19" t="n">
        <v>11066192.82477537</v>
      </c>
      <c r="U336" s="19" t="n">
        <v>7350734.026729126</v>
      </c>
      <c r="V336" s="19" t="n">
        <v>284740843.1360083</v>
      </c>
      <c r="W336" s="24" t="n">
        <v>13545755306.01495</v>
      </c>
      <c r="X336" s="24" t="n">
        <v>12269980094.94741</v>
      </c>
      <c r="Y336" s="19" t="n">
        <v>10224983.41245618</v>
      </c>
      <c r="Z336" s="19" t="n">
        <v>6791959.500688366</v>
      </c>
      <c r="AA336" s="19" t="n">
        <v>263095939.4992802</v>
      </c>
      <c r="AB336" s="24" t="n">
        <v>12516059091.53355</v>
      </c>
      <c r="AC336" s="24" t="n">
        <v>2877832368.339473</v>
      </c>
      <c r="AD336" s="19" t="n">
        <v>2398193.640282894</v>
      </c>
      <c r="AE336" s="19" t="n">
        <v>1593003.472237137</v>
      </c>
      <c r="AF336" s="19" t="n">
        <v>61707191.43884295</v>
      </c>
      <c r="AG336" s="24" t="n">
        <v>2935548362.665795</v>
      </c>
      <c r="AH336" s="24" t="n">
        <v>9502776880.592869</v>
      </c>
      <c r="AI336" s="19" t="n">
        <v>7918980.733827392</v>
      </c>
      <c r="AJ336" s="19" t="n">
        <v>5260194.003382457</v>
      </c>
      <c r="AK336" s="19" t="n">
        <v>203760885.666077</v>
      </c>
      <c r="AL336" s="24" t="n">
        <v>9693358591.521736</v>
      </c>
      <c r="AM336" s="24" t="n">
        <v>86144985741.18799</v>
      </c>
      <c r="AN336" s="19" t="n">
        <v>71787488.11765666</v>
      </c>
      <c r="AO336" s="19" t="n">
        <v>47684939.1615931</v>
      </c>
      <c r="AP336" s="19" t="n">
        <v>1847142031.311265</v>
      </c>
      <c r="AQ336" s="24" t="n">
        <v>87872655345.22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 t="n">
        <v>43795475997.83303</v>
      </c>
      <c r="J337" s="21" t="n">
        <v>36496229.9981942</v>
      </c>
      <c r="K337" s="21" t="n">
        <v>24242671.70678945</v>
      </c>
      <c r="L337" s="21" t="n">
        <v>1295978112.546643</v>
      </c>
      <c r="M337" s="25" t="n">
        <v>45030715208.6747</v>
      </c>
      <c r="N337" s="25" t="n">
        <v>5386457995.650941</v>
      </c>
      <c r="O337" s="21" t="n">
        <v>4488714.996375784</v>
      </c>
      <c r="P337" s="21" t="n">
        <v>2981635.200344392</v>
      </c>
      <c r="Q337" s="21" t="n">
        <v>159393898.7410682</v>
      </c>
      <c r="R337" s="25" t="n">
        <v>5538381544.195289</v>
      </c>
      <c r="S337" s="25" t="n">
        <v>13545755306.01495</v>
      </c>
      <c r="T337" s="21" t="n">
        <v>11288129.42167913</v>
      </c>
      <c r="U337" s="21" t="n">
        <v>7498155.720934966</v>
      </c>
      <c r="V337" s="21" t="n">
        <v>400840543.3332096</v>
      </c>
      <c r="W337" s="25" t="n">
        <v>13927809564.20555</v>
      </c>
      <c r="X337" s="25" t="n">
        <v>12516059091.53355</v>
      </c>
      <c r="Y337" s="21" t="n">
        <v>10430049.24294462</v>
      </c>
      <c r="Z337" s="21" t="n">
        <v>6928174.764759683</v>
      </c>
      <c r="AA337" s="21" t="n">
        <v>370370187.0661362</v>
      </c>
      <c r="AB337" s="25" t="n">
        <v>12869071054.59198</v>
      </c>
      <c r="AC337" s="25" t="n">
        <v>2935548362.665795</v>
      </c>
      <c r="AD337" s="21" t="n">
        <v>2446290.302221496</v>
      </c>
      <c r="AE337" s="21" t="n">
        <v>1624951.747048745</v>
      </c>
      <c r="AF337" s="21" t="n">
        <v>86867566.56156097</v>
      </c>
      <c r="AG337" s="25" t="n">
        <v>3018344687.178086</v>
      </c>
      <c r="AH337" s="25" t="n">
        <v>9693358591.521736</v>
      </c>
      <c r="AI337" s="21" t="n">
        <v>8077798.826268114</v>
      </c>
      <c r="AJ337" s="21" t="n">
        <v>5365689.142916856</v>
      </c>
      <c r="AK337" s="21" t="n">
        <v>286841969.072324</v>
      </c>
      <c r="AL337" s="25" t="n">
        <v>9966757072.624876</v>
      </c>
      <c r="AM337" s="25" t="n">
        <v>87872655345.22</v>
      </c>
      <c r="AN337" s="21" t="n">
        <v>73227212.78768334</v>
      </c>
      <c r="AO337" s="21" t="n">
        <v>48641278.2827941</v>
      </c>
      <c r="AP337" s="21" t="n">
        <v>2600292277.320942</v>
      </c>
      <c r="AQ337" s="25" t="n">
        <v>90351079131.47047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 t="n">
        <v>45030715208.6747</v>
      </c>
      <c r="J338" s="19" t="n">
        <v>37525596.00722892</v>
      </c>
      <c r="K338" s="19" t="n">
        <v>24926429.51477103</v>
      </c>
      <c r="L338" s="19" t="n">
        <v>814433668.3922299</v>
      </c>
      <c r="M338" s="24" t="n">
        <v>45782696851.54492</v>
      </c>
      <c r="N338" s="24" t="n">
        <v>5538381544.195289</v>
      </c>
      <c r="O338" s="19" t="n">
        <v>4615317.953496074</v>
      </c>
      <c r="P338" s="19" t="n">
        <v>3065731.391285971</v>
      </c>
      <c r="Q338" s="19" t="n">
        <v>100168171.3713013</v>
      </c>
      <c r="R338" s="24" t="n">
        <v>5630868666.221808</v>
      </c>
      <c r="S338" s="24" t="n">
        <v>13927809564.20555</v>
      </c>
      <c r="T338" s="19" t="n">
        <v>11606507.97017129</v>
      </c>
      <c r="U338" s="19" t="n">
        <v>7709639.11606815</v>
      </c>
      <c r="V338" s="19" t="n">
        <v>251900885.5062365</v>
      </c>
      <c r="W338" s="24" t="n">
        <v>14160394302.62554</v>
      </c>
      <c r="X338" s="24" t="n">
        <v>12869071054.59198</v>
      </c>
      <c r="Y338" s="19" t="n">
        <v>10724225.87882665</v>
      </c>
      <c r="Z338" s="19" t="n">
        <v>7123582.005667814</v>
      </c>
      <c r="AA338" s="19" t="n">
        <v>232752349.1293017</v>
      </c>
      <c r="AB338" s="24" t="n">
        <v>13083975595.83678</v>
      </c>
      <c r="AC338" s="24" t="n">
        <v>3018344687.178086</v>
      </c>
      <c r="AD338" s="19" t="n">
        <v>2515287.239315072</v>
      </c>
      <c r="AE338" s="19" t="n">
        <v>1670783.058798379</v>
      </c>
      <c r="AF338" s="19" t="n">
        <v>54590328.50486665</v>
      </c>
      <c r="AG338" s="24" t="n">
        <v>3068748945.38484</v>
      </c>
      <c r="AH338" s="24" t="n">
        <v>9966757072.624876</v>
      </c>
      <c r="AI338" s="19" t="n">
        <v>8305630.893854064</v>
      </c>
      <c r="AJ338" s="19" t="n">
        <v>5517026.911750473</v>
      </c>
      <c r="AK338" s="19" t="n">
        <v>180260572.9670573</v>
      </c>
      <c r="AL338" s="24" t="n">
        <v>10133194987.78633</v>
      </c>
      <c r="AM338" s="24" t="n">
        <v>90351079131.47047</v>
      </c>
      <c r="AN338" s="19" t="n">
        <v>75292565.94289206</v>
      </c>
      <c r="AO338" s="19" t="n">
        <v>50013191.99834181</v>
      </c>
      <c r="AP338" s="19" t="n">
        <v>1634105975.870993</v>
      </c>
      <c r="AQ338" s="24" t="n">
        <v>91859879349.40024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 t="n">
        <v>45782696851.54492</v>
      </c>
      <c r="J339" s="21" t="n">
        <v>38152247.37628744</v>
      </c>
      <c r="K339" s="21" t="n">
        <v>25342683.56116014</v>
      </c>
      <c r="L339" s="21" t="n">
        <v>1364450479.061247</v>
      </c>
      <c r="M339" s="25" t="n">
        <v>47083652399.66872</v>
      </c>
      <c r="N339" s="25" t="n">
        <v>5630868666.221808</v>
      </c>
      <c r="O339" s="21" t="n">
        <v>4692390.55518484</v>
      </c>
      <c r="P339" s="21" t="n">
        <v>3116926.97451255</v>
      </c>
      <c r="Q339" s="21" t="n">
        <v>167815397.0280598</v>
      </c>
      <c r="R339" s="25" t="n">
        <v>5790874745.720172</v>
      </c>
      <c r="S339" s="25" t="n">
        <v>14160394302.62554</v>
      </c>
      <c r="T339" s="21" t="n">
        <v>11800328.58552129</v>
      </c>
      <c r="U339" s="21" t="n">
        <v>7838384.730291055</v>
      </c>
      <c r="V339" s="21" t="n">
        <v>422018756.3997027</v>
      </c>
      <c r="W339" s="25" t="n">
        <v>14562774345.70943</v>
      </c>
      <c r="X339" s="25" t="n">
        <v>13083975595.83678</v>
      </c>
      <c r="Y339" s="21" t="n">
        <v>10903312.99653065</v>
      </c>
      <c r="Z339" s="21" t="n">
        <v>7242540.873518772</v>
      </c>
      <c r="AA339" s="21" t="n">
        <v>389938513.8375207</v>
      </c>
      <c r="AB339" s="25" t="n">
        <v>13455768255.80426</v>
      </c>
      <c r="AC339" s="25" t="n">
        <v>3068748945.38484</v>
      </c>
      <c r="AD339" s="21" t="n">
        <v>2557290.7878207</v>
      </c>
      <c r="AE339" s="21" t="n">
        <v>1698683.974509194</v>
      </c>
      <c r="AF339" s="21" t="n">
        <v>91457171.73949631</v>
      </c>
      <c r="AG339" s="25" t="n">
        <v>3155950142.362006</v>
      </c>
      <c r="AH339" s="25" t="n">
        <v>10133194987.78633</v>
      </c>
      <c r="AI339" s="21" t="n">
        <v>8444329.156488609</v>
      </c>
      <c r="AJ339" s="21" t="n">
        <v>5609157.426258895</v>
      </c>
      <c r="AK339" s="21" t="n">
        <v>301997123.5058321</v>
      </c>
      <c r="AL339" s="25" t="n">
        <v>10421138624.70942</v>
      </c>
      <c r="AM339" s="25" t="n">
        <v>91859879349.40024</v>
      </c>
      <c r="AN339" s="21" t="n">
        <v>76549899.45783353</v>
      </c>
      <c r="AO339" s="21" t="n">
        <v>50848377.54025061</v>
      </c>
      <c r="AP339" s="21" t="n">
        <v>2737677441.571858</v>
      </c>
      <c r="AQ339" s="25" t="n">
        <v>94470158513.974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 t="n">
        <v>47083652399.66872</v>
      </c>
      <c r="J340" s="19" t="n">
        <v>39236376.99972394</v>
      </c>
      <c r="K340" s="19" t="n">
        <v>26062818.17643072</v>
      </c>
      <c r="L340" s="19" t="n">
        <v>2589384086.725127</v>
      </c>
      <c r="M340" s="24" t="n">
        <v>49607737291.2177</v>
      </c>
      <c r="N340" s="24" t="n">
        <v>5790874745.720172</v>
      </c>
      <c r="O340" s="19" t="n">
        <v>4825728.95476681</v>
      </c>
      <c r="P340" s="19" t="n">
        <v>3205497.192508609</v>
      </c>
      <c r="Q340" s="19" t="n">
        <v>318471447.1065913</v>
      </c>
      <c r="R340" s="24" t="n">
        <v>6101314966.679487</v>
      </c>
      <c r="S340" s="24" t="n">
        <v>14562774345.70943</v>
      </c>
      <c r="T340" s="19" t="n">
        <v>12135645.28809119</v>
      </c>
      <c r="U340" s="19" t="n">
        <v>8061119.317907574</v>
      </c>
      <c r="V340" s="19" t="n">
        <v>800885535.158998</v>
      </c>
      <c r="W340" s="24" t="n">
        <v>15343463116.26243</v>
      </c>
      <c r="X340" s="24" t="n">
        <v>13455768255.80426</v>
      </c>
      <c r="Y340" s="19" t="n">
        <v>11213140.21317021</v>
      </c>
      <c r="Z340" s="19" t="n">
        <v>7448344.034535481</v>
      </c>
      <c r="AA340" s="19" t="n">
        <v>740005297.3903487</v>
      </c>
      <c r="AB340" s="24" t="n">
        <v>14177112068.9469</v>
      </c>
      <c r="AC340" s="24" t="n">
        <v>3155950142.362006</v>
      </c>
      <c r="AD340" s="19" t="n">
        <v>2629958.451968338</v>
      </c>
      <c r="AE340" s="19" t="n">
        <v>1746953.571826988</v>
      </c>
      <c r="AF340" s="19" t="n">
        <v>173562726.3527155</v>
      </c>
      <c r="AG340" s="24" t="n">
        <v>3325135956.690926</v>
      </c>
      <c r="AH340" s="24" t="n">
        <v>10421138624.70942</v>
      </c>
      <c r="AI340" s="19" t="n">
        <v>8684282.187257847</v>
      </c>
      <c r="AJ340" s="19" t="n">
        <v>5768546.561801816</v>
      </c>
      <c r="AK340" s="19" t="n">
        <v>573114640.5406942</v>
      </c>
      <c r="AL340" s="24" t="n">
        <v>10979800436.50105</v>
      </c>
      <c r="AM340" s="24" t="n">
        <v>94470158513.974</v>
      </c>
      <c r="AN340" s="19" t="n">
        <v>78725132.09497835</v>
      </c>
      <c r="AO340" s="19" t="n">
        <v>52293278.85501119</v>
      </c>
      <c r="AP340" s="19" t="n">
        <v>5195423733.274475</v>
      </c>
      <c r="AQ340" s="24" t="n">
        <v>99534563836.29851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 t="n">
        <v>49607737291.2177</v>
      </c>
      <c r="J341" s="21" t="n">
        <v>41339781.07601475</v>
      </c>
      <c r="K341" s="21" t="n">
        <v>27460007.26940729</v>
      </c>
      <c r="L341" s="21" t="n">
        <v>2504915879.882689</v>
      </c>
      <c r="M341" s="25" t="n">
        <v>52043853382.75497</v>
      </c>
      <c r="N341" s="25" t="n">
        <v>6101314966.679487</v>
      </c>
      <c r="O341" s="21" t="n">
        <v>5084429.138899573</v>
      </c>
      <c r="P341" s="21" t="n">
        <v>3377339.150834904</v>
      </c>
      <c r="Q341" s="21" t="n">
        <v>308082601.2781487</v>
      </c>
      <c r="R341" s="25" t="n">
        <v>6400935799.667901</v>
      </c>
      <c r="S341" s="25" t="n">
        <v>15343463116.26243</v>
      </c>
      <c r="T341" s="21" t="n">
        <v>12786219.26355203</v>
      </c>
      <c r="U341" s="21" t="n">
        <v>8493263.988983415</v>
      </c>
      <c r="V341" s="21" t="n">
        <v>774759876.4018668</v>
      </c>
      <c r="W341" s="25" t="n">
        <v>16096943509.41176</v>
      </c>
      <c r="X341" s="25" t="n">
        <v>14177112068.9469</v>
      </c>
      <c r="Y341" s="21" t="n">
        <v>11814260.05745575</v>
      </c>
      <c r="Z341" s="21" t="n">
        <v>7847638.729964891</v>
      </c>
      <c r="AA341" s="21" t="n">
        <v>715865610.7193296</v>
      </c>
      <c r="AB341" s="25" t="n">
        <v>14873315780.87881</v>
      </c>
      <c r="AC341" s="25" t="n">
        <v>3325135956.690926</v>
      </c>
      <c r="AD341" s="21" t="n">
        <v>2770946.630575772</v>
      </c>
      <c r="AE341" s="21" t="n">
        <v>1840605.166215979</v>
      </c>
      <c r="AF341" s="21" t="n">
        <v>167900942.7861685</v>
      </c>
      <c r="AG341" s="25" t="n">
        <v>3488425347.680303</v>
      </c>
      <c r="AH341" s="25" t="n">
        <v>10979800436.50105</v>
      </c>
      <c r="AI341" s="21" t="n">
        <v>9149833.697084209</v>
      </c>
      <c r="AJ341" s="21" t="n">
        <v>6077789.801881108</v>
      </c>
      <c r="AK341" s="21" t="n">
        <v>554419088.0926037</v>
      </c>
      <c r="AL341" s="25" t="n">
        <v>11518991901.09469</v>
      </c>
      <c r="AM341" s="25" t="n">
        <v>99534563836.29851</v>
      </c>
      <c r="AN341" s="21" t="n">
        <v>82945469.86358207</v>
      </c>
      <c r="AO341" s="21" t="n">
        <v>55096644.10728759</v>
      </c>
      <c r="AP341" s="21" t="n">
        <v>5025943999.160807</v>
      </c>
      <c r="AQ341" s="25" t="n">
        <v>104422465721.4884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 t="n">
        <v>52043853382.75497</v>
      </c>
      <c r="J342" s="19" t="n">
        <v>43369877.81896248</v>
      </c>
      <c r="K342" s="19" t="n">
        <v>28808501.86391031</v>
      </c>
      <c r="L342" s="19" t="n">
        <v>1035331015.753335</v>
      </c>
      <c r="M342" s="24" t="n">
        <v>53007006018.82543</v>
      </c>
      <c r="N342" s="24" t="n">
        <v>6400935799.667901</v>
      </c>
      <c r="O342" s="19" t="n">
        <v>5334113.166389918</v>
      </c>
      <c r="P342" s="19" t="n">
        <v>3543192.114529426</v>
      </c>
      <c r="Q342" s="19" t="n">
        <v>127336600.4339329</v>
      </c>
      <c r="R342" s="24" t="n">
        <v>6519395094.820915</v>
      </c>
      <c r="S342" s="24" t="n">
        <v>16096943509.41176</v>
      </c>
      <c r="T342" s="19" t="n">
        <v>13414119.59117647</v>
      </c>
      <c r="U342" s="19" t="n">
        <v>8910347.657842858</v>
      </c>
      <c r="V342" s="19" t="n">
        <v>320223499.8157458</v>
      </c>
      <c r="W342" s="24" t="n">
        <v>16394842541.97849</v>
      </c>
      <c r="X342" s="24" t="n">
        <v>14873315780.87881</v>
      </c>
      <c r="Y342" s="19" t="n">
        <v>12394429.81739901</v>
      </c>
      <c r="Z342" s="19" t="n">
        <v>8233017.302634099</v>
      </c>
      <c r="AA342" s="19" t="n">
        <v>295881341.1026142</v>
      </c>
      <c r="AB342" s="24" t="n">
        <v>15148569674.86139</v>
      </c>
      <c r="AC342" s="24" t="n">
        <v>3488425347.680303</v>
      </c>
      <c r="AD342" s="19" t="n">
        <v>2907021.123066919</v>
      </c>
      <c r="AE342" s="19" t="n">
        <v>1930992.837745178</v>
      </c>
      <c r="AF342" s="19" t="n">
        <v>69396762.99584456</v>
      </c>
      <c r="AG342" s="24" t="n">
        <v>3552984096.715335</v>
      </c>
      <c r="AH342" s="24" t="n">
        <v>11518991901.09469</v>
      </c>
      <c r="AI342" s="19" t="n">
        <v>9599159.917578906</v>
      </c>
      <c r="AJ342" s="19" t="n">
        <v>6376255.370879452</v>
      </c>
      <c r="AK342" s="19" t="n">
        <v>229152316.9452042</v>
      </c>
      <c r="AL342" s="24" t="n">
        <v>11732168802.75143</v>
      </c>
      <c r="AM342" s="24" t="n">
        <v>104422465721.4884</v>
      </c>
      <c r="AN342" s="19" t="n">
        <v>87018721.4345737</v>
      </c>
      <c r="AO342" s="19" t="n">
        <v>57802307.14754132</v>
      </c>
      <c r="AP342" s="19" t="n">
        <v>2077321537.046677</v>
      </c>
      <c r="AQ342" s="24" t="n">
        <v>106354966229.953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 t="n">
        <v>53007006018.82543</v>
      </c>
      <c r="J343" s="21" t="n">
        <v>44172505.01568786</v>
      </c>
      <c r="K343" s="21" t="n">
        <v>29341648.09940141</v>
      </c>
      <c r="L343" s="21" t="n">
        <v>1226954480.577986</v>
      </c>
      <c r="M343" s="25" t="n">
        <v>54160446346.28833</v>
      </c>
      <c r="N343" s="25" t="n">
        <v>6519395094.820915</v>
      </c>
      <c r="O343" s="21" t="n">
        <v>5432829.245684097</v>
      </c>
      <c r="P343" s="21" t="n">
        <v>3608764.407958873</v>
      </c>
      <c r="Q343" s="21" t="n">
        <v>150904599.6562761</v>
      </c>
      <c r="R343" s="25" t="n">
        <v>6661258100.823548</v>
      </c>
      <c r="S343" s="25" t="n">
        <v>16394842541.97849</v>
      </c>
      <c r="T343" s="21" t="n">
        <v>13662368.78498208</v>
      </c>
      <c r="U343" s="21" t="n">
        <v>9075247.531259982</v>
      </c>
      <c r="V343" s="21" t="n">
        <v>379491826.1957107</v>
      </c>
      <c r="W343" s="25" t="n">
        <v>16751596751.85796</v>
      </c>
      <c r="X343" s="25" t="n">
        <v>15148569674.86139</v>
      </c>
      <c r="Y343" s="21" t="n">
        <v>12623808.06238449</v>
      </c>
      <c r="Z343" s="21" t="n">
        <v>8385382.121963048</v>
      </c>
      <c r="AA343" s="21" t="n">
        <v>350644317.2873782</v>
      </c>
      <c r="AB343" s="25" t="n">
        <v>15478204801.96442</v>
      </c>
      <c r="AC343" s="25" t="n">
        <v>3552984096.715335</v>
      </c>
      <c r="AD343" s="21" t="n">
        <v>2960820.080596113</v>
      </c>
      <c r="AE343" s="21" t="n">
        <v>1966728.87036039</v>
      </c>
      <c r="AF343" s="21" t="n">
        <v>82241010.84560384</v>
      </c>
      <c r="AG343" s="25" t="n">
        <v>3630297558.609983</v>
      </c>
      <c r="AH343" s="25" t="n">
        <v>11732168802.75143</v>
      </c>
      <c r="AI343" s="21" t="n">
        <v>9776807.335626192</v>
      </c>
      <c r="AJ343" s="21" t="n">
        <v>6494257.916224333</v>
      </c>
      <c r="AK343" s="21" t="n">
        <v>271564801.7230178</v>
      </c>
      <c r="AL343" s="25" t="n">
        <v>11987462539.2226</v>
      </c>
      <c r="AM343" s="25" t="n">
        <v>106354966229.953</v>
      </c>
      <c r="AN343" s="21" t="n">
        <v>88629138.52496085</v>
      </c>
      <c r="AO343" s="21" t="n">
        <v>58872028.94716803</v>
      </c>
      <c r="AP343" s="21" t="n">
        <v>2461801036.285973</v>
      </c>
      <c r="AQ343" s="25" t="n">
        <v>108669266098.7668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 t="n">
        <v>54160446346.28833</v>
      </c>
      <c r="J344" s="19" t="n">
        <v>45133705.28857361</v>
      </c>
      <c r="K344" s="19" t="n">
        <v>29980126.72202075</v>
      </c>
      <c r="L344" s="19" t="n">
        <v>2946206975.074334</v>
      </c>
      <c r="M344" s="24" t="n">
        <v>57031539489.35207</v>
      </c>
      <c r="N344" s="24" t="n">
        <v>6661258100.823548</v>
      </c>
      <c r="O344" s="19" t="n">
        <v>5551048.417352958</v>
      </c>
      <c r="P344" s="19" t="n">
        <v>3687291.657714768</v>
      </c>
      <c r="Q344" s="19" t="n">
        <v>362357521.0945746</v>
      </c>
      <c r="R344" s="24" t="n">
        <v>7014377281.843056</v>
      </c>
      <c r="S344" s="24" t="n">
        <v>16751596751.85796</v>
      </c>
      <c r="T344" s="19" t="n">
        <v>13959663.95988163</v>
      </c>
      <c r="U344" s="19" t="n">
        <v>9272726.266062429</v>
      </c>
      <c r="V344" s="19" t="n">
        <v>911249343.8182076</v>
      </c>
      <c r="W344" s="24" t="n">
        <v>17639613705.45023</v>
      </c>
      <c r="X344" s="24" t="n">
        <v>15478204801.96442</v>
      </c>
      <c r="Y344" s="19" t="n">
        <v>12898504.00163702</v>
      </c>
      <c r="Z344" s="19" t="n">
        <v>8567849.282949721</v>
      </c>
      <c r="AA344" s="19" t="n">
        <v>841979673.8307674</v>
      </c>
      <c r="AB344" s="24" t="n">
        <v>16298718122.5106</v>
      </c>
      <c r="AC344" s="24" t="n">
        <v>3630297558.609983</v>
      </c>
      <c r="AD344" s="19" t="n">
        <v>3025247.965508319</v>
      </c>
      <c r="AE344" s="19" t="n">
        <v>2009525.182822437</v>
      </c>
      <c r="AF344" s="19" t="n">
        <v>197480056.2090463</v>
      </c>
      <c r="AG344" s="24" t="n">
        <v>3822742841.670699</v>
      </c>
      <c r="AH344" s="24" t="n">
        <v>11987462539.2226</v>
      </c>
      <c r="AI344" s="19" t="n">
        <v>9989552.116018834</v>
      </c>
      <c r="AJ344" s="19" t="n">
        <v>6635573.933485487</v>
      </c>
      <c r="AK344" s="19" t="n">
        <v>652091113.1471918</v>
      </c>
      <c r="AL344" s="24" t="n">
        <v>12622928526.32029</v>
      </c>
      <c r="AM344" s="24" t="n">
        <v>108669266098.7668</v>
      </c>
      <c r="AN344" s="19" t="n">
        <v>90557721.74897236</v>
      </c>
      <c r="AO344" s="19" t="n">
        <v>60153093.04505559</v>
      </c>
      <c r="AP344" s="19" t="n">
        <v>5911364683.174122</v>
      </c>
      <c r="AQ344" s="24" t="n">
        <v>114429919967.1469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 t="n">
        <v>57031539489.35207</v>
      </c>
      <c r="J345" s="21" t="n">
        <v>47526282.90779339</v>
      </c>
      <c r="K345" s="21" t="n">
        <v>31569399.74442955</v>
      </c>
      <c r="L345" s="21" t="n">
        <v>1836771373.294727</v>
      </c>
      <c r="M345" s="25" t="n">
        <v>58789215179.99457</v>
      </c>
      <c r="N345" s="25" t="n">
        <v>7014377281.843056</v>
      </c>
      <c r="O345" s="21" t="n">
        <v>5845314.40153588</v>
      </c>
      <c r="P345" s="21" t="n">
        <v>3882758.248356455</v>
      </c>
      <c r="Q345" s="21" t="n">
        <v>225906708.9567807</v>
      </c>
      <c r="R345" s="25" t="n">
        <v>7230555918.149943</v>
      </c>
      <c r="S345" s="25" t="n">
        <v>17639613705.45023</v>
      </c>
      <c r="T345" s="21" t="n">
        <v>14699678.08787519</v>
      </c>
      <c r="U345" s="21" t="n">
        <v>9764281.683271864</v>
      </c>
      <c r="V345" s="21" t="n">
        <v>568105609.2865502</v>
      </c>
      <c r="W345" s="25" t="n">
        <v>18183255354.96563</v>
      </c>
      <c r="X345" s="25" t="n">
        <v>16298718122.5106</v>
      </c>
      <c r="Y345" s="21" t="n">
        <v>13582265.10209217</v>
      </c>
      <c r="Z345" s="21" t="n">
        <v>9022038.548115671</v>
      </c>
      <c r="AA345" s="21" t="n">
        <v>524920406.0924354</v>
      </c>
      <c r="AB345" s="25" t="n">
        <v>16801034224.95283</v>
      </c>
      <c r="AC345" s="25" t="n">
        <v>3822742841.670699</v>
      </c>
      <c r="AD345" s="21" t="n">
        <v>3185619.034725582</v>
      </c>
      <c r="AE345" s="21" t="n">
        <v>2116051.889347831</v>
      </c>
      <c r="AF345" s="21" t="n">
        <v>123116168.3853723</v>
      </c>
      <c r="AG345" s="25" t="n">
        <v>3940557339.131997</v>
      </c>
      <c r="AH345" s="25" t="n">
        <v>12622928526.32029</v>
      </c>
      <c r="AI345" s="21" t="n">
        <v>10519107.10526691</v>
      </c>
      <c r="AJ345" s="21" t="n">
        <v>6987331.574087507</v>
      </c>
      <c r="AK345" s="21" t="n">
        <v>406537049.0063534</v>
      </c>
      <c r="AL345" s="25" t="n">
        <v>13011959136.64729</v>
      </c>
      <c r="AM345" s="25" t="n">
        <v>114429919967.1469</v>
      </c>
      <c r="AN345" s="21" t="n">
        <v>95358266.63928911</v>
      </c>
      <c r="AO345" s="21" t="n">
        <v>63341861.68760888</v>
      </c>
      <c r="AP345" s="21" t="n">
        <v>3685357315.022219</v>
      </c>
      <c r="AQ345" s="25" t="n">
        <v>117956577153.8423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 t="n">
        <v>58789215179.99457</v>
      </c>
      <c r="J346" s="19" t="n">
        <v>48991012.64999548</v>
      </c>
      <c r="K346" s="19" t="n">
        <v>32542348.51971764</v>
      </c>
      <c r="L346" s="19" t="n">
        <v>1774002060.258038</v>
      </c>
      <c r="M346" s="24" t="n">
        <v>60481683879.0829</v>
      </c>
      <c r="N346" s="24" t="n">
        <v>7230555918.149943</v>
      </c>
      <c r="O346" s="19" t="n">
        <v>6025463.265124953</v>
      </c>
      <c r="P346" s="19" t="n">
        <v>4002422.382393236</v>
      </c>
      <c r="Q346" s="19" t="n">
        <v>218186636.0409225</v>
      </c>
      <c r="R346" s="24" t="n">
        <v>7438714668.543347</v>
      </c>
      <c r="S346" s="24" t="n">
        <v>18183255354.96563</v>
      </c>
      <c r="T346" s="19" t="n">
        <v>15152712.79580469</v>
      </c>
      <c r="U346" s="19" t="n">
        <v>10065210.62022397</v>
      </c>
      <c r="V346" s="19" t="n">
        <v>548691326.5153408</v>
      </c>
      <c r="W346" s="24" t="n">
        <v>18706728758.06494</v>
      </c>
      <c r="X346" s="24" t="n">
        <v>16801034224.95283</v>
      </c>
      <c r="Y346" s="19" t="n">
        <v>14000861.85412736</v>
      </c>
      <c r="Z346" s="19" t="n">
        <v>9300092.024806814</v>
      </c>
      <c r="AA346" s="19" t="n">
        <v>506981922.4202626</v>
      </c>
      <c r="AB346" s="24" t="n">
        <v>17284715193.49416</v>
      </c>
      <c r="AC346" s="24" t="n">
        <v>3940557339.131997</v>
      </c>
      <c r="AD346" s="19" t="n">
        <v>3283797.782609998</v>
      </c>
      <c r="AE346" s="19" t="n">
        <v>2181267.259638496</v>
      </c>
      <c r="AF346" s="19" t="n">
        <v>118908830.7571746</v>
      </c>
      <c r="AG346" s="24" t="n">
        <v>4054001104.846923</v>
      </c>
      <c r="AH346" s="24" t="n">
        <v>13011959136.64729</v>
      </c>
      <c r="AI346" s="19" t="n">
        <v>10843299.28053941</v>
      </c>
      <c r="AJ346" s="19" t="n">
        <v>7202676.678922446</v>
      </c>
      <c r="AK346" s="19" t="n">
        <v>392644165.1879835</v>
      </c>
      <c r="AL346" s="24" t="n">
        <v>13386557325.87581</v>
      </c>
      <c r="AM346" s="24" t="n">
        <v>117956577153.8423</v>
      </c>
      <c r="AN346" s="19" t="n">
        <v>98297147.62820189</v>
      </c>
      <c r="AO346" s="19" t="n">
        <v>65294017.4857026</v>
      </c>
      <c r="AP346" s="19" t="n">
        <v>3559414941.179722</v>
      </c>
      <c r="AQ346" s="24" t="n">
        <v>121352400929.9081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 t="n">
        <v>60481683879.0829</v>
      </c>
      <c r="J347" s="21" t="n">
        <v>50401403.23256909</v>
      </c>
      <c r="K347" s="21" t="n">
        <v>33479202.43239222</v>
      </c>
      <c r="L347" s="21" t="n">
        <v>2177635993.217149</v>
      </c>
      <c r="M347" s="25" t="n">
        <v>62575439266.63509</v>
      </c>
      <c r="N347" s="25" t="n">
        <v>7438714668.543347</v>
      </c>
      <c r="O347" s="21" t="n">
        <v>6198928.89045279</v>
      </c>
      <c r="P347" s="21" t="n">
        <v>4117647.166088532</v>
      </c>
      <c r="Q347" s="21" t="n">
        <v>267830056.4163789</v>
      </c>
      <c r="R347" s="25" t="n">
        <v>7696228148.903186</v>
      </c>
      <c r="S347" s="25" t="n">
        <v>18706728758.06494</v>
      </c>
      <c r="T347" s="21" t="n">
        <v>15588940.63172079</v>
      </c>
      <c r="U347" s="21" t="n">
        <v>10354975.56898718</v>
      </c>
      <c r="V347" s="21" t="n">
        <v>673533593.0850449</v>
      </c>
      <c r="W347" s="25" t="n">
        <v>19354318434.94928</v>
      </c>
      <c r="X347" s="25" t="n">
        <v>17284715193.49416</v>
      </c>
      <c r="Y347" s="21" t="n">
        <v>14403929.3279118</v>
      </c>
      <c r="Z347" s="21" t="n">
        <v>9567830.156748787</v>
      </c>
      <c r="AA347" s="21" t="n">
        <v>622334160.0923517</v>
      </c>
      <c r="AB347" s="25" t="n">
        <v>17883077594.10184</v>
      </c>
      <c r="AC347" s="25" t="n">
        <v>4054001104.846923</v>
      </c>
      <c r="AD347" s="21" t="n">
        <v>3378334.254039103</v>
      </c>
      <c r="AE347" s="21" t="n">
        <v>2244063.242710925</v>
      </c>
      <c r="AF347" s="21" t="n">
        <v>145963838.2440917</v>
      </c>
      <c r="AG347" s="25" t="n">
        <v>4194342545.594265</v>
      </c>
      <c r="AH347" s="25" t="n">
        <v>13386557325.87581</v>
      </c>
      <c r="AI347" s="21" t="n">
        <v>11155464.43822984</v>
      </c>
      <c r="AJ347" s="21" t="n">
        <v>7410032.820544794</v>
      </c>
      <c r="AK347" s="21" t="n">
        <v>481981439.4779692</v>
      </c>
      <c r="AL347" s="25" t="n">
        <v>13849973268.095</v>
      </c>
      <c r="AM347" s="25" t="n">
        <v>121352400929.9081</v>
      </c>
      <c r="AN347" s="21" t="n">
        <v>101127000.7749234</v>
      </c>
      <c r="AO347" s="21" t="n">
        <v>67173751.38747245</v>
      </c>
      <c r="AP347" s="21" t="n">
        <v>4369279080.532986</v>
      </c>
      <c r="AQ347" s="25" t="n">
        <v>125553379258.2787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 t="n">
        <v>62575439266.63509</v>
      </c>
      <c r="J348" s="19" t="n">
        <v>52146199.38886257</v>
      </c>
      <c r="K348" s="19" t="n">
        <v>34638185.7140732</v>
      </c>
      <c r="L348" s="19" t="n">
        <v>2755859368.948422</v>
      </c>
      <c r="M348" s="24" t="n">
        <v>65244514250.48058</v>
      </c>
      <c r="N348" s="24" t="n">
        <v>7696228148.903186</v>
      </c>
      <c r="O348" s="19" t="n">
        <v>6413523.457419322</v>
      </c>
      <c r="P348" s="19" t="n">
        <v>4260191.906662769</v>
      </c>
      <c r="Q348" s="19" t="n">
        <v>338946441.2601948</v>
      </c>
      <c r="R348" s="24" t="n">
        <v>8024500874.799298</v>
      </c>
      <c r="S348" s="24" t="n">
        <v>19354318434.94928</v>
      </c>
      <c r="T348" s="19" t="n">
        <v>16128598.69579106</v>
      </c>
      <c r="U348" s="19" t="n">
        <v>10713444.19113869</v>
      </c>
      <c r="V348" s="19" t="n">
        <v>852375635.1320664</v>
      </c>
      <c r="W348" s="24" t="n">
        <v>20179852027.19441</v>
      </c>
      <c r="X348" s="24" t="n">
        <v>17883077594.10184</v>
      </c>
      <c r="Y348" s="19" t="n">
        <v>14902564.66175154</v>
      </c>
      <c r="Z348" s="19" t="n">
        <v>9899049.373097444</v>
      </c>
      <c r="AA348" s="19" t="n">
        <v>787581318.0206432</v>
      </c>
      <c r="AB348" s="24" t="n">
        <v>18645857298.08764</v>
      </c>
      <c r="AC348" s="24" t="n">
        <v>4194342545.594265</v>
      </c>
      <c r="AD348" s="19" t="n">
        <v>3495285.454661887</v>
      </c>
      <c r="AE348" s="19" t="n">
        <v>2321748.24093001</v>
      </c>
      <c r="AF348" s="19" t="n">
        <v>184721327.3502043</v>
      </c>
      <c r="AG348" s="24" t="n">
        <v>4373246839.248877</v>
      </c>
      <c r="AH348" s="24" t="n">
        <v>13849973268.095</v>
      </c>
      <c r="AI348" s="19" t="n">
        <v>11541644.39007917</v>
      </c>
      <c r="AJ348" s="19" t="n">
        <v>7666553.392474832</v>
      </c>
      <c r="AK348" s="19" t="n">
        <v>609961017.2599475</v>
      </c>
      <c r="AL348" s="24" t="n">
        <v>14440726087.57239</v>
      </c>
      <c r="AM348" s="24" t="n">
        <v>125553379258.2787</v>
      </c>
      <c r="AN348" s="19" t="n">
        <v>104627816.0485656</v>
      </c>
      <c r="AO348" s="19" t="n">
        <v>69499172.81837696</v>
      </c>
      <c r="AP348" s="19" t="n">
        <v>5529445107.971478</v>
      </c>
      <c r="AQ348" s="24" t="n">
        <v>130908697377.3832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 t="n">
        <v>65244514250.48058</v>
      </c>
      <c r="J349" s="21" t="n">
        <v>54370428.54206715</v>
      </c>
      <c r="K349" s="21" t="n">
        <v>36115633.03300112</v>
      </c>
      <c r="L349" s="21" t="n">
        <v>2120029288.313793</v>
      </c>
      <c r="M349" s="25" t="n">
        <v>67274057477.21929</v>
      </c>
      <c r="N349" s="25" t="n">
        <v>8024500874.799298</v>
      </c>
      <c r="O349" s="21" t="n">
        <v>6687084.062332749</v>
      </c>
      <c r="P349" s="21" t="n">
        <v>4441904.920230336</v>
      </c>
      <c r="Q349" s="21" t="n">
        <v>260744938.8520638</v>
      </c>
      <c r="R349" s="25" t="n">
        <v>8274116824.668799</v>
      </c>
      <c r="S349" s="25" t="n">
        <v>20179852027.19441</v>
      </c>
      <c r="T349" s="21" t="n">
        <v>16816543.35599535</v>
      </c>
      <c r="U349" s="21" t="n">
        <v>11170412.39170616</v>
      </c>
      <c r="V349" s="21" t="n">
        <v>655716083.1521633</v>
      </c>
      <c r="W349" s="25" t="n">
        <v>20807581154.59888</v>
      </c>
      <c r="X349" s="25" t="n">
        <v>18645857298.08764</v>
      </c>
      <c r="Y349" s="21" t="n">
        <v>15538214.41507303</v>
      </c>
      <c r="Z349" s="21" t="n">
        <v>10321280.60879048</v>
      </c>
      <c r="AA349" s="21" t="n">
        <v>605871068.7293394</v>
      </c>
      <c r="AB349" s="25" t="n">
        <v>19225868871.79311</v>
      </c>
      <c r="AC349" s="25" t="n">
        <v>4373246839.248877</v>
      </c>
      <c r="AD349" s="21" t="n">
        <v>3644372.366040731</v>
      </c>
      <c r="AE349" s="21" t="n">
        <v>2420779.429864191</v>
      </c>
      <c r="AF349" s="21" t="n">
        <v>142102542.884133</v>
      </c>
      <c r="AG349" s="25" t="n">
        <v>4509284230.337105</v>
      </c>
      <c r="AH349" s="25" t="n">
        <v>14440726087.57239</v>
      </c>
      <c r="AI349" s="21" t="n">
        <v>12033938.40631033</v>
      </c>
      <c r="AJ349" s="21" t="n">
        <v>7993560.37975268</v>
      </c>
      <c r="AK349" s="21" t="n">
        <v>469231208.1999295</v>
      </c>
      <c r="AL349" s="25" t="n">
        <v>14889929796.98626</v>
      </c>
      <c r="AM349" s="25" t="n">
        <v>130908697377.3832</v>
      </c>
      <c r="AN349" s="21" t="n">
        <v>109090581.1478194</v>
      </c>
      <c r="AO349" s="21" t="n">
        <v>72463570.76334496</v>
      </c>
      <c r="AP349" s="21" t="n">
        <v>4253695130.131422</v>
      </c>
      <c r="AQ349" s="25" t="n">
        <v>134980838355.6035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 t="n">
        <v>67274057477.21929</v>
      </c>
      <c r="J350" s="19" t="n">
        <v>56061714.56434941</v>
      </c>
      <c r="K350" s="19" t="n">
        <v>37239072.13349177</v>
      </c>
      <c r="L350" s="19" t="n">
        <v>592210264.2047713</v>
      </c>
      <c r="M350" s="24" t="n">
        <v>67772966954.72623</v>
      </c>
      <c r="N350" s="24" t="n">
        <v>8274116824.668799</v>
      </c>
      <c r="O350" s="19" t="n">
        <v>6895097.353890667</v>
      </c>
      <c r="P350" s="19" t="n">
        <v>4580078.039430232</v>
      </c>
      <c r="Q350" s="19" t="n">
        <v>72836648.99292752</v>
      </c>
      <c r="R350" s="24" t="n">
        <v>8335478298.268406</v>
      </c>
      <c r="S350" s="24" t="n">
        <v>20807581154.59888</v>
      </c>
      <c r="T350" s="19" t="n">
        <v>17339650.96216573</v>
      </c>
      <c r="U350" s="19" t="n">
        <v>11517887.3491015</v>
      </c>
      <c r="V350" s="19" t="n">
        <v>183168127.4345601</v>
      </c>
      <c r="W350" s="24" t="n">
        <v>20961891743.72217</v>
      </c>
      <c r="X350" s="24" t="n">
        <v>19225868871.79311</v>
      </c>
      <c r="Y350" s="19" t="n">
        <v>16021557.39316093</v>
      </c>
      <c r="Z350" s="19" t="n">
        <v>10642341.85649049</v>
      </c>
      <c r="AA350" s="19" t="n">
        <v>169244390.9449998</v>
      </c>
      <c r="AB350" s="24" t="n">
        <v>19368449363.48846</v>
      </c>
      <c r="AC350" s="24" t="n">
        <v>4509284230.337105</v>
      </c>
      <c r="AD350" s="19" t="n">
        <v>3757736.858614254</v>
      </c>
      <c r="AE350" s="19" t="n">
        <v>2496081.952256304</v>
      </c>
      <c r="AF350" s="19" t="n">
        <v>39695010.31399252</v>
      </c>
      <c r="AG350" s="24" t="n">
        <v>4542725421.840227</v>
      </c>
      <c r="AH350" s="24" t="n">
        <v>14889929796.98626</v>
      </c>
      <c r="AI350" s="19" t="n">
        <v>12408274.83082188</v>
      </c>
      <c r="AJ350" s="19" t="n">
        <v>8242213.872120961</v>
      </c>
      <c r="AK350" s="19" t="n">
        <v>131075329.6253867</v>
      </c>
      <c r="AL350" s="24" t="n">
        <v>15000354637.9087</v>
      </c>
      <c r="AM350" s="24" t="n">
        <v>134980838355.6035</v>
      </c>
      <c r="AN350" s="19" t="n">
        <v>112484031.9630029</v>
      </c>
      <c r="AO350" s="19" t="n">
        <v>74717675.20289125</v>
      </c>
      <c r="AP350" s="19" t="n">
        <v>1188229771.516638</v>
      </c>
      <c r="AQ350" s="24" t="n">
        <v>135981866419.9542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 t="n">
        <v>67772966954.72623</v>
      </c>
      <c r="J351" s="21" t="n">
        <v>56477472.46227186</v>
      </c>
      <c r="K351" s="21" t="n">
        <v>37515239.89737689</v>
      </c>
      <c r="L351" s="21" t="n">
        <v>970947784.3360865</v>
      </c>
      <c r="M351" s="25" t="n">
        <v>68649922026.70267</v>
      </c>
      <c r="N351" s="25" t="n">
        <v>8335478298.268406</v>
      </c>
      <c r="O351" s="21" t="n">
        <v>6946231.915223672</v>
      </c>
      <c r="P351" s="21" t="n">
        <v>4614044.24315396</v>
      </c>
      <c r="Q351" s="21" t="n">
        <v>119418029.765345</v>
      </c>
      <c r="R351" s="25" t="n">
        <v>8443336051.875373</v>
      </c>
      <c r="S351" s="25" t="n">
        <v>20961891743.72217</v>
      </c>
      <c r="T351" s="21" t="n">
        <v>17468243.11976847</v>
      </c>
      <c r="U351" s="21" t="n">
        <v>11603304.86923948</v>
      </c>
      <c r="V351" s="21" t="n">
        <v>300310038.9223938</v>
      </c>
      <c r="W351" s="25" t="n">
        <v>21233130234.65555</v>
      </c>
      <c r="X351" s="25" t="n">
        <v>19368449363.48846</v>
      </c>
      <c r="Y351" s="21" t="n">
        <v>16140374.46957372</v>
      </c>
      <c r="Z351" s="21" t="n">
        <v>10721266.26530691</v>
      </c>
      <c r="AA351" s="21" t="n">
        <v>277481624.9090503</v>
      </c>
      <c r="AB351" s="25" t="n">
        <v>19619069347.66263</v>
      </c>
      <c r="AC351" s="25" t="n">
        <v>4542725421.840227</v>
      </c>
      <c r="AD351" s="21" t="n">
        <v>3785604.518200189</v>
      </c>
      <c r="AE351" s="21" t="n">
        <v>2514593.084025581</v>
      </c>
      <c r="AF351" s="21" t="n">
        <v>65081246.71787582</v>
      </c>
      <c r="AG351" s="25" t="n">
        <v>4601506470.955877</v>
      </c>
      <c r="AH351" s="25" t="n">
        <v>15000354637.9087</v>
      </c>
      <c r="AI351" s="21" t="n">
        <v>12500295.53159059</v>
      </c>
      <c r="AJ351" s="21" t="n">
        <v>8303338.75102146</v>
      </c>
      <c r="AK351" s="21" t="n">
        <v>214902220.6695249</v>
      </c>
      <c r="AL351" s="25" t="n">
        <v>15194453224.29561</v>
      </c>
      <c r="AM351" s="25" t="n">
        <v>135981866419.9542</v>
      </c>
      <c r="AN351" s="21" t="n">
        <v>113318222.0166285</v>
      </c>
      <c r="AO351" s="21" t="n">
        <v>75271787.11012429</v>
      </c>
      <c r="AP351" s="21" t="n">
        <v>1948140945.320276</v>
      </c>
      <c r="AQ351" s="25" t="n">
        <v>137741417356.1477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 t="n">
        <v>68649922026.70267</v>
      </c>
      <c r="J352" s="19" t="n">
        <v>57208268.35558556</v>
      </c>
      <c r="K352" s="19" t="n">
        <v>38000672.08933619</v>
      </c>
      <c r="L352" s="19" t="n">
        <v>2263162027.284649</v>
      </c>
      <c r="M352" s="24" t="n">
        <v>70817875113.5424</v>
      </c>
      <c r="N352" s="24" t="n">
        <v>8443336051.875373</v>
      </c>
      <c r="O352" s="19" t="n">
        <v>7036113.376562811</v>
      </c>
      <c r="P352" s="19" t="n">
        <v>4673748.129278063</v>
      </c>
      <c r="Q352" s="19" t="n">
        <v>278349005.6809558</v>
      </c>
      <c r="R352" s="24" t="n">
        <v>8709975196.050488</v>
      </c>
      <c r="S352" s="24" t="n">
        <v>21233130234.65555</v>
      </c>
      <c r="T352" s="19" t="n">
        <v>17694275.1955463</v>
      </c>
      <c r="U352" s="19" t="n">
        <v>11753446.99100266</v>
      </c>
      <c r="V352" s="19" t="n">
        <v>699986433.3242874</v>
      </c>
      <c r="W352" s="24" t="n">
        <v>21903668945.79329</v>
      </c>
      <c r="X352" s="24" t="n">
        <v>19619069347.66263</v>
      </c>
      <c r="Y352" s="19" t="n">
        <v>16349224.45638552</v>
      </c>
      <c r="Z352" s="19" t="n">
        <v>10859995.16049681</v>
      </c>
      <c r="AA352" s="19" t="n">
        <v>646776157.1677185</v>
      </c>
      <c r="AB352" s="24" t="n">
        <v>20238636285.21346</v>
      </c>
      <c r="AC352" s="24" t="n">
        <v>4601506470.955877</v>
      </c>
      <c r="AD352" s="19" t="n">
        <v>3834588.725796564</v>
      </c>
      <c r="AE352" s="19" t="n">
        <v>2547130.912278934</v>
      </c>
      <c r="AF352" s="19" t="n">
        <v>151696526.4624952</v>
      </c>
      <c r="AG352" s="24" t="n">
        <v>4746821277.780296</v>
      </c>
      <c r="AH352" s="24" t="n">
        <v>15194453224.29561</v>
      </c>
      <c r="AI352" s="19" t="n">
        <v>12662044.35357968</v>
      </c>
      <c r="AJ352" s="19" t="n">
        <v>8410780.631748196</v>
      </c>
      <c r="AK352" s="19" t="n">
        <v>500911123.3834026</v>
      </c>
      <c r="AL352" s="24" t="n">
        <v>15674291522.69369</v>
      </c>
      <c r="AM352" s="24" t="n">
        <v>137741417356.1477</v>
      </c>
      <c r="AN352" s="19" t="n">
        <v>114784514.4634564</v>
      </c>
      <c r="AO352" s="19" t="n">
        <v>76245773.91414085</v>
      </c>
      <c r="AP352" s="19" t="n">
        <v>4540881273.303509</v>
      </c>
      <c r="AQ352" s="24" t="n">
        <v>142091268341.0736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 t="n">
        <v>70817875113.5424</v>
      </c>
      <c r="J353" s="21" t="n">
        <v>59014895.92795201</v>
      </c>
      <c r="K353" s="21" t="n">
        <v>39200726.97542939</v>
      </c>
      <c r="L353" s="21" t="n">
        <v>4154546383.816834</v>
      </c>
      <c r="M353" s="25" t="n">
        <v>74874205874.45586</v>
      </c>
      <c r="N353" s="25" t="n">
        <v>8709975196.050488</v>
      </c>
      <c r="O353" s="21" t="n">
        <v>7258312.663375407</v>
      </c>
      <c r="P353" s="21" t="n">
        <v>4821344.315622435</v>
      </c>
      <c r="Q353" s="21" t="n">
        <v>510972630.7922796</v>
      </c>
      <c r="R353" s="25" t="n">
        <v>9208868169.86377</v>
      </c>
      <c r="S353" s="25" t="n">
        <v>21903668945.79329</v>
      </c>
      <c r="T353" s="21" t="n">
        <v>18253057.45482774</v>
      </c>
      <c r="U353" s="21" t="n">
        <v>12124618.88651101</v>
      </c>
      <c r="V353" s="21" t="n">
        <v>1284983607.107196</v>
      </c>
      <c r="W353" s="25" t="n">
        <v>23158274876.55915</v>
      </c>
      <c r="X353" s="25" t="n">
        <v>20238636285.21346</v>
      </c>
      <c r="Y353" s="21" t="n">
        <v>16865530.23767789</v>
      </c>
      <c r="Z353" s="21" t="n">
        <v>11202951.99622498</v>
      </c>
      <c r="AA353" s="21" t="n">
        <v>1187304095.997068</v>
      </c>
      <c r="AB353" s="25" t="n">
        <v>21397871898.97663</v>
      </c>
      <c r="AC353" s="25" t="n">
        <v>4746821277.780296</v>
      </c>
      <c r="AD353" s="21" t="n">
        <v>3955684.398150247</v>
      </c>
      <c r="AE353" s="21" t="n">
        <v>2627568.881628879</v>
      </c>
      <c r="AF353" s="21" t="n">
        <v>278473325.3095832</v>
      </c>
      <c r="AG353" s="25" t="n">
        <v>5018711349.810101</v>
      </c>
      <c r="AH353" s="25" t="n">
        <v>15674291522.69369</v>
      </c>
      <c r="AI353" s="21" t="n">
        <v>13061909.60224474</v>
      </c>
      <c r="AJ353" s="21" t="n">
        <v>8676391.681185916</v>
      </c>
      <c r="AK353" s="21" t="n">
        <v>919535796.0132468</v>
      </c>
      <c r="AL353" s="25" t="n">
        <v>16572089017.4235</v>
      </c>
      <c r="AM353" s="25" t="n">
        <v>142091268341.0736</v>
      </c>
      <c r="AN353" s="21" t="n">
        <v>118409390.284228</v>
      </c>
      <c r="AO353" s="21" t="n">
        <v>78653602.7366026</v>
      </c>
      <c r="AP353" s="21" t="n">
        <v>8335815839.036208</v>
      </c>
      <c r="AQ353" s="25" t="n">
        <v>150230021187.089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 t="n">
        <v>74874205874.45586</v>
      </c>
      <c r="J354" s="19" t="n">
        <v>62395171.56204655</v>
      </c>
      <c r="K354" s="19" t="n">
        <v>41446079.78255133</v>
      </c>
      <c r="L354" s="19" t="n">
        <v>4049986629.64368</v>
      </c>
      <c r="M354" s="24" t="n">
        <v>78820351252.75494</v>
      </c>
      <c r="N354" s="24" t="n">
        <v>9208868169.86377</v>
      </c>
      <c r="O354" s="19" t="n">
        <v>7674056.808219808</v>
      </c>
      <c r="P354" s="19" t="n">
        <v>5097502.944006283</v>
      </c>
      <c r="Q354" s="19" t="n">
        <v>498112701.5174579</v>
      </c>
      <c r="R354" s="24" t="n">
        <v>9694209311.629002</v>
      </c>
      <c r="S354" s="24" t="n">
        <v>23158274876.55915</v>
      </c>
      <c r="T354" s="19" t="n">
        <v>19298562.39713263</v>
      </c>
      <c r="U354" s="19" t="n">
        <v>12819097.00343917</v>
      </c>
      <c r="V354" s="19" t="n">
        <v>1252643717.823729</v>
      </c>
      <c r="W354" s="24" t="n">
        <v>24378800934.98231</v>
      </c>
      <c r="X354" s="24" t="n">
        <v>21397871898.97663</v>
      </c>
      <c r="Y354" s="19" t="n">
        <v>17831559.91581386</v>
      </c>
      <c r="Z354" s="19" t="n">
        <v>11844638.55802122</v>
      </c>
      <c r="AA354" s="19" t="n">
        <v>1157422560.701227</v>
      </c>
      <c r="AB354" s="24" t="n">
        <v>22525618261.20403</v>
      </c>
      <c r="AC354" s="24" t="n">
        <v>5018711349.810101</v>
      </c>
      <c r="AD354" s="19" t="n">
        <v>4182259.458175084</v>
      </c>
      <c r="AE354" s="19" t="n">
        <v>2778071.681435873</v>
      </c>
      <c r="AF354" s="19" t="n">
        <v>271464833.9489932</v>
      </c>
      <c r="AG354" s="24" t="n">
        <v>5283215852.619484</v>
      </c>
      <c r="AH354" s="24" t="n">
        <v>16572089017.4235</v>
      </c>
      <c r="AI354" s="19" t="n">
        <v>13810074.18118625</v>
      </c>
      <c r="AJ354" s="19" t="n">
        <v>9173361.046811486</v>
      </c>
      <c r="AK354" s="19" t="n">
        <v>896393332.8170047</v>
      </c>
      <c r="AL354" s="24" t="n">
        <v>17445498915.01251</v>
      </c>
      <c r="AM354" s="24" t="n">
        <v>150230021187.089</v>
      </c>
      <c r="AN354" s="19" t="n">
        <v>125191684.3225742</v>
      </c>
      <c r="AO354" s="19" t="n">
        <v>83158751.01626536</v>
      </c>
      <c r="AP354" s="19" t="n">
        <v>8126023776.452093</v>
      </c>
      <c r="AQ354" s="24" t="n">
        <v>158147694528.2023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 t="n">
        <v>78820351252.75494</v>
      </c>
      <c r="J355" s="21" t="n">
        <v>65683626.04396246</v>
      </c>
      <c r="K355" s="21" t="n">
        <v>43630440.2612022</v>
      </c>
      <c r="L355" s="21" t="n">
        <v>3850290080.178645</v>
      </c>
      <c r="M355" s="25" t="n">
        <v>82561327266.62843</v>
      </c>
      <c r="N355" s="25" t="n">
        <v>9694209311.629002</v>
      </c>
      <c r="O355" s="21" t="n">
        <v>8078507.759690835</v>
      </c>
      <c r="P355" s="21" t="n">
        <v>5366160.052932215</v>
      </c>
      <c r="Q355" s="21" t="n">
        <v>473551783.9554918</v>
      </c>
      <c r="R355" s="25" t="n">
        <v>10154316427.77187</v>
      </c>
      <c r="S355" s="25" t="n">
        <v>24378800934.98231</v>
      </c>
      <c r="T355" s="21" t="n">
        <v>20315667.44581859</v>
      </c>
      <c r="U355" s="21" t="n">
        <v>13494710.45139892</v>
      </c>
      <c r="V355" s="21" t="n">
        <v>1190878420.544103</v>
      </c>
      <c r="W355" s="25" t="n">
        <v>25535868977.62919</v>
      </c>
      <c r="X355" s="25" t="n">
        <v>22525618261.20403</v>
      </c>
      <c r="Y355" s="21" t="n">
        <v>18771348.55100336</v>
      </c>
      <c r="Z355" s="21" t="n">
        <v>12468894.47042088</v>
      </c>
      <c r="AA355" s="21" t="n">
        <v>1100352423.739971</v>
      </c>
      <c r="AB355" s="25" t="n">
        <v>23594730441.92257</v>
      </c>
      <c r="AC355" s="25" t="n">
        <v>5283215852.619484</v>
      </c>
      <c r="AD355" s="21" t="n">
        <v>4402679.877182904</v>
      </c>
      <c r="AE355" s="21" t="n">
        <v>2924486.252358512</v>
      </c>
      <c r="AF355" s="21" t="n">
        <v>258079458.7371541</v>
      </c>
      <c r="AG355" s="25" t="n">
        <v>5533968145.227097</v>
      </c>
      <c r="AH355" s="25" t="n">
        <v>17445498915.01251</v>
      </c>
      <c r="AI355" s="21" t="n">
        <v>14537915.76251042</v>
      </c>
      <c r="AJ355" s="21" t="n">
        <v>9656830.832908994</v>
      </c>
      <c r="AK355" s="21" t="n">
        <v>852194012.6965904</v>
      </c>
      <c r="AL355" s="25" t="n">
        <v>18273498181.11368</v>
      </c>
      <c r="AM355" s="25" t="n">
        <v>158147694528.2023</v>
      </c>
      <c r="AN355" s="21" t="n">
        <v>131789745.4401685</v>
      </c>
      <c r="AO355" s="21" t="n">
        <v>87541522.32122171</v>
      </c>
      <c r="AP355" s="21" t="n">
        <v>7725346179.851955</v>
      </c>
      <c r="AQ355" s="25" t="n">
        <v>165653709440.2928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 t="n">
        <v>82561327266.62843</v>
      </c>
      <c r="J356" s="19" t="n">
        <v>68801106.05552369</v>
      </c>
      <c r="K356" s="19" t="n">
        <v>45701230.7093251</v>
      </c>
      <c r="L356" s="19" t="n">
        <v>1295418996.948336</v>
      </c>
      <c r="M356" s="24" t="n">
        <v>83742243926.81192</v>
      </c>
      <c r="N356" s="24" t="n">
        <v>10154316427.77187</v>
      </c>
      <c r="O356" s="19" t="n">
        <v>8461930.356476558</v>
      </c>
      <c r="P356" s="19" t="n">
        <v>5620849.047913366</v>
      </c>
      <c r="Q356" s="19" t="n">
        <v>159325132.4446328</v>
      </c>
      <c r="R356" s="24" t="n">
        <v>10299558780.81211</v>
      </c>
      <c r="S356" s="24" t="n">
        <v>25535868977.62919</v>
      </c>
      <c r="T356" s="19" t="n">
        <v>21279890.81469099</v>
      </c>
      <c r="U356" s="19" t="n">
        <v>14135197.16974612</v>
      </c>
      <c r="V356" s="19" t="n">
        <v>400667611.2458217</v>
      </c>
      <c r="W356" s="24" t="n">
        <v>25901121500.89058</v>
      </c>
      <c r="X356" s="24" t="n">
        <v>23594730441.92257</v>
      </c>
      <c r="Y356" s="19" t="n">
        <v>19662275.36826881</v>
      </c>
      <c r="Z356" s="19" t="n">
        <v>13060693.85207783</v>
      </c>
      <c r="AA356" s="19" t="n">
        <v>370210400.6108464</v>
      </c>
      <c r="AB356" s="24" t="n">
        <v>23932217873.31308</v>
      </c>
      <c r="AC356" s="24" t="n">
        <v>5533968145.227097</v>
      </c>
      <c r="AD356" s="19" t="n">
        <v>4611640.121022581</v>
      </c>
      <c r="AE356" s="19" t="n">
        <v>3063288.385933038</v>
      </c>
      <c r="AF356" s="19" t="n">
        <v>86830089.83955355</v>
      </c>
      <c r="AG356" s="24" t="n">
        <v>5613123306.559695</v>
      </c>
      <c r="AH356" s="24" t="n">
        <v>18273498181.11368</v>
      </c>
      <c r="AI356" s="19" t="n">
        <v>15227915.15092807</v>
      </c>
      <c r="AJ356" s="19" t="n">
        <v>10115163.88955956</v>
      </c>
      <c r="AK356" s="19" t="n">
        <v>286718218.6651178</v>
      </c>
      <c r="AL356" s="24" t="n">
        <v>18534873320.73831</v>
      </c>
      <c r="AM356" s="24" t="n">
        <v>165653709440.2928</v>
      </c>
      <c r="AN356" s="19" t="n">
        <v>138044757.8669107</v>
      </c>
      <c r="AO356" s="19" t="n">
        <v>91696423.05455503</v>
      </c>
      <c r="AP356" s="19" t="n">
        <v>2599170449.754308</v>
      </c>
      <c r="AQ356" s="24" t="n">
        <v>168023138709.1257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 t="n">
        <v>83742243926.81192</v>
      </c>
      <c r="J357" s="21" t="n">
        <v>69785203.27234328</v>
      </c>
      <c r="K357" s="21" t="n">
        <v>46354918.65890518</v>
      </c>
      <c r="L357" s="21" t="n">
        <v>1504267303.970362</v>
      </c>
      <c r="M357" s="25" t="n">
        <v>85130371108.85104</v>
      </c>
      <c r="N357" s="25" t="n">
        <v>10299558780.81211</v>
      </c>
      <c r="O357" s="21" t="n">
        <v>8582965.650676763</v>
      </c>
      <c r="P357" s="21" t="n">
        <v>5701246.910990604</v>
      </c>
      <c r="Q357" s="21" t="n">
        <v>185011635.6189017</v>
      </c>
      <c r="R357" s="25" t="n">
        <v>10470286203.86935</v>
      </c>
      <c r="S357" s="25" t="n">
        <v>25901121500.89058</v>
      </c>
      <c r="T357" s="21" t="n">
        <v>21584267.91740881</v>
      </c>
      <c r="U357" s="21" t="n">
        <v>14337380.08498468</v>
      </c>
      <c r="V357" s="21" t="n">
        <v>465263508.3913584</v>
      </c>
      <c r="W357" s="25" t="n">
        <v>26330463361.27954</v>
      </c>
      <c r="X357" s="25" t="n">
        <v>23932217873.31308</v>
      </c>
      <c r="Y357" s="21" t="n">
        <v>19943514.89442756</v>
      </c>
      <c r="Z357" s="21" t="n">
        <v>13247507.59979854</v>
      </c>
      <c r="AA357" s="21" t="n">
        <v>429895966.1241372</v>
      </c>
      <c r="AB357" s="25" t="n">
        <v>24328922816.94299</v>
      </c>
      <c r="AC357" s="25" t="n">
        <v>5613123306.559695</v>
      </c>
      <c r="AD357" s="21" t="n">
        <v>4677602.755466413</v>
      </c>
      <c r="AE357" s="21" t="n">
        <v>3107104.157913209</v>
      </c>
      <c r="AF357" s="21" t="n">
        <v>100828894.3223354</v>
      </c>
      <c r="AG357" s="25" t="n">
        <v>5706167493.968651</v>
      </c>
      <c r="AH357" s="25" t="n">
        <v>18534873320.73831</v>
      </c>
      <c r="AI357" s="21" t="n">
        <v>15445727.76728192</v>
      </c>
      <c r="AJ357" s="21" t="n">
        <v>10259846.22393012</v>
      </c>
      <c r="AK357" s="21" t="n">
        <v>332943119.4127861</v>
      </c>
      <c r="AL357" s="25" t="n">
        <v>18842110866.15988</v>
      </c>
      <c r="AM357" s="25" t="n">
        <v>168023138709.1257</v>
      </c>
      <c r="AN357" s="21" t="n">
        <v>140019282.2576047</v>
      </c>
      <c r="AO357" s="21" t="n">
        <v>93008003.63652234</v>
      </c>
      <c r="AP357" s="21" t="n">
        <v>3018210427.83988</v>
      </c>
      <c r="AQ357" s="25" t="n">
        <v>170808321851.0715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 t="n">
        <v>85130371108.85104</v>
      </c>
      <c r="J358" s="19" t="n">
        <v>70941975.92404254</v>
      </c>
      <c r="K358" s="19" t="n">
        <v>47123306.50707265</v>
      </c>
      <c r="L358" s="19" t="n">
        <v>4614664633.713355</v>
      </c>
      <c r="M358" s="24" t="n">
        <v>89626970460.13327</v>
      </c>
      <c r="N358" s="24" t="n">
        <v>10470286203.86935</v>
      </c>
      <c r="O358" s="19" t="n">
        <v>8725238.503224459</v>
      </c>
      <c r="P358" s="19" t="n">
        <v>5795751.851837177</v>
      </c>
      <c r="Q358" s="19" t="n">
        <v>567563124.8931466</v>
      </c>
      <c r="R358" s="24" t="n">
        <v>11023328338.40743</v>
      </c>
      <c r="S358" s="24" t="n">
        <v>26330463361.27954</v>
      </c>
      <c r="T358" s="19" t="n">
        <v>21942052.80106629</v>
      </c>
      <c r="U358" s="19" t="n">
        <v>14575039.19324296</v>
      </c>
      <c r="V358" s="19" t="n">
        <v>1427296233.76385</v>
      </c>
      <c r="W358" s="24" t="n">
        <v>27721242503.04908</v>
      </c>
      <c r="X358" s="24" t="n">
        <v>24328922816.94299</v>
      </c>
      <c r="Y358" s="19" t="n">
        <v>20274102.34745249</v>
      </c>
      <c r="Z358" s="19" t="n">
        <v>13467100.77680514</v>
      </c>
      <c r="AA358" s="19" t="n">
        <v>1318798664.182212</v>
      </c>
      <c r="AB358" s="24" t="n">
        <v>25613980278.00094</v>
      </c>
      <c r="AC358" s="24" t="n">
        <v>5706167493.968651</v>
      </c>
      <c r="AD358" s="19" t="n">
        <v>4755139.57830721</v>
      </c>
      <c r="AE358" s="19" t="n">
        <v>3158608.100687845</v>
      </c>
      <c r="AF358" s="19" t="n">
        <v>309314396.0901181</v>
      </c>
      <c r="AG358" s="24" t="n">
        <v>6007568142.379774</v>
      </c>
      <c r="AH358" s="24" t="n">
        <v>18842110866.15988</v>
      </c>
      <c r="AI358" s="19" t="n">
        <v>15701759.05513324</v>
      </c>
      <c r="AJ358" s="19" t="n">
        <v>10429915.36417701</v>
      </c>
      <c r="AK358" s="19" t="n">
        <v>1021374880.739054</v>
      </c>
      <c r="AL358" s="24" t="n">
        <v>19837354072.47962</v>
      </c>
      <c r="AM358" s="24" t="n">
        <v>170808321851.0715</v>
      </c>
      <c r="AN358" s="19" t="n">
        <v>142340268.2092262</v>
      </c>
      <c r="AO358" s="19" t="n">
        <v>94549721.7938228</v>
      </c>
      <c r="AP358" s="19" t="n">
        <v>9259011933.381737</v>
      </c>
      <c r="AQ358" s="24" t="n">
        <v>179830443794.4501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 t="n">
        <v>89626970460.13327</v>
      </c>
      <c r="J359" s="21" t="n">
        <v>74689142.05011107</v>
      </c>
      <c r="K359" s="21" t="n">
        <v>49612366.835484</v>
      </c>
      <c r="L359" s="21" t="n">
        <v>1536652040.113803</v>
      </c>
      <c r="M359" s="25" t="n">
        <v>91039320991.36148</v>
      </c>
      <c r="N359" s="25" t="n">
        <v>11023328338.40743</v>
      </c>
      <c r="O359" s="21" t="n">
        <v>9186106.948672863</v>
      </c>
      <c r="P359" s="21" t="n">
        <v>6101884.359868195</v>
      </c>
      <c r="Q359" s="21" t="n">
        <v>188994673.0665484</v>
      </c>
      <c r="R359" s="25" t="n">
        <v>11197035020.16544</v>
      </c>
      <c r="S359" s="25" t="n">
        <v>27721242503.04908</v>
      </c>
      <c r="T359" s="21" t="n">
        <v>23101035.41920757</v>
      </c>
      <c r="U359" s="21" t="n">
        <v>15344895.01470355</v>
      </c>
      <c r="V359" s="21" t="n">
        <v>475279970.1708951</v>
      </c>
      <c r="W359" s="25" t="n">
        <v>28158076542.78607</v>
      </c>
      <c r="X359" s="25" t="n">
        <v>25613980278.00094</v>
      </c>
      <c r="Y359" s="21" t="n">
        <v>21344983.56500078</v>
      </c>
      <c r="Z359" s="21" t="n">
        <v>14178435.11997633</v>
      </c>
      <c r="AA359" s="21" t="n">
        <v>439151015.0076128</v>
      </c>
      <c r="AB359" s="25" t="n">
        <v>26017607874.32357</v>
      </c>
      <c r="AC359" s="25" t="n">
        <v>6007568142.379774</v>
      </c>
      <c r="AD359" s="21" t="n">
        <v>5006306.785316478</v>
      </c>
      <c r="AE359" s="21" t="n">
        <v>3325446.268447589</v>
      </c>
      <c r="AF359" s="21" t="n">
        <v>102999597.0489355</v>
      </c>
      <c r="AG359" s="25" t="n">
        <v>6102235986.374946</v>
      </c>
      <c r="AH359" s="25" t="n">
        <v>19837354072.47962</v>
      </c>
      <c r="AI359" s="21" t="n">
        <v>16531128.39373302</v>
      </c>
      <c r="AJ359" s="21" t="n">
        <v>10980825.10472683</v>
      </c>
      <c r="AK359" s="21" t="n">
        <v>340110911.3633912</v>
      </c>
      <c r="AL359" s="25" t="n">
        <v>20149953030.34455</v>
      </c>
      <c r="AM359" s="25" t="n">
        <v>179830443794.4501</v>
      </c>
      <c r="AN359" s="21" t="n">
        <v>149858703.1620418</v>
      </c>
      <c r="AO359" s="21" t="n">
        <v>99543852.70320651</v>
      </c>
      <c r="AP359" s="21" t="n">
        <v>3083188206.771186</v>
      </c>
      <c r="AQ359" s="25" t="n">
        <v>182664229445.356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 t="n">
        <v>91039320991.36148</v>
      </c>
      <c r="J360" s="19" t="n">
        <v>75866100.82613458</v>
      </c>
      <c r="K360" s="19" t="n">
        <v>50394163.34490358</v>
      </c>
      <c r="L360" s="19" t="n">
        <v>1882788305.869005</v>
      </c>
      <c r="M360" s="24" t="n">
        <v>92795849033.05943</v>
      </c>
      <c r="N360" s="24" t="n">
        <v>11197035020.16544</v>
      </c>
      <c r="O360" s="19" t="n">
        <v>9330862.516804535</v>
      </c>
      <c r="P360" s="19" t="n">
        <v>6198038.448006054</v>
      </c>
      <c r="Q360" s="19" t="n">
        <v>231566386.5548119</v>
      </c>
      <c r="R360" s="24" t="n">
        <v>11413072505.75544</v>
      </c>
      <c r="S360" s="24" t="n">
        <v>28158076542.78607</v>
      </c>
      <c r="T360" s="19" t="n">
        <v>23465063.78565506</v>
      </c>
      <c r="U360" s="19" t="n">
        <v>15586701.36511788</v>
      </c>
      <c r="V360" s="19" t="n">
        <v>582338451.7065158</v>
      </c>
      <c r="W360" s="24" t="n">
        <v>28701363229.34181</v>
      </c>
      <c r="X360" s="24" t="n">
        <v>26017607874.32357</v>
      </c>
      <c r="Y360" s="19" t="n">
        <v>21681339.89526965</v>
      </c>
      <c r="Z360" s="19" t="n">
        <v>14401860.28174268</v>
      </c>
      <c r="AA360" s="19" t="n">
        <v>538071322.5784043</v>
      </c>
      <c r="AB360" s="24" t="n">
        <v>26519595996.72496</v>
      </c>
      <c r="AC360" s="24" t="n">
        <v>6102235986.374946</v>
      </c>
      <c r="AD360" s="19" t="n">
        <v>5085196.655312455</v>
      </c>
      <c r="AE360" s="19" t="n">
        <v>3377848.97468323</v>
      </c>
      <c r="AF360" s="19" t="n">
        <v>126200617.8175466</v>
      </c>
      <c r="AG360" s="24" t="n">
        <v>6219973558.562497</v>
      </c>
      <c r="AH360" s="24" t="n">
        <v>20149953030.34455</v>
      </c>
      <c r="AI360" s="19" t="n">
        <v>16791627.52528713</v>
      </c>
      <c r="AJ360" s="19" t="n">
        <v>11153862.01638818</v>
      </c>
      <c r="AK360" s="19" t="n">
        <v>416722087.9529879</v>
      </c>
      <c r="AL360" s="24" t="n">
        <v>20538729628.75586</v>
      </c>
      <c r="AM360" s="24" t="n">
        <v>182664229445.356</v>
      </c>
      <c r="AN360" s="19" t="n">
        <v>152220191.2044634</v>
      </c>
      <c r="AO360" s="19" t="n">
        <v>101112474.4308416</v>
      </c>
      <c r="AP360" s="19" t="n">
        <v>3777687172.479272</v>
      </c>
      <c r="AQ360" s="24" t="n">
        <v>186188583952.2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 t="n">
        <v>92795849033.05943</v>
      </c>
      <c r="J361" s="21" t="n">
        <v>77329874.19421619</v>
      </c>
      <c r="K361" s="21" t="n">
        <v>51366476.84734754</v>
      </c>
      <c r="L361" s="21" t="n">
        <v>5067271503.71311</v>
      </c>
      <c r="M361" s="25" t="n">
        <v>97734424185.73097</v>
      </c>
      <c r="N361" s="25" t="n">
        <v>11413072505.75544</v>
      </c>
      <c r="O361" s="21" t="n">
        <v>9510893.754796203</v>
      </c>
      <c r="P361" s="21" t="n">
        <v>6317624.449075611</v>
      </c>
      <c r="Q361" s="21" t="n">
        <v>623229785.392906</v>
      </c>
      <c r="R361" s="25" t="n">
        <v>12020473772.94448</v>
      </c>
      <c r="S361" s="25" t="n">
        <v>28701363229.34181</v>
      </c>
      <c r="T361" s="21" t="n">
        <v>23917802.69111818</v>
      </c>
      <c r="U361" s="21" t="n">
        <v>15887433.8148689</v>
      </c>
      <c r="V361" s="21" t="n">
        <v>1567285622.419915</v>
      </c>
      <c r="W361" s="25" t="n">
        <v>30228843615.25574</v>
      </c>
      <c r="X361" s="25" t="n">
        <v>26519595996.72496</v>
      </c>
      <c r="Y361" s="21" t="n">
        <v>22099663.33060414</v>
      </c>
      <c r="Z361" s="21" t="n">
        <v>14679732.20743397</v>
      </c>
      <c r="AA361" s="21" t="n">
        <v>1448146597.983211</v>
      </c>
      <c r="AB361" s="25" t="n">
        <v>27930963199.17014</v>
      </c>
      <c r="AC361" s="25" t="n">
        <v>6219973558.562497</v>
      </c>
      <c r="AD361" s="21" t="n">
        <v>5183311.298802081</v>
      </c>
      <c r="AE361" s="21" t="n">
        <v>3443021.763540199</v>
      </c>
      <c r="AF361" s="21" t="n">
        <v>339651989.777302</v>
      </c>
      <c r="AG361" s="25" t="n">
        <v>6550999215.277456</v>
      </c>
      <c r="AH361" s="25" t="n">
        <v>20538729628.75586</v>
      </c>
      <c r="AI361" s="21" t="n">
        <v>17115608.02396322</v>
      </c>
      <c r="AJ361" s="21" t="n">
        <v>11369066.51474856</v>
      </c>
      <c r="AK361" s="21" t="n">
        <v>1121551453.591258</v>
      </c>
      <c r="AL361" s="25" t="n">
        <v>21631796407.80841</v>
      </c>
      <c r="AM361" s="25" t="n">
        <v>186188583952.2</v>
      </c>
      <c r="AN361" s="21" t="n">
        <v>155157153.2935</v>
      </c>
      <c r="AO361" s="21" t="n">
        <v>103063355.5970148</v>
      </c>
      <c r="AP361" s="21" t="n">
        <v>10167136952.8777</v>
      </c>
      <c r="AQ361" s="25" t="n">
        <v>196097500396.1872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 t="n">
        <v>97734424185.73097</v>
      </c>
      <c r="J362" s="19" t="n">
        <v>81445353.48810914</v>
      </c>
      <c r="K362" s="19" t="n">
        <v>54100189.71146728</v>
      </c>
      <c r="L362" s="19" t="n">
        <v>2003043503.684012</v>
      </c>
      <c r="M362" s="24" t="n">
        <v>99601922146.21539</v>
      </c>
      <c r="N362" s="24" t="n">
        <v>12020473772.94448</v>
      </c>
      <c r="O362" s="19" t="n">
        <v>10017061.47745373</v>
      </c>
      <c r="P362" s="19" t="n">
        <v>6653847.065207932</v>
      </c>
      <c r="Q362" s="19" t="n">
        <v>246356717.2232418</v>
      </c>
      <c r="R362" s="24" t="n">
        <v>12250159581.62506</v>
      </c>
      <c r="S362" s="24" t="n">
        <v>30228843615.25574</v>
      </c>
      <c r="T362" s="19" t="n">
        <v>25190703.01271312</v>
      </c>
      <c r="U362" s="19" t="n">
        <v>16732959.62982074</v>
      </c>
      <c r="V362" s="19" t="n">
        <v>619532875.257458</v>
      </c>
      <c r="W362" s="24" t="n">
        <v>30806452827.87066</v>
      </c>
      <c r="X362" s="24" t="n">
        <v>27930963199.17014</v>
      </c>
      <c r="Y362" s="19" t="n">
        <v>23275802.66597512</v>
      </c>
      <c r="Z362" s="19" t="n">
        <v>15460984.40225659</v>
      </c>
      <c r="AA362" s="19" t="n">
        <v>572438369.1197221</v>
      </c>
      <c r="AB362" s="24" t="n">
        <v>28464664781.22163</v>
      </c>
      <c r="AC362" s="24" t="n">
        <v>6550999215.277456</v>
      </c>
      <c r="AD362" s="19" t="n">
        <v>5459166.012731214</v>
      </c>
      <c r="AE362" s="19" t="n">
        <v>3626258.642222879</v>
      </c>
      <c r="AF362" s="19" t="n">
        <v>134261152.4048488</v>
      </c>
      <c r="AG362" s="24" t="n">
        <v>6676174943.027351</v>
      </c>
      <c r="AH362" s="24" t="n">
        <v>21631796407.80841</v>
      </c>
      <c r="AI362" s="19" t="n">
        <v>18026497.00650701</v>
      </c>
      <c r="AJ362" s="19" t="n">
        <v>11974125.79254885</v>
      </c>
      <c r="AK362" s="19" t="n">
        <v>443338461.6390036</v>
      </c>
      <c r="AL362" s="24" t="n">
        <v>22045134246.64836</v>
      </c>
      <c r="AM362" s="24" t="n">
        <v>196097500396.1872</v>
      </c>
      <c r="AN362" s="19" t="n">
        <v>163414583.6634893</v>
      </c>
      <c r="AO362" s="19" t="n">
        <v>108548365.2435243</v>
      </c>
      <c r="AP362" s="19" t="n">
        <v>4018971079.328287</v>
      </c>
      <c r="AQ362" s="24" t="n">
        <v>199844508526.6084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 t="n">
        <v>99601922146.21539</v>
      </c>
      <c r="J363" s="21" t="n">
        <v>83001601.78851283</v>
      </c>
      <c r="K363" s="21" t="n">
        <v>55133929.81675494</v>
      </c>
      <c r="L363" s="21" t="n">
        <v>5493274401.622847</v>
      </c>
      <c r="M363" s="25" t="n">
        <v>104957061016.233</v>
      </c>
      <c r="N363" s="25" t="n">
        <v>12250159581.62506</v>
      </c>
      <c r="O363" s="21" t="n">
        <v>10208466.31802088</v>
      </c>
      <c r="P363" s="21" t="n">
        <v>6780987.997660115</v>
      </c>
      <c r="Q363" s="21" t="n">
        <v>675624391.5328168</v>
      </c>
      <c r="R363" s="25" t="n">
        <v>12908794518.84219</v>
      </c>
      <c r="S363" s="25" t="n">
        <v>30806452827.87066</v>
      </c>
      <c r="T363" s="21" t="n">
        <v>25672044.02322555</v>
      </c>
      <c r="U363" s="21" t="n">
        <v>17052691.067765</v>
      </c>
      <c r="V363" s="21" t="n">
        <v>1699046515.143723</v>
      </c>
      <c r="W363" s="25" t="n">
        <v>32462774607.9234</v>
      </c>
      <c r="X363" s="25" t="n">
        <v>28464664781.22163</v>
      </c>
      <c r="Y363" s="21" t="n">
        <v>23720553.98435136</v>
      </c>
      <c r="Z363" s="21" t="n">
        <v>15756411.08613847</v>
      </c>
      <c r="AA363" s="21" t="n">
        <v>1569891534.461733</v>
      </c>
      <c r="AB363" s="25" t="n">
        <v>29995079350.61287</v>
      </c>
      <c r="AC363" s="25" t="n">
        <v>6676174943.027351</v>
      </c>
      <c r="AD363" s="21" t="n">
        <v>5563479.11918946</v>
      </c>
      <c r="AE363" s="21" t="n">
        <v>3695548.768756709</v>
      </c>
      <c r="AF363" s="21" t="n">
        <v>368206357.1167892</v>
      </c>
      <c r="AG363" s="25" t="n">
        <v>7035122272.256194</v>
      </c>
      <c r="AH363" s="25" t="n">
        <v>22045134246.64836</v>
      </c>
      <c r="AI363" s="21" t="n">
        <v>18370945.2055403</v>
      </c>
      <c r="AJ363" s="21" t="n">
        <v>12202925.98943418</v>
      </c>
      <c r="AK363" s="21" t="n">
        <v>1215839704.977562</v>
      </c>
      <c r="AL363" s="25" t="n">
        <v>23230400080.43095</v>
      </c>
      <c r="AM363" s="25" t="n">
        <v>199844508526.6084</v>
      </c>
      <c r="AN363" s="21" t="n">
        <v>166537090.4388404</v>
      </c>
      <c r="AO363" s="21" t="n">
        <v>110622494.7265094</v>
      </c>
      <c r="AP363" s="21" t="n">
        <v>11021882904.85547</v>
      </c>
      <c r="AQ363" s="25" t="n">
        <v>210589231846.2986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 t="n">
        <v>104957061016.233</v>
      </c>
      <c r="J364" s="19" t="n">
        <v>87464217.51352748</v>
      </c>
      <c r="K364" s="19" t="n">
        <v>58098228.53967615</v>
      </c>
      <c r="L364" s="19" t="n">
        <v>1763907968.027152</v>
      </c>
      <c r="M364" s="24" t="n">
        <v>106575406538.2069</v>
      </c>
      <c r="N364" s="24" t="n">
        <v>12908794518.84219</v>
      </c>
      <c r="O364" s="19" t="n">
        <v>10757328.76570183</v>
      </c>
      <c r="P364" s="19" t="n">
        <v>7145570.644469731</v>
      </c>
      <c r="Q364" s="19" t="n">
        <v>216945151.559544</v>
      </c>
      <c r="R364" s="24" t="n">
        <v>13107836770.99156</v>
      </c>
      <c r="S364" s="24" t="n">
        <v>32462774607.9234</v>
      </c>
      <c r="T364" s="19" t="n">
        <v>27052312.1732695</v>
      </c>
      <c r="U364" s="19" t="n">
        <v>17969536.1125959</v>
      </c>
      <c r="V364" s="19" t="n">
        <v>545569266.5244254</v>
      </c>
      <c r="W364" s="24" t="n">
        <v>32963322026.16196</v>
      </c>
      <c r="X364" s="24" t="n">
        <v>29995079350.61287</v>
      </c>
      <c r="Y364" s="19" t="n">
        <v>24995899.45884406</v>
      </c>
      <c r="Z364" s="19" t="n">
        <v>16603561.09731486</v>
      </c>
      <c r="AA364" s="19" t="n">
        <v>504097189.4208218</v>
      </c>
      <c r="AB364" s="24" t="n">
        <v>30457577079.47753</v>
      </c>
      <c r="AC364" s="24" t="n">
        <v>7035122272.256194</v>
      </c>
      <c r="AD364" s="19" t="n">
        <v>5862601.893546829</v>
      </c>
      <c r="AE364" s="19" t="n">
        <v>3894241.489049423</v>
      </c>
      <c r="AF364" s="19" t="n">
        <v>118232238.1355431</v>
      </c>
      <c r="AG364" s="24" t="n">
        <v>7143597667.009141</v>
      </c>
      <c r="AH364" s="24" t="n">
        <v>23230400080.43095</v>
      </c>
      <c r="AI364" s="19" t="n">
        <v>19358666.73369246</v>
      </c>
      <c r="AJ364" s="19" t="n">
        <v>12859021.39287464</v>
      </c>
      <c r="AK364" s="19" t="n">
        <v>390410015.3489743</v>
      </c>
      <c r="AL364" s="24" t="n">
        <v>23588592407.65335</v>
      </c>
      <c r="AM364" s="24" t="n">
        <v>210589231846.2986</v>
      </c>
      <c r="AN364" s="19" t="n">
        <v>175491026.5385821</v>
      </c>
      <c r="AO364" s="19" t="n">
        <v>116570159.2759807</v>
      </c>
      <c r="AP364" s="19" t="n">
        <v>3539161829.01646</v>
      </c>
      <c r="AQ364" s="24" t="n">
        <v>213836332489.5005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 t="n">
        <v>106575406538.2069</v>
      </c>
      <c r="J365" s="21" t="n">
        <v>88812838.7818391</v>
      </c>
      <c r="K365" s="21" t="n">
        <v>58994052.09915312</v>
      </c>
      <c r="L365" s="21" t="n">
        <v>5029776697.710979</v>
      </c>
      <c r="M365" s="25" t="n">
        <v>111457376345.0369</v>
      </c>
      <c r="N365" s="25" t="n">
        <v>13107836770.99156</v>
      </c>
      <c r="O365" s="21" t="n">
        <v>10923197.30915964</v>
      </c>
      <c r="P365" s="21" t="n">
        <v>7255749.055931132</v>
      </c>
      <c r="Q365" s="21" t="n">
        <v>618618254.3389784</v>
      </c>
      <c r="R365" s="25" t="n">
        <v>13708276078.96545</v>
      </c>
      <c r="S365" s="25" t="n">
        <v>32963322026.16196</v>
      </c>
      <c r="T365" s="21" t="n">
        <v>27469435.02180163</v>
      </c>
      <c r="U365" s="21" t="n">
        <v>18246610.5468283</v>
      </c>
      <c r="V365" s="21" t="n">
        <v>1555688637.667964</v>
      </c>
      <c r="W365" s="25" t="n">
        <v>34473294618.26129</v>
      </c>
      <c r="X365" s="25" t="n">
        <v>30457577079.47753</v>
      </c>
      <c r="Y365" s="21" t="n">
        <v>25381314.23289794</v>
      </c>
      <c r="Z365" s="21" t="n">
        <v>16859573.39882647</v>
      </c>
      <c r="AA365" s="21" t="n">
        <v>1437431171.404186</v>
      </c>
      <c r="AB365" s="25" t="n">
        <v>31852767363.24999</v>
      </c>
      <c r="AC365" s="25" t="n">
        <v>7143597667.009141</v>
      </c>
      <c r="AD365" s="21" t="n">
        <v>5952998.055840951</v>
      </c>
      <c r="AE365" s="21" t="n">
        <v>3954287.266001138</v>
      </c>
      <c r="AF365" s="21" t="n">
        <v>337138766.3481637</v>
      </c>
      <c r="AG365" s="25" t="n">
        <v>7470829148.035463</v>
      </c>
      <c r="AH365" s="25" t="n">
        <v>23588592407.65335</v>
      </c>
      <c r="AI365" s="21" t="n">
        <v>19657160.33971113</v>
      </c>
      <c r="AJ365" s="21" t="n">
        <v>13057296.18722037</v>
      </c>
      <c r="AK365" s="21" t="n">
        <v>1113252637.523677</v>
      </c>
      <c r="AL365" s="25" t="n">
        <v>24669130588.6501</v>
      </c>
      <c r="AM365" s="25" t="n">
        <v>213836332489.5005</v>
      </c>
      <c r="AN365" s="21" t="n">
        <v>178196943.7412504</v>
      </c>
      <c r="AO365" s="21" t="n">
        <v>118367568.5539605</v>
      </c>
      <c r="AP365" s="21" t="n">
        <v>10091906164.99395</v>
      </c>
      <c r="AQ365" s="25" t="n">
        <v>223631674142.1992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 t="n">
        <v>111457376345.0369</v>
      </c>
      <c r="J366" s="19" t="n">
        <v>92881146.95419742</v>
      </c>
      <c r="K366" s="19" t="n">
        <v>61696431.4799662</v>
      </c>
      <c r="L366" s="19" t="n">
        <v>6367370239.267142</v>
      </c>
      <c r="M366" s="24" t="n">
        <v>117670169005.8699</v>
      </c>
      <c r="N366" s="24" t="n">
        <v>13708276078.96545</v>
      </c>
      <c r="O366" s="19" t="n">
        <v>11423563.39913788</v>
      </c>
      <c r="P366" s="19" t="n">
        <v>7588117.929460056</v>
      </c>
      <c r="Q366" s="19" t="n">
        <v>783130484.4881092</v>
      </c>
      <c r="R366" s="24" t="n">
        <v>14472394882.12496</v>
      </c>
      <c r="S366" s="24" t="n">
        <v>34473294618.26129</v>
      </c>
      <c r="T366" s="19" t="n">
        <v>28727745.51521774</v>
      </c>
      <c r="U366" s="19" t="n">
        <v>19082445.04805225</v>
      </c>
      <c r="V366" s="19" t="n">
        <v>1969400657.003527</v>
      </c>
      <c r="W366" s="24" t="n">
        <v>36394885084.70155</v>
      </c>
      <c r="X366" s="24" t="n">
        <v>31852767363.24999</v>
      </c>
      <c r="Y366" s="19" t="n">
        <v>26543972.80270833</v>
      </c>
      <c r="Z366" s="19" t="n">
        <v>17631870.97631305</v>
      </c>
      <c r="AA366" s="19" t="n">
        <v>1819694394.377237</v>
      </c>
      <c r="AB366" s="24" t="n">
        <v>33628285913.84821</v>
      </c>
      <c r="AC366" s="24" t="n">
        <v>7470829148.035463</v>
      </c>
      <c r="AD366" s="19" t="n">
        <v>6225690.95669622</v>
      </c>
      <c r="AE366" s="19" t="n">
        <v>4135423.905937193</v>
      </c>
      <c r="AF366" s="19" t="n">
        <v>426795755.8285799</v>
      </c>
      <c r="AG366" s="24" t="n">
        <v>7887263789.00141</v>
      </c>
      <c r="AH366" s="24" t="n">
        <v>24669130588.6501</v>
      </c>
      <c r="AI366" s="19" t="n">
        <v>20557608.82387508</v>
      </c>
      <c r="AJ366" s="19" t="n">
        <v>13655420.34940214</v>
      </c>
      <c r="AK366" s="19" t="n">
        <v>1409305450.11667</v>
      </c>
      <c r="AL366" s="24" t="n">
        <v>26044223009.59349</v>
      </c>
      <c r="AM366" s="24" t="n">
        <v>223631674142.1992</v>
      </c>
      <c r="AN366" s="19" t="n">
        <v>186359728.4518327</v>
      </c>
      <c r="AO366" s="19" t="n">
        <v>123789709.6891309</v>
      </c>
      <c r="AP366" s="19" t="n">
        <v>12775696981.08127</v>
      </c>
      <c r="AQ366" s="24" t="n">
        <v>236097221685.1395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 t="n">
        <v>117670169005.8699</v>
      </c>
      <c r="J367" s="21" t="n">
        <v>98058474.17155823</v>
      </c>
      <c r="K367" s="21" t="n">
        <v>65135478.30905826</v>
      </c>
      <c r="L367" s="21" t="n">
        <v>2625026675.509147</v>
      </c>
      <c r="M367" s="25" t="n">
        <v>120132001728.8984</v>
      </c>
      <c r="N367" s="25" t="n">
        <v>14472394882.12496</v>
      </c>
      <c r="O367" s="21" t="n">
        <v>12060329.06843747</v>
      </c>
      <c r="P367" s="21" t="n">
        <v>8011090.413898802</v>
      </c>
      <c r="Q367" s="21" t="n">
        <v>322855171.748627</v>
      </c>
      <c r="R367" s="25" t="n">
        <v>14775178634.39125</v>
      </c>
      <c r="S367" s="25" t="n">
        <v>36394885084.70155</v>
      </c>
      <c r="T367" s="21" t="n">
        <v>30329070.90391796</v>
      </c>
      <c r="U367" s="21" t="n">
        <v>20146127.67214595</v>
      </c>
      <c r="V367" s="21" t="n">
        <v>811909636.9672567</v>
      </c>
      <c r="W367" s="25" t="n">
        <v>37156319523.09274</v>
      </c>
      <c r="X367" s="25" t="n">
        <v>33628285913.84821</v>
      </c>
      <c r="Y367" s="21" t="n">
        <v>28023571.59487351</v>
      </c>
      <c r="Z367" s="21" t="n">
        <v>18614696.53878888</v>
      </c>
      <c r="AA367" s="21" t="n">
        <v>750191389.3834597</v>
      </c>
      <c r="AB367" s="25" t="n">
        <v>34331839035.098</v>
      </c>
      <c r="AC367" s="25" t="n">
        <v>7887263789.00141</v>
      </c>
      <c r="AD367" s="21" t="n">
        <v>6572719.824167842</v>
      </c>
      <c r="AE367" s="21" t="n">
        <v>4365938.315434002</v>
      </c>
      <c r="AF367" s="21" t="n">
        <v>175951798.3004956</v>
      </c>
      <c r="AG367" s="25" t="n">
        <v>8052276929.162302</v>
      </c>
      <c r="AH367" s="25" t="n">
        <v>26044223009.59349</v>
      </c>
      <c r="AI367" s="21" t="n">
        <v>21703519.17466125</v>
      </c>
      <c r="AJ367" s="21" t="n">
        <v>14416592.89902974</v>
      </c>
      <c r="AK367" s="21" t="n">
        <v>581003500.8930906</v>
      </c>
      <c r="AL367" s="25" t="n">
        <v>26589106398.41289</v>
      </c>
      <c r="AM367" s="25" t="n">
        <v>236097221685.1395</v>
      </c>
      <c r="AN367" s="21" t="n">
        <v>196747684.7376163</v>
      </c>
      <c r="AO367" s="21" t="n">
        <v>130689924.1483556</v>
      </c>
      <c r="AP367" s="21" t="n">
        <v>5266938172.802077</v>
      </c>
      <c r="AQ367" s="25" t="n">
        <v>241036722249.0556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 t="n">
        <v>120132001728.8984</v>
      </c>
      <c r="J368" s="19" t="n">
        <v>100110001.4407487</v>
      </c>
      <c r="K368" s="19" t="n">
        <v>66498208.16052431</v>
      </c>
      <c r="L368" s="19" t="n">
        <v>1263568593.970916</v>
      </c>
      <c r="M368" s="24" t="n">
        <v>121228962113.2681</v>
      </c>
      <c r="N368" s="24" t="n">
        <v>14775178634.39125</v>
      </c>
      <c r="O368" s="19" t="n">
        <v>12312648.86199271</v>
      </c>
      <c r="P368" s="19" t="n">
        <v>8178694.188880145</v>
      </c>
      <c r="Q368" s="19" t="n">
        <v>155407813.2724216</v>
      </c>
      <c r="R368" s="24" t="n">
        <v>14910095104.6128</v>
      </c>
      <c r="S368" s="24" t="n">
        <v>37156319523.09274</v>
      </c>
      <c r="T368" s="19" t="n">
        <v>30963599.60257728</v>
      </c>
      <c r="U368" s="19" t="n">
        <v>20567614.2457152</v>
      </c>
      <c r="V368" s="19" t="n">
        <v>390816416.4522899</v>
      </c>
      <c r="W368" s="24" t="n">
        <v>37495604725.69674</v>
      </c>
      <c r="X368" s="24" t="n">
        <v>34331839035.098</v>
      </c>
      <c r="Y368" s="19" t="n">
        <v>28609865.86258167</v>
      </c>
      <c r="Z368" s="19" t="n">
        <v>19004143.32428768</v>
      </c>
      <c r="AA368" s="19" t="n">
        <v>361108055.7528006</v>
      </c>
      <c r="AB368" s="24" t="n">
        <v>34645333081.66393</v>
      </c>
      <c r="AC368" s="24" t="n">
        <v>8052276929.162302</v>
      </c>
      <c r="AD368" s="19" t="n">
        <v>6710230.774301919</v>
      </c>
      <c r="AE368" s="19" t="n">
        <v>4457280.155957094</v>
      </c>
      <c r="AF368" s="19" t="n">
        <v>84695202.70383123</v>
      </c>
      <c r="AG368" s="24" t="n">
        <v>8125804620.935875</v>
      </c>
      <c r="AH368" s="24" t="n">
        <v>26589106398.41289</v>
      </c>
      <c r="AI368" s="19" t="n">
        <v>22157588.66534408</v>
      </c>
      <c r="AJ368" s="19" t="n">
        <v>14718209.19186978</v>
      </c>
      <c r="AK368" s="19" t="n">
        <v>279668691.9660615</v>
      </c>
      <c r="AL368" s="24" t="n">
        <v>26831899292.52174</v>
      </c>
      <c r="AM368" s="24" t="n">
        <v>241036722249.0556</v>
      </c>
      <c r="AN368" s="19" t="n">
        <v>200863935.2075464</v>
      </c>
      <c r="AO368" s="19" t="n">
        <v>133424149.2672342</v>
      </c>
      <c r="AP368" s="19" t="n">
        <v>2535264774.11832</v>
      </c>
      <c r="AQ368" s="24" t="n">
        <v>243237698938.6992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 t="n">
        <v>121228962113.2681</v>
      </c>
      <c r="J369" s="21" t="n">
        <v>101024135.09439</v>
      </c>
      <c r="K369" s="21" t="n">
        <v>67105422.7156291</v>
      </c>
      <c r="L369" s="21" t="n">
        <v>4626454150.085518</v>
      </c>
      <c r="M369" s="25" t="n">
        <v>125687286705.5435</v>
      </c>
      <c r="N369" s="25" t="n">
        <v>14910095104.6128</v>
      </c>
      <c r="O369" s="21" t="n">
        <v>12425079.253844</v>
      </c>
      <c r="P369" s="21" t="n">
        <v>8253376.233563975</v>
      </c>
      <c r="Q369" s="21" t="n">
        <v>569013131.6182897</v>
      </c>
      <c r="R369" s="25" t="n">
        <v>15458429780.74368</v>
      </c>
      <c r="S369" s="25" t="n">
        <v>37495604725.69674</v>
      </c>
      <c r="T369" s="21" t="n">
        <v>31246337.27141395</v>
      </c>
      <c r="U369" s="21" t="n">
        <v>20755423.13680037</v>
      </c>
      <c r="V369" s="21" t="n">
        <v>1430942681.263622</v>
      </c>
      <c r="W369" s="25" t="n">
        <v>38874545646.55214</v>
      </c>
      <c r="X369" s="25" t="n">
        <v>34645333081.66393</v>
      </c>
      <c r="Y369" s="21" t="n">
        <v>28871110.90138661</v>
      </c>
      <c r="Z369" s="21" t="n">
        <v>19177675.70588132</v>
      </c>
      <c r="AA369" s="21" t="n">
        <v>1322167922.769146</v>
      </c>
      <c r="AB369" s="25" t="n">
        <v>35919452217.82581</v>
      </c>
      <c r="AC369" s="25" t="n">
        <v>8125804620.935875</v>
      </c>
      <c r="AD369" s="21" t="n">
        <v>6771503.850779897</v>
      </c>
      <c r="AE369" s="21" t="n">
        <v>4497980.882514169</v>
      </c>
      <c r="AF369" s="21" t="n">
        <v>310104630.5765442</v>
      </c>
      <c r="AG369" s="25" t="n">
        <v>8424639766.779125</v>
      </c>
      <c r="AH369" s="25" t="n">
        <v>26831899292.52174</v>
      </c>
      <c r="AI369" s="21" t="n">
        <v>22359916.07710145</v>
      </c>
      <c r="AJ369" s="21" t="n">
        <v>14852605.45747752</v>
      </c>
      <c r="AK369" s="21" t="n">
        <v>1023984282.902456</v>
      </c>
      <c r="AL369" s="25" t="n">
        <v>27818671053.88961</v>
      </c>
      <c r="AM369" s="25" t="n">
        <v>243237698938.6992</v>
      </c>
      <c r="AN369" s="21" t="n">
        <v>202698082.448916</v>
      </c>
      <c r="AO369" s="21" t="n">
        <v>134642484.1318665</v>
      </c>
      <c r="AP369" s="21" t="n">
        <v>9282666799.215576</v>
      </c>
      <c r="AQ369" s="25" t="n">
        <v>252183025171.3339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 t="n">
        <v>125687286705.5435</v>
      </c>
      <c r="J370" s="19" t="n">
        <v>104739405.587953</v>
      </c>
      <c r="K370" s="19" t="n">
        <v>69573296.32563823</v>
      </c>
      <c r="L370" s="19" t="n">
        <v>2764408171.648549</v>
      </c>
      <c r="M370" s="24" t="n">
        <v>128277382175.2785</v>
      </c>
      <c r="N370" s="24" t="n">
        <v>15458429780.74368</v>
      </c>
      <c r="O370" s="19" t="n">
        <v>12882024.8172864</v>
      </c>
      <c r="P370" s="19" t="n">
        <v>8556902.961748125</v>
      </c>
      <c r="Q370" s="19" t="n">
        <v>339997868.7331973</v>
      </c>
      <c r="R370" s="24" t="n">
        <v>15776988721.69785</v>
      </c>
      <c r="S370" s="24" t="n">
        <v>38874545646.55214</v>
      </c>
      <c r="T370" s="19" t="n">
        <v>32395454.70546012</v>
      </c>
      <c r="U370" s="19" t="n">
        <v>21518725.99595892</v>
      </c>
      <c r="V370" s="19" t="n">
        <v>855019743.6135234</v>
      </c>
      <c r="W370" s="24" t="n">
        <v>39675651209.46425</v>
      </c>
      <c r="X370" s="24" t="n">
        <v>35919452217.82581</v>
      </c>
      <c r="Y370" s="19" t="n">
        <v>29932876.84818818</v>
      </c>
      <c r="Z370" s="19" t="n">
        <v>19882955.21773864</v>
      </c>
      <c r="AA370" s="19" t="n">
        <v>790024431.5459292</v>
      </c>
      <c r="AB370" s="24" t="n">
        <v>36659660817.30582</v>
      </c>
      <c r="AC370" s="24" t="n">
        <v>8424639766.779125</v>
      </c>
      <c r="AD370" s="19" t="n">
        <v>7020533.138982605</v>
      </c>
      <c r="AE370" s="19" t="n">
        <v>4663398.93472319</v>
      </c>
      <c r="AF370" s="19" t="n">
        <v>185294341.4160945</v>
      </c>
      <c r="AG370" s="24" t="n">
        <v>8598250176.121513</v>
      </c>
      <c r="AH370" s="24" t="n">
        <v>27818671053.88961</v>
      </c>
      <c r="AI370" s="19" t="n">
        <v>23182225.87824135</v>
      </c>
      <c r="AJ370" s="19" t="n">
        <v>15398825.89041802</v>
      </c>
      <c r="AK370" s="19" t="n">
        <v>611853144.4309042</v>
      </c>
      <c r="AL370" s="24" t="n">
        <v>28391943146.55186</v>
      </c>
      <c r="AM370" s="24" t="n">
        <v>252183025171.3339</v>
      </c>
      <c r="AN370" s="19" t="n">
        <v>210152520.9761116</v>
      </c>
      <c r="AO370" s="19" t="n">
        <v>139594105.3262251</v>
      </c>
      <c r="AP370" s="19" t="n">
        <v>5546597701.388198</v>
      </c>
      <c r="AQ370" s="24" t="n">
        <v>257379876246.4198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 t="n">
        <v>128277382175.2785</v>
      </c>
      <c r="J371" s="21" t="n">
        <v>106897818.4793988</v>
      </c>
      <c r="K371" s="21" t="n">
        <v>71007025.10084631</v>
      </c>
      <c r="L371" s="21" t="n">
        <v>1506203900.370697</v>
      </c>
      <c r="M371" s="25" t="n">
        <v>129605681232.069</v>
      </c>
      <c r="N371" s="25" t="n">
        <v>15776988721.69785</v>
      </c>
      <c r="O371" s="21" t="n">
        <v>13147490.60141487</v>
      </c>
      <c r="P371" s="21" t="n">
        <v>8733238.979312962</v>
      </c>
      <c r="Q371" s="21" t="n">
        <v>185249819.927378</v>
      </c>
      <c r="R371" s="25" t="n">
        <v>15940357812.0445</v>
      </c>
      <c r="S371" s="25" t="n">
        <v>39675651209.46425</v>
      </c>
      <c r="T371" s="21" t="n">
        <v>33063042.67455354</v>
      </c>
      <c r="U371" s="21" t="n">
        <v>21962172.23604824</v>
      </c>
      <c r="V371" s="21" t="n">
        <v>465862489.4588722</v>
      </c>
      <c r="W371" s="25" t="n">
        <v>40086488484.01252</v>
      </c>
      <c r="X371" s="25" t="n">
        <v>36659660817.30582</v>
      </c>
      <c r="Y371" s="21" t="n">
        <v>30549717.34775485</v>
      </c>
      <c r="Z371" s="21" t="n">
        <v>20292692.38037671</v>
      </c>
      <c r="AA371" s="21" t="n">
        <v>430449414.9548849</v>
      </c>
      <c r="AB371" s="25" t="n">
        <v>37039267822.53257</v>
      </c>
      <c r="AC371" s="25" t="n">
        <v>8598250176.121513</v>
      </c>
      <c r="AD371" s="21" t="n">
        <v>7165208.480101261</v>
      </c>
      <c r="AE371" s="21" t="n">
        <v>4759499.731955697</v>
      </c>
      <c r="AF371" s="21" t="n">
        <v>100958701.6200671</v>
      </c>
      <c r="AG371" s="25" t="n">
        <v>8687284169.529524</v>
      </c>
      <c r="AH371" s="25" t="n">
        <v>28391943146.55186</v>
      </c>
      <c r="AI371" s="21" t="n">
        <v>23659952.62212655</v>
      </c>
      <c r="AJ371" s="21" t="n">
        <v>15716156.54671144</v>
      </c>
      <c r="AK371" s="21" t="n">
        <v>333371750.9763847</v>
      </c>
      <c r="AL371" s="25" t="n">
        <v>28685938788.3594</v>
      </c>
      <c r="AM371" s="25" t="n">
        <v>257379876246.4198</v>
      </c>
      <c r="AN371" s="21" t="n">
        <v>214483230.2053498</v>
      </c>
      <c r="AO371" s="21" t="n">
        <v>142470784.9752513</v>
      </c>
      <c r="AP371" s="21" t="n">
        <v>3022096077.308283</v>
      </c>
      <c r="AQ371" s="25" t="n">
        <v>260045018308.5475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 t="n">
        <v>129605681232.069</v>
      </c>
      <c r="J372" s="19" t="n">
        <v>108004734.3600575</v>
      </c>
      <c r="K372" s="19" t="n">
        <v>71742295.51927495</v>
      </c>
      <c r="L372" s="19" t="n">
        <v>5666883298.898631</v>
      </c>
      <c r="M372" s="24" t="n">
        <v>135092817501.0883</v>
      </c>
      <c r="N372" s="24" t="n">
        <v>15940357812.0445</v>
      </c>
      <c r="O372" s="19" t="n">
        <v>13283631.51003708</v>
      </c>
      <c r="P372" s="19" t="n">
        <v>8823670.767849902</v>
      </c>
      <c r="Q372" s="19" t="n">
        <v>696976757.5373229</v>
      </c>
      <c r="R372" s="24" t="n">
        <v>16615227267.30393</v>
      </c>
      <c r="S372" s="24" t="n">
        <v>40086488484.01252</v>
      </c>
      <c r="T372" s="19" t="n">
        <v>33405407.07001043</v>
      </c>
      <c r="U372" s="19" t="n">
        <v>22189588.26349999</v>
      </c>
      <c r="V372" s="19" t="n">
        <v>1752743012.050418</v>
      </c>
      <c r="W372" s="24" t="n">
        <v>41783636500.72943</v>
      </c>
      <c r="X372" s="24" t="n">
        <v>37039267822.53257</v>
      </c>
      <c r="Y372" s="19" t="n">
        <v>30866056.51877714</v>
      </c>
      <c r="Z372" s="19" t="n">
        <v>20502821.11617959</v>
      </c>
      <c r="AA372" s="19" t="n">
        <v>1619506230.217688</v>
      </c>
      <c r="AB372" s="24" t="n">
        <v>38607405175.1153</v>
      </c>
      <c r="AC372" s="24" t="n">
        <v>8687284169.529524</v>
      </c>
      <c r="AD372" s="19" t="n">
        <v>7239403.474607937</v>
      </c>
      <c r="AE372" s="19" t="n">
        <v>4808783.860595871</v>
      </c>
      <c r="AF372" s="19" t="n">
        <v>379843114.168302</v>
      </c>
      <c r="AG372" s="24" t="n">
        <v>9055079096.362623</v>
      </c>
      <c r="AH372" s="24" t="n">
        <v>28685938788.3594</v>
      </c>
      <c r="AI372" s="19" t="n">
        <v>23904948.9902995</v>
      </c>
      <c r="AJ372" s="19" t="n">
        <v>15878895.72616276</v>
      </c>
      <c r="AK372" s="19" t="n">
        <v>1254264981.964073</v>
      </c>
      <c r="AL372" s="24" t="n">
        <v>29900419925.60701</v>
      </c>
      <c r="AM372" s="24" t="n">
        <v>260045018308.5475</v>
      </c>
      <c r="AN372" s="19" t="n">
        <v>216704181.9237896</v>
      </c>
      <c r="AO372" s="19" t="n">
        <v>143946055.253563</v>
      </c>
      <c r="AP372" s="19" t="n">
        <v>11370217394.83644</v>
      </c>
      <c r="AQ372" s="24" t="n">
        <v>271054585466.2065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 t="n">
        <v>135092817501.0883</v>
      </c>
      <c r="J373" s="21" t="n">
        <v>112577347.9175736</v>
      </c>
      <c r="K373" s="21" t="n">
        <v>74779660.45593724</v>
      </c>
      <c r="L373" s="21" t="n">
        <v>2034075655.2364</v>
      </c>
      <c r="M373" s="25" t="n">
        <v>136939536147.9512</v>
      </c>
      <c r="N373" s="25" t="n">
        <v>16615227267.30393</v>
      </c>
      <c r="O373" s="21" t="n">
        <v>13846022.72275328</v>
      </c>
      <c r="P373" s="21" t="n">
        <v>9197239.915713573</v>
      </c>
      <c r="Q373" s="21" t="n">
        <v>250173398.6736245</v>
      </c>
      <c r="R373" s="25" t="n">
        <v>16842357403.33909</v>
      </c>
      <c r="S373" s="25" t="n">
        <v>41783636500.72943</v>
      </c>
      <c r="T373" s="21" t="n">
        <v>34819697.08394119</v>
      </c>
      <c r="U373" s="21" t="n">
        <v>23129032.37889522</v>
      </c>
      <c r="V373" s="21" t="n">
        <v>629130988.3495185</v>
      </c>
      <c r="W373" s="25" t="n">
        <v>42354818759.61611</v>
      </c>
      <c r="X373" s="25" t="n">
        <v>38607405175.1153</v>
      </c>
      <c r="Y373" s="21" t="n">
        <v>32172837.64592942</v>
      </c>
      <c r="Z373" s="21" t="n">
        <v>21370852.30350355</v>
      </c>
      <c r="AA373" s="21" t="n">
        <v>581306870.5737611</v>
      </c>
      <c r="AB373" s="25" t="n">
        <v>39135168355.73963</v>
      </c>
      <c r="AC373" s="25" t="n">
        <v>9055079096.362623</v>
      </c>
      <c r="AD373" s="21" t="n">
        <v>7545899.246968853</v>
      </c>
      <c r="AE373" s="21" t="n">
        <v>5012374.105101459</v>
      </c>
      <c r="AF373" s="21" t="n">
        <v>136341193.3132778</v>
      </c>
      <c r="AG373" s="25" t="n">
        <v>9178862016.323832</v>
      </c>
      <c r="AH373" s="25" t="n">
        <v>29900419925.60701</v>
      </c>
      <c r="AI373" s="21" t="n">
        <v>24917016.60467251</v>
      </c>
      <c r="AJ373" s="21" t="n">
        <v>16551163.05135039</v>
      </c>
      <c r="AK373" s="21" t="n">
        <v>450206882.7717851</v>
      </c>
      <c r="AL373" s="25" t="n">
        <v>30309158628.72278</v>
      </c>
      <c r="AM373" s="25" t="n">
        <v>271054585466.2065</v>
      </c>
      <c r="AN373" s="21" t="n">
        <v>225878821.2218388</v>
      </c>
      <c r="AO373" s="21" t="n">
        <v>150040322.2105014</v>
      </c>
      <c r="AP373" s="21" t="n">
        <v>4081234988.918367</v>
      </c>
      <c r="AQ373" s="25" t="n">
        <v>274759901311.6926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 t="n">
        <v>136939536147.9512</v>
      </c>
      <c r="J374" s="19" t="n">
        <v>114116280.1232926</v>
      </c>
      <c r="K374" s="19" t="n">
        <v>75801898.32116604</v>
      </c>
      <c r="L374" s="19" t="n">
        <v>6725047886.859032</v>
      </c>
      <c r="M374" s="24" t="n">
        <v>143474665856.3657</v>
      </c>
      <c r="N374" s="24" t="n">
        <v>16842357403.33909</v>
      </c>
      <c r="O374" s="19" t="n">
        <v>14035297.83611591</v>
      </c>
      <c r="P374" s="19" t="n">
        <v>9322966.173898121</v>
      </c>
      <c r="Q374" s="19" t="n">
        <v>827121686.3380966</v>
      </c>
      <c r="R374" s="24" t="n">
        <v>17646120825.66717</v>
      </c>
      <c r="S374" s="24" t="n">
        <v>42354818759.61611</v>
      </c>
      <c r="T374" s="19" t="n">
        <v>35295682.2996801</v>
      </c>
      <c r="U374" s="19" t="n">
        <v>23445206.22268715</v>
      </c>
      <c r="V374" s="19" t="n">
        <v>2080028839.077641</v>
      </c>
      <c r="W374" s="24" t="n">
        <v>44376106710.17139</v>
      </c>
      <c r="X374" s="24" t="n">
        <v>39135168355.73963</v>
      </c>
      <c r="Y374" s="19" t="n">
        <v>32612640.29644969</v>
      </c>
      <c r="Z374" s="19" t="n">
        <v>21662991.82785624</v>
      </c>
      <c r="AA374" s="19" t="n">
        <v>1921913047.582475</v>
      </c>
      <c r="AB374" s="24" t="n">
        <v>41002805771.1978</v>
      </c>
      <c r="AC374" s="24" t="n">
        <v>9178862016.323832</v>
      </c>
      <c r="AD374" s="19" t="n">
        <v>7649051.68026986</v>
      </c>
      <c r="AE374" s="19" t="n">
        <v>5080893.252870874</v>
      </c>
      <c r="AF374" s="19" t="n">
        <v>450770378.9792103</v>
      </c>
      <c r="AG374" s="24" t="n">
        <v>9616902450.369902</v>
      </c>
      <c r="AH374" s="24" t="n">
        <v>30309158628.72278</v>
      </c>
      <c r="AI374" s="19" t="n">
        <v>25257632.19060232</v>
      </c>
      <c r="AJ374" s="19" t="n">
        <v>16777417.42963331</v>
      </c>
      <c r="AK374" s="19" t="n">
        <v>1488471108.652992</v>
      </c>
      <c r="AL374" s="24" t="n">
        <v>31755594687.75554</v>
      </c>
      <c r="AM374" s="24" t="n">
        <v>274759901311.6926</v>
      </c>
      <c r="AN374" s="19" t="n">
        <v>228966584.4264105</v>
      </c>
      <c r="AO374" s="19" t="n">
        <v>152091373.2281117</v>
      </c>
      <c r="AP374" s="19" t="n">
        <v>13493352947.48944</v>
      </c>
      <c r="AQ374" s="24" t="n">
        <v>287872196301.5275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 t="n">
        <v>143474665856.3657</v>
      </c>
      <c r="J375" s="21" t="n">
        <v>119562221.5469714</v>
      </c>
      <c r="K375" s="21" t="n">
        <v>79419372.51165594</v>
      </c>
      <c r="L375" s="21" t="n">
        <v>5448495672.453192</v>
      </c>
      <c r="M375" s="25" t="n">
        <v>148724179934.7603</v>
      </c>
      <c r="N375" s="25" t="n">
        <v>17646120825.66717</v>
      </c>
      <c r="O375" s="21" t="n">
        <v>14705100.68805598</v>
      </c>
      <c r="P375" s="21" t="n">
        <v>9767883.653009191</v>
      </c>
      <c r="Q375" s="21" t="n">
        <v>670117002.0530697</v>
      </c>
      <c r="R375" s="25" t="n">
        <v>18291764843.37918</v>
      </c>
      <c r="S375" s="25" t="n">
        <v>44376106710.17139</v>
      </c>
      <c r="T375" s="21" t="n">
        <v>36980088.92514282</v>
      </c>
      <c r="U375" s="21" t="n">
        <v>24564075.67424021</v>
      </c>
      <c r="V375" s="21" t="n">
        <v>1685196643.794535</v>
      </c>
      <c r="W375" s="25" t="n">
        <v>45999759189.36654</v>
      </c>
      <c r="X375" s="25" t="n">
        <v>41002805771.1978</v>
      </c>
      <c r="Y375" s="21" t="n">
        <v>34169004.8093315</v>
      </c>
      <c r="Z375" s="21" t="n">
        <v>22696809.12744465</v>
      </c>
      <c r="AA375" s="21" t="n">
        <v>1557094477.058843</v>
      </c>
      <c r="AB375" s="25" t="n">
        <v>42503034434.31987</v>
      </c>
      <c r="AC375" s="25" t="n">
        <v>9616902450.369902</v>
      </c>
      <c r="AD375" s="21" t="n">
        <v>8014085.375308252</v>
      </c>
      <c r="AE375" s="21" t="n">
        <v>5323367.394204646</v>
      </c>
      <c r="AF375" s="21" t="n">
        <v>365204902.6948134</v>
      </c>
      <c r="AG375" s="25" t="n">
        <v>9968769900.2952</v>
      </c>
      <c r="AH375" s="25" t="n">
        <v>31755594687.75554</v>
      </c>
      <c r="AI375" s="21" t="n">
        <v>26462995.57312961</v>
      </c>
      <c r="AJ375" s="21" t="n">
        <v>17578081.73856167</v>
      </c>
      <c r="AK375" s="21" t="n">
        <v>1205928720.584206</v>
      </c>
      <c r="AL375" s="25" t="n">
        <v>32917482331.02805</v>
      </c>
      <c r="AM375" s="25" t="n">
        <v>287872196301.5275</v>
      </c>
      <c r="AN375" s="21" t="n">
        <v>239893496.9179396</v>
      </c>
      <c r="AO375" s="21" t="n">
        <v>159349590.0991163</v>
      </c>
      <c r="AP375" s="21" t="n">
        <v>10932037418.63866</v>
      </c>
      <c r="AQ375" s="25" t="n">
        <v>298404990633.1491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 t="n">
        <v>148724179934.7603</v>
      </c>
      <c r="J376" s="19" t="n">
        <v>123936816.6123002</v>
      </c>
      <c r="K376" s="19" t="n">
        <v>82325203.388548</v>
      </c>
      <c r="L376" s="19" t="n">
        <v>8219612914.243785</v>
      </c>
      <c r="M376" s="24" t="n">
        <v>156737530829.0032</v>
      </c>
      <c r="N376" s="24" t="n">
        <v>18291764843.37918</v>
      </c>
      <c r="O376" s="19" t="n">
        <v>15243137.36948265</v>
      </c>
      <c r="P376" s="19" t="n">
        <v>10125275.26947705</v>
      </c>
      <c r="Q376" s="19" t="n">
        <v>1010940027.350652</v>
      </c>
      <c r="R376" s="24" t="n">
        <v>19277336458.09087</v>
      </c>
      <c r="S376" s="24" t="n">
        <v>45999759189.36654</v>
      </c>
      <c r="T376" s="19" t="n">
        <v>38333132.65780545</v>
      </c>
      <c r="U376" s="19" t="n">
        <v>25462836.86183389</v>
      </c>
      <c r="V376" s="19" t="n">
        <v>2542291474.398311</v>
      </c>
      <c r="W376" s="24" t="n">
        <v>48478254694.24521</v>
      </c>
      <c r="X376" s="24" t="n">
        <v>42503034434.31987</v>
      </c>
      <c r="Y376" s="19" t="n">
        <v>35419195.36193322</v>
      </c>
      <c r="Z376" s="19" t="n">
        <v>23527249.94665127</v>
      </c>
      <c r="AA376" s="19" t="n">
        <v>2349036255.463869</v>
      </c>
      <c r="AB376" s="24" t="n">
        <v>44793124244.47516</v>
      </c>
      <c r="AC376" s="24" t="n">
        <v>9968769900.2952</v>
      </c>
      <c r="AD376" s="19" t="n">
        <v>8307308.250246</v>
      </c>
      <c r="AE376" s="19" t="n">
        <v>5518141.098074568</v>
      </c>
      <c r="AF376" s="19" t="n">
        <v>550948943.5244149</v>
      </c>
      <c r="AG376" s="24" t="n">
        <v>10505893394.47129</v>
      </c>
      <c r="AH376" s="24" t="n">
        <v>32917482331.02805</v>
      </c>
      <c r="AI376" s="19" t="n">
        <v>27431235.27585671</v>
      </c>
      <c r="AJ376" s="19" t="n">
        <v>18221236.31227664</v>
      </c>
      <c r="AK376" s="19" t="n">
        <v>1819266799.730872</v>
      </c>
      <c r="AL376" s="24" t="n">
        <v>34691096659.17079</v>
      </c>
      <c r="AM376" s="24" t="n">
        <v>298404990633.1491</v>
      </c>
      <c r="AN376" s="19" t="n">
        <v>248670825.5276242</v>
      </c>
      <c r="AO376" s="19" t="n">
        <v>165179942.8768614</v>
      </c>
      <c r="AP376" s="19" t="n">
        <v>16492096414.7119</v>
      </c>
      <c r="AQ376" s="24" t="n">
        <v>314483236279.4565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 t="n">
        <v>156737530829.0032</v>
      </c>
      <c r="J377" s="21" t="n">
        <v>130614609.0241693</v>
      </c>
      <c r="K377" s="21" t="n">
        <v>86760936.31699136</v>
      </c>
      <c r="L377" s="21" t="n">
        <v>5417919909.130111</v>
      </c>
      <c r="M377" s="25" t="n">
        <v>161938075192.7921</v>
      </c>
      <c r="N377" s="25" t="n">
        <v>19277336458.09087</v>
      </c>
      <c r="O377" s="21" t="n">
        <v>16064447.04840906</v>
      </c>
      <c r="P377" s="21" t="n">
        <v>10670831.36984157</v>
      </c>
      <c r="Q377" s="21" t="n">
        <v>666356452.3370925</v>
      </c>
      <c r="R377" s="25" t="n">
        <v>19916957632.00971</v>
      </c>
      <c r="S377" s="25" t="n">
        <v>48478254694.24521</v>
      </c>
      <c r="T377" s="21" t="n">
        <v>40398545.57853768</v>
      </c>
      <c r="U377" s="21" t="n">
        <v>26834790.276714</v>
      </c>
      <c r="V377" s="21" t="n">
        <v>1675739689.649555</v>
      </c>
      <c r="W377" s="25" t="n">
        <v>50086761048.03951</v>
      </c>
      <c r="X377" s="25" t="n">
        <v>44793124244.47516</v>
      </c>
      <c r="Y377" s="21" t="n">
        <v>37327603.53706264</v>
      </c>
      <c r="Z377" s="21" t="n">
        <v>24794912.74016459</v>
      </c>
      <c r="AA377" s="21" t="n">
        <v>1548356404.191697</v>
      </c>
      <c r="AB377" s="25" t="n">
        <v>46279358132.38963</v>
      </c>
      <c r="AC377" s="25" t="n">
        <v>10505893394.47129</v>
      </c>
      <c r="AD377" s="21" t="n">
        <v>8754911.162059413</v>
      </c>
      <c r="AE377" s="21" t="n">
        <v>5815461.95687649</v>
      </c>
      <c r="AF377" s="21" t="n">
        <v>363155452.8391988</v>
      </c>
      <c r="AG377" s="25" t="n">
        <v>10854478474.19156</v>
      </c>
      <c r="AH377" s="25" t="n">
        <v>34691096659.17079</v>
      </c>
      <c r="AI377" s="21" t="n">
        <v>28909247.21597566</v>
      </c>
      <c r="AJ377" s="21" t="n">
        <v>19203007.80606632</v>
      </c>
      <c r="AK377" s="21" t="n">
        <v>1199161312.961675</v>
      </c>
      <c r="AL377" s="25" t="n">
        <v>35842145717.11043</v>
      </c>
      <c r="AM377" s="25" t="n">
        <v>314483236279.4565</v>
      </c>
      <c r="AN377" s="21" t="n">
        <v>262069363.5662138</v>
      </c>
      <c r="AO377" s="21" t="n">
        <v>174079940.4666543</v>
      </c>
      <c r="AP377" s="21" t="n">
        <v>10870689221.10933</v>
      </c>
      <c r="AQ377" s="25" t="n">
        <v>324917776196.533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 t="n">
        <v>161938075192.7921</v>
      </c>
      <c r="J378" s="19" t="n">
        <v>134948395.9939935</v>
      </c>
      <c r="K378" s="19" t="n">
        <v>89639660.35949676</v>
      </c>
      <c r="L378" s="19" t="n">
        <v>6777090382.039591</v>
      </c>
      <c r="M378" s="24" t="n">
        <v>168490577518.4782</v>
      </c>
      <c r="N378" s="24" t="n">
        <v>19916957632.00971</v>
      </c>
      <c r="O378" s="19" t="n">
        <v>16597464.69334142</v>
      </c>
      <c r="P378" s="19" t="n">
        <v>11024889.08431402</v>
      </c>
      <c r="Q378" s="19" t="n">
        <v>833522455.0908514</v>
      </c>
      <c r="R378" s="24" t="n">
        <v>20722857733.32291</v>
      </c>
      <c r="S378" s="24" t="n">
        <v>50086761048.03951</v>
      </c>
      <c r="T378" s="19" t="n">
        <v>41738967.54003293</v>
      </c>
      <c r="U378" s="19" t="n">
        <v>27725167.43519607</v>
      </c>
      <c r="V378" s="19" t="n">
        <v>2096125362.500865</v>
      </c>
      <c r="W378" s="24" t="n">
        <v>52113422275.56515</v>
      </c>
      <c r="X378" s="24" t="n">
        <v>46279358132.38963</v>
      </c>
      <c r="Y378" s="19" t="n">
        <v>38566131.77699136</v>
      </c>
      <c r="Z378" s="19" t="n">
        <v>25617606.8519034</v>
      </c>
      <c r="AA378" s="19" t="n">
        <v>1936785975.210501</v>
      </c>
      <c r="AB378" s="24" t="n">
        <v>48151960368.97123</v>
      </c>
      <c r="AC378" s="24" t="n">
        <v>10854478474.19156</v>
      </c>
      <c r="AD378" s="19" t="n">
        <v>9045398.728492964</v>
      </c>
      <c r="AE378" s="19" t="n">
        <v>6008418.728255376</v>
      </c>
      <c r="AF378" s="19" t="n">
        <v>454258713.2885324</v>
      </c>
      <c r="AG378" s="24" t="n">
        <v>11293683370.02334</v>
      </c>
      <c r="AH378" s="24" t="n">
        <v>35842145717.11043</v>
      </c>
      <c r="AI378" s="19" t="n">
        <v>29868454.76425869</v>
      </c>
      <c r="AJ378" s="19" t="n">
        <v>19840162.75858746</v>
      </c>
      <c r="AK378" s="19" t="n">
        <v>1499989799.939911</v>
      </c>
      <c r="AL378" s="24" t="n">
        <v>37292426899.52749</v>
      </c>
      <c r="AM378" s="24" t="n">
        <v>324917776196.533</v>
      </c>
      <c r="AN378" s="19" t="n">
        <v>270764813.4971108</v>
      </c>
      <c r="AO378" s="19" t="n">
        <v>179855905.2177531</v>
      </c>
      <c r="AP378" s="19" t="n">
        <v>13597772688.07025</v>
      </c>
      <c r="AQ378" s="24" t="n">
        <v>338064928165.8883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 t="n">
        <v>168490577518.4782</v>
      </c>
      <c r="J379" s="21" t="n">
        <v>140408814.5987319</v>
      </c>
      <c r="K379" s="21" t="n">
        <v>93266751.0377084</v>
      </c>
      <c r="L379" s="21" t="n">
        <v>3380066114.795775</v>
      </c>
      <c r="M379" s="25" t="n">
        <v>171636968067.6376</v>
      </c>
      <c r="N379" s="25" t="n">
        <v>20722857733.32291</v>
      </c>
      <c r="O379" s="21" t="n">
        <v>17269048.11110242</v>
      </c>
      <c r="P379" s="21" t="n">
        <v>11470989.30675642</v>
      </c>
      <c r="Q379" s="21" t="n">
        <v>415718375.8151497</v>
      </c>
      <c r="R379" s="25" t="n">
        <v>21109836071.7202</v>
      </c>
      <c r="S379" s="25" t="n">
        <v>52113422275.56515</v>
      </c>
      <c r="T379" s="21" t="n">
        <v>43427851.89630429</v>
      </c>
      <c r="U379" s="21" t="n">
        <v>28847011.22568744</v>
      </c>
      <c r="V379" s="21" t="n">
        <v>1045440138.872829</v>
      </c>
      <c r="W379" s="25" t="n">
        <v>53086587551.31599</v>
      </c>
      <c r="X379" s="25" t="n">
        <v>48151960368.97123</v>
      </c>
      <c r="Y379" s="21" t="n">
        <v>40126633.64080936</v>
      </c>
      <c r="Z379" s="21" t="n">
        <v>26654172.39262486</v>
      </c>
      <c r="AA379" s="21" t="n">
        <v>965969800.8115577</v>
      </c>
      <c r="AB379" s="25" t="n">
        <v>49051149363.74935</v>
      </c>
      <c r="AC379" s="25" t="n">
        <v>11293683370.02334</v>
      </c>
      <c r="AD379" s="21" t="n">
        <v>9411402.808352783</v>
      </c>
      <c r="AE379" s="21" t="n">
        <v>6251537.449060954</v>
      </c>
      <c r="AF379" s="21" t="n">
        <v>226561016.2447333</v>
      </c>
      <c r="AG379" s="25" t="n">
        <v>11504581446.01066</v>
      </c>
      <c r="AH379" s="25" t="n">
        <v>37292426899.52749</v>
      </c>
      <c r="AI379" s="21" t="n">
        <v>31077022.41627291</v>
      </c>
      <c r="AJ379" s="21" t="n">
        <v>20642955.50799406</v>
      </c>
      <c r="AK379" s="21" t="n">
        <v>748118205.5285401</v>
      </c>
      <c r="AL379" s="25" t="n">
        <v>37988825127.13176</v>
      </c>
      <c r="AM379" s="25" t="n">
        <v>338064928165.8883</v>
      </c>
      <c r="AN379" s="21" t="n">
        <v>281720773.4715736</v>
      </c>
      <c r="AO379" s="21" t="n">
        <v>187133416.9198321</v>
      </c>
      <c r="AP379" s="21" t="n">
        <v>6781873652.068584</v>
      </c>
      <c r="AQ379" s="25" t="n">
        <v>344377947627.5656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 t="n">
        <v>171636968067.6376</v>
      </c>
      <c r="J380" s="19" t="n">
        <v>143030806.7230313</v>
      </c>
      <c r="K380" s="19" t="n">
        <v>95008412.96526432</v>
      </c>
      <c r="L380" s="19" t="n">
        <v>9051843794.856077</v>
      </c>
      <c r="M380" s="24" t="n">
        <v>180450772642.8054</v>
      </c>
      <c r="N380" s="24" t="n">
        <v>21109836071.7202</v>
      </c>
      <c r="O380" s="19" t="n">
        <v>17591530.05976683</v>
      </c>
      <c r="P380" s="19" t="n">
        <v>11685198.39118031</v>
      </c>
      <c r="Q380" s="19" t="n">
        <v>1113297099.147829</v>
      </c>
      <c r="R380" s="24" t="n">
        <v>22193856442.41708</v>
      </c>
      <c r="S380" s="24" t="n">
        <v>53086587551.31599</v>
      </c>
      <c r="T380" s="19" t="n">
        <v>44238822.95942999</v>
      </c>
      <c r="U380" s="19" t="n">
        <v>29385699.88607881</v>
      </c>
      <c r="V380" s="19" t="n">
        <v>2799696962.294853</v>
      </c>
      <c r="W380" s="24" t="n">
        <v>55812659990.76534</v>
      </c>
      <c r="X380" s="24" t="n">
        <v>49051149363.74935</v>
      </c>
      <c r="Y380" s="19" t="n">
        <v>40875957.80312447</v>
      </c>
      <c r="Z380" s="19" t="n">
        <v>27151912.01312453</v>
      </c>
      <c r="AA380" s="19" t="n">
        <v>2586874768.283271</v>
      </c>
      <c r="AB380" s="24" t="n">
        <v>51569996262.21638</v>
      </c>
      <c r="AC380" s="24" t="n">
        <v>11504581446.01066</v>
      </c>
      <c r="AD380" s="19" t="n">
        <v>9587151.205008885</v>
      </c>
      <c r="AE380" s="19" t="n">
        <v>6368278.566796657</v>
      </c>
      <c r="AF380" s="19" t="n">
        <v>606732193.8094947</v>
      </c>
      <c r="AG380" s="24" t="n">
        <v>12095358210.04835</v>
      </c>
      <c r="AH380" s="24" t="n">
        <v>37988825127.13176</v>
      </c>
      <c r="AI380" s="19" t="n">
        <v>31657354.2726098</v>
      </c>
      <c r="AJ380" s="19" t="n">
        <v>21028441.75341894</v>
      </c>
      <c r="AK380" s="19" t="n">
        <v>2003466472.708785</v>
      </c>
      <c r="AL380" s="24" t="n">
        <v>39939605803.81451</v>
      </c>
      <c r="AM380" s="24" t="n">
        <v>344377947627.5656</v>
      </c>
      <c r="AN380" s="19" t="n">
        <v>286981623.0229713</v>
      </c>
      <c r="AO380" s="19" t="n">
        <v>190627943.5758636</v>
      </c>
      <c r="AP380" s="19" t="n">
        <v>18161911291.10031</v>
      </c>
      <c r="AQ380" s="24" t="n">
        <v>362062249352.067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 t="n">
        <v>180450772642.8054</v>
      </c>
      <c r="J381" s="21" t="n">
        <v>150375643.8690045</v>
      </c>
      <c r="K381" s="21" t="n">
        <v>99887231.28919722</v>
      </c>
      <c r="L381" s="21" t="n">
        <v>3113748681.252645</v>
      </c>
      <c r="M381" s="25" t="n">
        <v>183314258448.8998</v>
      </c>
      <c r="N381" s="25" t="n">
        <v>22193856442.41708</v>
      </c>
      <c r="O381" s="21" t="n">
        <v>18494880.3686809</v>
      </c>
      <c r="P381" s="21" t="n">
        <v>12285250.09450184</v>
      </c>
      <c r="Q381" s="21" t="n">
        <v>382963676.0064158</v>
      </c>
      <c r="R381" s="25" t="n">
        <v>22546039987.96031</v>
      </c>
      <c r="S381" s="25" t="n">
        <v>55812659990.76534</v>
      </c>
      <c r="T381" s="21" t="n">
        <v>46510549.99230445</v>
      </c>
      <c r="U381" s="21" t="n">
        <v>30894697.73786074</v>
      </c>
      <c r="V381" s="21" t="n">
        <v>963069284.2055658</v>
      </c>
      <c r="W381" s="25" t="n">
        <v>56698324027.24074</v>
      </c>
      <c r="X381" s="25" t="n">
        <v>51569996262.21638</v>
      </c>
      <c r="Y381" s="21" t="n">
        <v>42974996.88518032</v>
      </c>
      <c r="Z381" s="21" t="n">
        <v>28546201.65258918</v>
      </c>
      <c r="AA381" s="21" t="n">
        <v>889860461.6757917</v>
      </c>
      <c r="AB381" s="25" t="n">
        <v>52388335525.3544</v>
      </c>
      <c r="AC381" s="25" t="n">
        <v>12095358210.04835</v>
      </c>
      <c r="AD381" s="21" t="n">
        <v>10079465.17504029</v>
      </c>
      <c r="AE381" s="21" t="n">
        <v>6695298.808414163</v>
      </c>
      <c r="AF381" s="21" t="n">
        <v>208710138.0849532</v>
      </c>
      <c r="AG381" s="25" t="n">
        <v>12287293584.14985</v>
      </c>
      <c r="AH381" s="25" t="n">
        <v>39939605803.81451</v>
      </c>
      <c r="AI381" s="21" t="n">
        <v>33283004.8365121</v>
      </c>
      <c r="AJ381" s="21" t="n">
        <v>22108282.40908641</v>
      </c>
      <c r="AK381" s="21" t="n">
        <v>689173524.0588138</v>
      </c>
      <c r="AL381" s="25" t="n">
        <v>40573388040.62773</v>
      </c>
      <c r="AM381" s="25" t="n">
        <v>362062249352.067</v>
      </c>
      <c r="AN381" s="21" t="n">
        <v>301718541.1267225</v>
      </c>
      <c r="AO381" s="21" t="n">
        <v>200416961.9916495</v>
      </c>
      <c r="AP381" s="21" t="n">
        <v>6247525765.284185</v>
      </c>
      <c r="AQ381" s="25" t="n">
        <v>367807639614.2328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 t="n">
        <v>183314258448.8998</v>
      </c>
      <c r="J382" s="19" t="n">
        <v>152761882.0407498</v>
      </c>
      <c r="K382" s="19" t="n">
        <v>101472293.3247745</v>
      </c>
      <c r="L382" s="19" t="n">
        <v>4573349991.340312</v>
      </c>
      <c r="M382" s="24" t="n">
        <v>187633374264.8746</v>
      </c>
      <c r="N382" s="24" t="n">
        <v>22546039987.96031</v>
      </c>
      <c r="O382" s="19" t="n">
        <v>18788366.65663359</v>
      </c>
      <c r="P382" s="19" t="n">
        <v>12480198.77083453</v>
      </c>
      <c r="Q382" s="19" t="n">
        <v>562481787.593405</v>
      </c>
      <c r="R382" s="24" t="n">
        <v>23077253210.12625</v>
      </c>
      <c r="S382" s="24" t="n">
        <v>56698324027.24074</v>
      </c>
      <c r="T382" s="19" t="n">
        <v>47248603.35603395</v>
      </c>
      <c r="U382" s="19" t="n">
        <v>31384950.71467153</v>
      </c>
      <c r="V382" s="19" t="n">
        <v>1414517789.794697</v>
      </c>
      <c r="W382" s="24" t="n">
        <v>58034208262.96474</v>
      </c>
      <c r="X382" s="24" t="n">
        <v>52388335525.3544</v>
      </c>
      <c r="Y382" s="19" t="n">
        <v>43656946.27112867</v>
      </c>
      <c r="Z382" s="19" t="n">
        <v>28999187.48386574</v>
      </c>
      <c r="AA382" s="19" t="n">
        <v>1306991588.371182</v>
      </c>
      <c r="AB382" s="24" t="n">
        <v>53622670979.9706</v>
      </c>
      <c r="AC382" s="24" t="n">
        <v>12287293584.14985</v>
      </c>
      <c r="AD382" s="19" t="n">
        <v>10239411.32012487</v>
      </c>
      <c r="AE382" s="19" t="n">
        <v>6801543.258491442</v>
      </c>
      <c r="AF382" s="19" t="n">
        <v>306545134.4709886</v>
      </c>
      <c r="AG382" s="24" t="n">
        <v>12576797764.04222</v>
      </c>
      <c r="AH382" s="24" t="n">
        <v>40573388040.62773</v>
      </c>
      <c r="AI382" s="19" t="n">
        <v>33811156.70052311</v>
      </c>
      <c r="AJ382" s="19" t="n">
        <v>22459108.02179165</v>
      </c>
      <c r="AK382" s="19" t="n">
        <v>1012230611.051879</v>
      </c>
      <c r="AL382" s="24" t="n">
        <v>41529348386.9573</v>
      </c>
      <c r="AM382" s="24" t="n">
        <v>367807639614.2328</v>
      </c>
      <c r="AN382" s="19" t="n">
        <v>306506366.345194</v>
      </c>
      <c r="AO382" s="19" t="n">
        <v>203597281.5744293</v>
      </c>
      <c r="AP382" s="19" t="n">
        <v>9176116902.622463</v>
      </c>
      <c r="AQ382" s="24" t="n">
        <v>376473652868.9357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 t="n">
        <v>187633374264.8746</v>
      </c>
      <c r="J383" s="21" t="n">
        <v>156361145.2207288</v>
      </c>
      <c r="K383" s="21" t="n">
        <v>103863108.9148473</v>
      </c>
      <c r="L383" s="21" t="n">
        <v>9334013511.802595</v>
      </c>
      <c r="M383" s="25" t="n">
        <v>196707163522.5416</v>
      </c>
      <c r="N383" s="25" t="n">
        <v>23077253210.12625</v>
      </c>
      <c r="O383" s="21" t="n">
        <v>19231044.34177187</v>
      </c>
      <c r="P383" s="21" t="n">
        <v>12774248.04094435</v>
      </c>
      <c r="Q383" s="21" t="n">
        <v>1148001490.260106</v>
      </c>
      <c r="R383" s="25" t="n">
        <v>24193249408.00364</v>
      </c>
      <c r="S383" s="25" t="n">
        <v>58034208262.96474</v>
      </c>
      <c r="T383" s="21" t="n">
        <v>48361840.21913728</v>
      </c>
      <c r="U383" s="21" t="n">
        <v>32124419.85450996</v>
      </c>
      <c r="V383" s="21" t="n">
        <v>2886970861.103811</v>
      </c>
      <c r="W383" s="25" t="n">
        <v>60840692863.9949</v>
      </c>
      <c r="X383" s="25" t="n">
        <v>53622670979.9706</v>
      </c>
      <c r="Y383" s="21" t="n">
        <v>44685559.1499755</v>
      </c>
      <c r="Z383" s="21" t="n">
        <v>29682445.02406901</v>
      </c>
      <c r="AA383" s="21" t="n">
        <v>2667514441.004688</v>
      </c>
      <c r="AB383" s="25" t="n">
        <v>56215817416.80124</v>
      </c>
      <c r="AC383" s="25" t="n">
        <v>12576797764.04222</v>
      </c>
      <c r="AD383" s="21" t="n">
        <v>10480664.80336851</v>
      </c>
      <c r="AE383" s="21" t="n">
        <v>6961796.221405269</v>
      </c>
      <c r="AF383" s="21" t="n">
        <v>625645627.9417599</v>
      </c>
      <c r="AG383" s="25" t="n">
        <v>13185000930.9592</v>
      </c>
      <c r="AH383" s="25" t="n">
        <v>41529348386.9573</v>
      </c>
      <c r="AI383" s="21" t="n">
        <v>34607790.32246441</v>
      </c>
      <c r="AJ383" s="21" t="n">
        <v>22988273.01686838</v>
      </c>
      <c r="AK383" s="21" t="n">
        <v>2065919778.391914</v>
      </c>
      <c r="AL383" s="25" t="n">
        <v>43537672102.00988</v>
      </c>
      <c r="AM383" s="25" t="n">
        <v>376473652868.9357</v>
      </c>
      <c r="AN383" s="21" t="n">
        <v>313728044.0574464</v>
      </c>
      <c r="AO383" s="21" t="n">
        <v>208394291.0726442</v>
      </c>
      <c r="AP383" s="21" t="n">
        <v>18728065710.50487</v>
      </c>
      <c r="AQ383" s="25" t="n">
        <v>394679596244.3105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 t="n">
        <v>196707163522.5416</v>
      </c>
      <c r="J384" s="19" t="n">
        <v>163922636.2687847</v>
      </c>
      <c r="K384" s="19" t="n">
        <v>108885839.8955791</v>
      </c>
      <c r="L384" s="19" t="n">
        <v>11630589388.5472</v>
      </c>
      <c r="M384" s="24" t="n">
        <v>208064944434.9244</v>
      </c>
      <c r="N384" s="24" t="n">
        <v>24193249408.00364</v>
      </c>
      <c r="O384" s="19" t="n">
        <v>20161041.17333637</v>
      </c>
      <c r="P384" s="19" t="n">
        <v>13391999.73412164</v>
      </c>
      <c r="Q384" s="19" t="n">
        <v>1430460105.266873</v>
      </c>
      <c r="R384" s="24" t="n">
        <v>25590156472.36305</v>
      </c>
      <c r="S384" s="24" t="n">
        <v>60840692863.9949</v>
      </c>
      <c r="T384" s="19" t="n">
        <v>50700577.38666242</v>
      </c>
      <c r="U384" s="19" t="n">
        <v>33677929.28174625</v>
      </c>
      <c r="V384" s="19" t="n">
        <v>3597292056.599401</v>
      </c>
      <c r="W384" s="24" t="n">
        <v>64353606413.9259</v>
      </c>
      <c r="X384" s="24" t="n">
        <v>56215817416.80124</v>
      </c>
      <c r="Y384" s="19" t="n">
        <v>46846514.51400103</v>
      </c>
      <c r="Z384" s="19" t="n">
        <v>31117862.64023619</v>
      </c>
      <c r="AA384" s="19" t="n">
        <v>3323839751.476212</v>
      </c>
      <c r="AB384" s="24" t="n">
        <v>59461692791.12321</v>
      </c>
      <c r="AC384" s="24" t="n">
        <v>13185000930.9592</v>
      </c>
      <c r="AD384" s="19" t="n">
        <v>10987500.77579934</v>
      </c>
      <c r="AE384" s="19" t="n">
        <v>7298462.723382041</v>
      </c>
      <c r="AF384" s="19" t="n">
        <v>779581837.1303291</v>
      </c>
      <c r="AG384" s="24" t="n">
        <v>13946296804.59035</v>
      </c>
      <c r="AH384" s="24" t="n">
        <v>43537672102.00988</v>
      </c>
      <c r="AI384" s="19" t="n">
        <v>36281393.41834157</v>
      </c>
      <c r="AJ384" s="19" t="n">
        <v>24099966.2088179</v>
      </c>
      <c r="AK384" s="19" t="n">
        <v>2574226469.864461</v>
      </c>
      <c r="AL384" s="24" t="n">
        <v>46051517212.24718</v>
      </c>
      <c r="AM384" s="24" t="n">
        <v>394679596244.3105</v>
      </c>
      <c r="AN384" s="19" t="n">
        <v>328899663.5369254</v>
      </c>
      <c r="AO384" s="19" t="n">
        <v>218472060.4838831</v>
      </c>
      <c r="AP384" s="19" t="n">
        <v>23335989608.88448</v>
      </c>
      <c r="AQ384" s="24" t="n">
        <v>417468214129.1741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 t="n">
        <v>208064944434.9244</v>
      </c>
      <c r="J385" s="21" t="n">
        <v>173387453.6957704</v>
      </c>
      <c r="K385" s="21" t="n">
        <v>115172858.0796071</v>
      </c>
      <c r="L385" s="21" t="n">
        <v>7636348234.050786</v>
      </c>
      <c r="M385" s="25" t="n">
        <v>215412732357.1998</v>
      </c>
      <c r="N385" s="25" t="n">
        <v>25590156472.36305</v>
      </c>
      <c r="O385" s="21" t="n">
        <v>21325130.39363588</v>
      </c>
      <c r="P385" s="21" t="n">
        <v>14165247.62319209</v>
      </c>
      <c r="Q385" s="21" t="n">
        <v>939203606.4390082</v>
      </c>
      <c r="R385" s="25" t="n">
        <v>26493869700.78523</v>
      </c>
      <c r="S385" s="25" t="n">
        <v>64353606413.9259</v>
      </c>
      <c r="T385" s="21" t="n">
        <v>53628005.34493825</v>
      </c>
      <c r="U385" s="21" t="n">
        <v>35622477.38825668</v>
      </c>
      <c r="V385" s="21" t="n">
        <v>2361890178.225019</v>
      </c>
      <c r="W385" s="25" t="n">
        <v>66626246109.41772</v>
      </c>
      <c r="X385" s="25" t="n">
        <v>59461692791.12321</v>
      </c>
      <c r="Y385" s="21" t="n">
        <v>49551410.65926935</v>
      </c>
      <c r="Z385" s="21" t="n">
        <v>32914593.67941323</v>
      </c>
      <c r="AA385" s="21" t="n">
        <v>2182348371.910299</v>
      </c>
      <c r="AB385" s="25" t="n">
        <v>61561575158.69483</v>
      </c>
      <c r="AC385" s="25" t="n">
        <v>13946296804.59035</v>
      </c>
      <c r="AD385" s="21" t="n">
        <v>11621914.00382529</v>
      </c>
      <c r="AE385" s="21" t="n">
        <v>7719872.595421942</v>
      </c>
      <c r="AF385" s="21" t="n">
        <v>511853542.9623552</v>
      </c>
      <c r="AG385" s="25" t="n">
        <v>14438808560.95346</v>
      </c>
      <c r="AH385" s="25" t="n">
        <v>46051517212.24718</v>
      </c>
      <c r="AI385" s="21" t="n">
        <v>38376264.34353932</v>
      </c>
      <c r="AJ385" s="21" t="n">
        <v>25491487.14427288</v>
      </c>
      <c r="AK385" s="21" t="n">
        <v>1690171417.84349</v>
      </c>
      <c r="AL385" s="25" t="n">
        <v>47677820878.60287</v>
      </c>
      <c r="AM385" s="25" t="n">
        <v>417468214129.1741</v>
      </c>
      <c r="AN385" s="21" t="n">
        <v>347890178.4409785</v>
      </c>
      <c r="AO385" s="21" t="n">
        <v>231086536.5101639</v>
      </c>
      <c r="AP385" s="21" t="n">
        <v>15321815351.43096</v>
      </c>
      <c r="AQ385" s="25" t="n">
        <v>432211052765.6539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 t="n">
        <v>215412732357.1998</v>
      </c>
      <c r="J386" s="19" t="n">
        <v>179510610.2976665</v>
      </c>
      <c r="K386" s="19" t="n">
        <v>119240173.3972816</v>
      </c>
      <c r="L386" s="19" t="n">
        <v>5234180342.31362</v>
      </c>
      <c r="M386" s="24" t="n">
        <v>220348161915.8185</v>
      </c>
      <c r="N386" s="24" t="n">
        <v>26493869700.78523</v>
      </c>
      <c r="O386" s="19" t="n">
        <v>22078224.75065436</v>
      </c>
      <c r="P386" s="19" t="n">
        <v>14665491.6007848</v>
      </c>
      <c r="Q386" s="19" t="n">
        <v>643758103.1641073</v>
      </c>
      <c r="R386" s="24" t="n">
        <v>27100884087.5979</v>
      </c>
      <c r="S386" s="24" t="n">
        <v>66626246109.41772</v>
      </c>
      <c r="T386" s="19" t="n">
        <v>55521871.7578481</v>
      </c>
      <c r="U386" s="19" t="n">
        <v>36880480.79592263</v>
      </c>
      <c r="V386" s="19" t="n">
        <v>1618909819.544878</v>
      </c>
      <c r="W386" s="24" t="n">
        <v>68152753576.40882</v>
      </c>
      <c r="X386" s="24" t="n">
        <v>61561575158.69483</v>
      </c>
      <c r="Y386" s="19" t="n">
        <v>51301312.6322457</v>
      </c>
      <c r="Z386" s="19" t="n">
        <v>34076968.50695097</v>
      </c>
      <c r="AA386" s="19" t="n">
        <v>1495846522.215719</v>
      </c>
      <c r="AB386" s="24" t="n">
        <v>62972043399.77135</v>
      </c>
      <c r="AC386" s="24" t="n">
        <v>14438808560.95346</v>
      </c>
      <c r="AD386" s="19" t="n">
        <v>12032340.46746122</v>
      </c>
      <c r="AE386" s="19" t="n">
        <v>7992498.946642233</v>
      </c>
      <c r="AF386" s="19" t="n">
        <v>350839651.4410872</v>
      </c>
      <c r="AG386" s="24" t="n">
        <v>14769623372.98044</v>
      </c>
      <c r="AH386" s="24" t="n">
        <v>47677820878.60287</v>
      </c>
      <c r="AI386" s="19" t="n">
        <v>39731517.39883573</v>
      </c>
      <c r="AJ386" s="19" t="n">
        <v>26391715.87750916</v>
      </c>
      <c r="AK386" s="19" t="n">
        <v>1158493790.391736</v>
      </c>
      <c r="AL386" s="24" t="n">
        <v>48770191435.71826</v>
      </c>
      <c r="AM386" s="24" t="n">
        <v>432211052765.6539</v>
      </c>
      <c r="AN386" s="19" t="n">
        <v>360175877.3047117</v>
      </c>
      <c r="AO386" s="19" t="n">
        <v>239247329.1250914</v>
      </c>
      <c r="AP386" s="19" t="n">
        <v>10502028229.07115</v>
      </c>
      <c r="AQ386" s="24" t="n">
        <v>442113657788.2953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 t="n">
        <v>220348161915.8185</v>
      </c>
      <c r="J387" s="21" t="n">
        <v>183623468.2631821</v>
      </c>
      <c r="K387" s="21" t="n">
        <v>121972145.0403686</v>
      </c>
      <c r="L387" s="21" t="n">
        <v>5571278579.554111</v>
      </c>
      <c r="M387" s="25" t="n">
        <v>225613844882.0691</v>
      </c>
      <c r="N387" s="25" t="n">
        <v>27100884087.5979</v>
      </c>
      <c r="O387" s="21" t="n">
        <v>22584070.07299825</v>
      </c>
      <c r="P387" s="21" t="n">
        <v>15001500.06205887</v>
      </c>
      <c r="Q387" s="21" t="n">
        <v>685218218.7110585</v>
      </c>
      <c r="R387" s="25" t="n">
        <v>27748516736.1739</v>
      </c>
      <c r="S387" s="25" t="n">
        <v>68152753576.40882</v>
      </c>
      <c r="T387" s="21" t="n">
        <v>56793961.31367402</v>
      </c>
      <c r="U387" s="21" t="n">
        <v>37725468.05858097</v>
      </c>
      <c r="V387" s="21" t="n">
        <v>1723172877.125862</v>
      </c>
      <c r="W387" s="25" t="n">
        <v>69781407024.16243</v>
      </c>
      <c r="X387" s="25" t="n">
        <v>62972043399.77135</v>
      </c>
      <c r="Y387" s="21" t="n">
        <v>52476702.8331428</v>
      </c>
      <c r="Z387" s="21" t="n">
        <v>34857723.0881539</v>
      </c>
      <c r="AA387" s="21" t="n">
        <v>1592183903.20828</v>
      </c>
      <c r="AB387" s="25" t="n">
        <v>64476892877.05833</v>
      </c>
      <c r="AC387" s="25" t="n">
        <v>14769623372.98044</v>
      </c>
      <c r="AD387" s="21" t="n">
        <v>12308019.4774837</v>
      </c>
      <c r="AE387" s="21" t="n">
        <v>8175619.113759729</v>
      </c>
      <c r="AF387" s="21" t="n">
        <v>373434866.034435</v>
      </c>
      <c r="AG387" s="25" t="n">
        <v>15122574600.42363</v>
      </c>
      <c r="AH387" s="25" t="n">
        <v>48770191435.71826</v>
      </c>
      <c r="AI387" s="21" t="n">
        <v>40641826.19643189</v>
      </c>
      <c r="AJ387" s="21" t="n">
        <v>26996389.76664833</v>
      </c>
      <c r="AK387" s="21" t="n">
        <v>1233104558.277982</v>
      </c>
      <c r="AL387" s="25" t="n">
        <v>49935657778.03316</v>
      </c>
      <c r="AM387" s="25" t="n">
        <v>442113657788.2953</v>
      </c>
      <c r="AN387" s="21" t="n">
        <v>368428048.1569127</v>
      </c>
      <c r="AO387" s="21" t="n">
        <v>244728845.1295704</v>
      </c>
      <c r="AP387" s="21" t="n">
        <v>11178393002.91173</v>
      </c>
      <c r="AQ387" s="25" t="n">
        <v>452678893897.9205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 t="n">
        <v>225613844882.0691</v>
      </c>
      <c r="J388" s="19" t="n">
        <v>188011537.4017242</v>
      </c>
      <c r="K388" s="19" t="n">
        <v>124886926.0891957</v>
      </c>
      <c r="L388" s="19" t="n">
        <v>9843627283.253948</v>
      </c>
      <c r="M388" s="24" t="n">
        <v>235144573701.8321</v>
      </c>
      <c r="N388" s="24" t="n">
        <v>27748516736.1739</v>
      </c>
      <c r="O388" s="19" t="n">
        <v>23123763.94681159</v>
      </c>
      <c r="P388" s="19" t="n">
        <v>15359992.47088218</v>
      </c>
      <c r="Q388" s="19" t="n">
        <v>1210679497.779965</v>
      </c>
      <c r="R388" s="24" t="n">
        <v>28920712477.53617</v>
      </c>
      <c r="S388" s="24" t="n">
        <v>69781407024.16243</v>
      </c>
      <c r="T388" s="19" t="n">
        <v>58151172.52013537</v>
      </c>
      <c r="U388" s="19" t="n">
        <v>38626997.49646115</v>
      </c>
      <c r="V388" s="19" t="n">
        <v>3044592243.024561</v>
      </c>
      <c r="W388" s="24" t="n">
        <v>72729221097.17039</v>
      </c>
      <c r="X388" s="24" t="n">
        <v>64476892877.05833</v>
      </c>
      <c r="Y388" s="19" t="n">
        <v>53730744.06421528</v>
      </c>
      <c r="Z388" s="19" t="n">
        <v>35690721.72590833</v>
      </c>
      <c r="AA388" s="19" t="n">
        <v>2813154051.764029</v>
      </c>
      <c r="AB388" s="24" t="n">
        <v>67200625463.03224</v>
      </c>
      <c r="AC388" s="24" t="n">
        <v>15122574600.42363</v>
      </c>
      <c r="AD388" s="19" t="n">
        <v>12602145.50035303</v>
      </c>
      <c r="AE388" s="19" t="n">
        <v>8370992.734903543</v>
      </c>
      <c r="AF388" s="19" t="n">
        <v>659804313.0180447</v>
      </c>
      <c r="AG388" s="24" t="n">
        <v>15761405775.20642</v>
      </c>
      <c r="AH388" s="24" t="n">
        <v>49935657778.03316</v>
      </c>
      <c r="AI388" s="19" t="n">
        <v>41613048.14836098</v>
      </c>
      <c r="AJ388" s="19" t="n">
        <v>27641525.30355746</v>
      </c>
      <c r="AK388" s="19" t="n">
        <v>2178713826.573973</v>
      </c>
      <c r="AL388" s="24" t="n">
        <v>52045117031.15522</v>
      </c>
      <c r="AM388" s="24" t="n">
        <v>452678893897.9205</v>
      </c>
      <c r="AN388" s="19" t="n">
        <v>377232411.5816005</v>
      </c>
      <c r="AO388" s="19" t="n">
        <v>250577155.8209084</v>
      </c>
      <c r="AP388" s="19" t="n">
        <v>19750571215.41452</v>
      </c>
      <c r="AQ388" s="24" t="n">
        <v>471801655545.9325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 t="n">
        <v>235144573701.8321</v>
      </c>
      <c r="J389" s="21" t="n">
        <v>195953811.4181934</v>
      </c>
      <c r="K389" s="21" t="n">
        <v>130162592.6880788</v>
      </c>
      <c r="L389" s="21" t="n">
        <v>13318408493.4338</v>
      </c>
      <c r="M389" s="25" t="n">
        <v>248136865791.1596</v>
      </c>
      <c r="N389" s="25" t="n">
        <v>28920712477.53617</v>
      </c>
      <c r="O389" s="21" t="n">
        <v>24100593.73128015</v>
      </c>
      <c r="P389" s="21" t="n">
        <v>16008853.01838139</v>
      </c>
      <c r="Q389" s="21" t="n">
        <v>1638046996.50602</v>
      </c>
      <c r="R389" s="25" t="n">
        <v>30518650027.29253</v>
      </c>
      <c r="S389" s="25" t="n">
        <v>72729221097.17039</v>
      </c>
      <c r="T389" s="21" t="n">
        <v>60607684.247642</v>
      </c>
      <c r="U389" s="21" t="n">
        <v>40258738.83951956</v>
      </c>
      <c r="V389" s="21" t="n">
        <v>4119327359.897447</v>
      </c>
      <c r="W389" s="25" t="n">
        <v>76747682033.98068</v>
      </c>
      <c r="X389" s="25" t="n">
        <v>67200625463.03224</v>
      </c>
      <c r="Y389" s="21" t="n">
        <v>56000521.21919354</v>
      </c>
      <c r="Z389" s="21" t="n">
        <v>37198424.36857666</v>
      </c>
      <c r="AA389" s="21" t="n">
        <v>3806191939.031501</v>
      </c>
      <c r="AB389" s="25" t="n">
        <v>70913618456.47597</v>
      </c>
      <c r="AC389" s="25" t="n">
        <v>15761405775.20642</v>
      </c>
      <c r="AD389" s="21" t="n">
        <v>13134504.81267202</v>
      </c>
      <c r="AE389" s="21" t="n">
        <v>8724613.151018854</v>
      </c>
      <c r="AF389" s="21" t="n">
        <v>892713947.1699839</v>
      </c>
      <c r="AG389" s="25" t="n">
        <v>16632260604.41272</v>
      </c>
      <c r="AH389" s="25" t="n">
        <v>52045117031.15522</v>
      </c>
      <c r="AI389" s="21" t="n">
        <v>43370930.85929602</v>
      </c>
      <c r="AJ389" s="21" t="n">
        <v>28809201.34742139</v>
      </c>
      <c r="AK389" s="21" t="n">
        <v>2947795553.166502</v>
      </c>
      <c r="AL389" s="25" t="n">
        <v>54920732452.11501</v>
      </c>
      <c r="AM389" s="25" t="n">
        <v>471801655545.9325</v>
      </c>
      <c r="AN389" s="21" t="n">
        <v>393168046.2882771</v>
      </c>
      <c r="AO389" s="21" t="n">
        <v>261162423.4129966</v>
      </c>
      <c r="AP389" s="21" t="n">
        <v>26722484289.20525</v>
      </c>
      <c r="AQ389" s="25" t="n">
        <v>497869809365.4365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 t="n">
        <v>248136865791.1596</v>
      </c>
      <c r="J390" s="19" t="n">
        <v>206780721.492633</v>
      </c>
      <c r="K390" s="19" t="n">
        <v>137354382.8139783</v>
      </c>
      <c r="L390" s="19" t="n">
        <v>7128966932.698302</v>
      </c>
      <c r="M390" s="24" t="n">
        <v>254921697619.5513</v>
      </c>
      <c r="N390" s="24" t="n">
        <v>30518650027.29253</v>
      </c>
      <c r="O390" s="19" t="n">
        <v>25432208.35607711</v>
      </c>
      <c r="P390" s="19" t="n">
        <v>16893379.89117098</v>
      </c>
      <c r="Q390" s="19" t="n">
        <v>876800173.0878309</v>
      </c>
      <c r="R390" s="24" t="n">
        <v>31353124612.13311</v>
      </c>
      <c r="S390" s="24" t="n">
        <v>76747682033.98068</v>
      </c>
      <c r="T390" s="19" t="n">
        <v>63956401.69498391</v>
      </c>
      <c r="U390" s="19" t="n">
        <v>42483129.07705162</v>
      </c>
      <c r="V390" s="19" t="n">
        <v>2204959289.854078</v>
      </c>
      <c r="W390" s="24" t="n">
        <v>78846201793.06273</v>
      </c>
      <c r="X390" s="24" t="n">
        <v>70913618456.47597</v>
      </c>
      <c r="Y390" s="19" t="n">
        <v>59094682.04706331</v>
      </c>
      <c r="Z390" s="19" t="n">
        <v>39253725.0163906</v>
      </c>
      <c r="AA390" s="19" t="n">
        <v>2037346766.037101</v>
      </c>
      <c r="AB390" s="24" t="n">
        <v>72852616815.44962</v>
      </c>
      <c r="AC390" s="24" t="n">
        <v>16632260604.41272</v>
      </c>
      <c r="AD390" s="19" t="n">
        <v>13860217.17034393</v>
      </c>
      <c r="AE390" s="19" t="n">
        <v>9206668.597334016</v>
      </c>
      <c r="AF390" s="19" t="n">
        <v>477844497.1762969</v>
      </c>
      <c r="AG390" s="24" t="n">
        <v>17087038215.82133</v>
      </c>
      <c r="AH390" s="24" t="n">
        <v>54920732452.11501</v>
      </c>
      <c r="AI390" s="19" t="n">
        <v>45767277.04342917</v>
      </c>
      <c r="AJ390" s="19" t="n">
        <v>30400977.64433294</v>
      </c>
      <c r="AK390" s="19" t="n">
        <v>1577871487.666092</v>
      </c>
      <c r="AL390" s="24" t="n">
        <v>56422435685.09334</v>
      </c>
      <c r="AM390" s="24" t="n">
        <v>497869809365.4365</v>
      </c>
      <c r="AN390" s="19" t="n">
        <v>414891507.8045304</v>
      </c>
      <c r="AO390" s="19" t="n">
        <v>275592263.0402584</v>
      </c>
      <c r="AP390" s="19" t="n">
        <v>14303789146.5197</v>
      </c>
      <c r="AQ390" s="24" t="n">
        <v>511483114741.1115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 t="n">
        <v>254921697619.5513</v>
      </c>
      <c r="J391" s="21" t="n">
        <v>212434748.0162928</v>
      </c>
      <c r="K391" s="21" t="n">
        <v>141110077.8225133</v>
      </c>
      <c r="L391" s="21" t="n">
        <v>14803860294.98099</v>
      </c>
      <c r="M391" s="25" t="n">
        <v>269372013088.6935</v>
      </c>
      <c r="N391" s="25" t="n">
        <v>31353124612.13311</v>
      </c>
      <c r="O391" s="21" t="n">
        <v>26127603.84344426</v>
      </c>
      <c r="P391" s="21" t="n">
        <v>17355297.31407901</v>
      </c>
      <c r="Q391" s="21" t="n">
        <v>1820744490.96855</v>
      </c>
      <c r="R391" s="25" t="n">
        <v>33130386201.94414</v>
      </c>
      <c r="S391" s="25" t="n">
        <v>78846201793.06273</v>
      </c>
      <c r="T391" s="21" t="n">
        <v>65705168.16088561</v>
      </c>
      <c r="U391" s="21" t="n">
        <v>43644749.64243042</v>
      </c>
      <c r="V391" s="21" t="n">
        <v>4578771313.049891</v>
      </c>
      <c r="W391" s="25" t="n">
        <v>83315623188.30931</v>
      </c>
      <c r="X391" s="25" t="n">
        <v>72852616815.44962</v>
      </c>
      <c r="Y391" s="21" t="n">
        <v>60710514.01287469</v>
      </c>
      <c r="Z391" s="21" t="n">
        <v>40327043.6545743</v>
      </c>
      <c r="AA391" s="21" t="n">
        <v>4230710730.121009</v>
      </c>
      <c r="AB391" s="25" t="n">
        <v>76982289987.90317</v>
      </c>
      <c r="AC391" s="25" t="n">
        <v>17087038215.82133</v>
      </c>
      <c r="AD391" s="21" t="n">
        <v>14239198.51318445</v>
      </c>
      <c r="AE391" s="21" t="n">
        <v>9458407.483184293</v>
      </c>
      <c r="AF391" s="21" t="n">
        <v>992281665.1705049</v>
      </c>
      <c r="AG391" s="25" t="n">
        <v>18055622274.99547</v>
      </c>
      <c r="AH391" s="25" t="n">
        <v>56422435685.09334</v>
      </c>
      <c r="AI391" s="21" t="n">
        <v>47018696.40424445</v>
      </c>
      <c r="AJ391" s="21" t="n">
        <v>31232234.7011102</v>
      </c>
      <c r="AK391" s="21" t="n">
        <v>3276574191.935754</v>
      </c>
      <c r="AL391" s="25" t="n">
        <v>59620758945.92374</v>
      </c>
      <c r="AM391" s="25" t="n">
        <v>511483114741.1115</v>
      </c>
      <c r="AN391" s="21" t="n">
        <v>426235928.9509262</v>
      </c>
      <c r="AO391" s="21" t="n">
        <v>283127810.6178915</v>
      </c>
      <c r="AP391" s="21" t="n">
        <v>29702942686.2267</v>
      </c>
      <c r="AQ391" s="25" t="n">
        <v>540476693687.7693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 t="n">
        <v>269372013088.6935</v>
      </c>
      <c r="J392" s="19" t="n">
        <v>224476677.5739112</v>
      </c>
      <c r="K392" s="19" t="n">
        <v>149108946.3356741</v>
      </c>
      <c r="L392" s="19" t="n">
        <v>9619572385.190912</v>
      </c>
      <c r="M392" s="24" t="n">
        <v>278617999849.9748</v>
      </c>
      <c r="N392" s="24" t="n">
        <v>33130386201.94414</v>
      </c>
      <c r="O392" s="19" t="n">
        <v>27608655.16828679</v>
      </c>
      <c r="P392" s="19" t="n">
        <v>18339087.72341278</v>
      </c>
      <c r="Q392" s="19" t="n">
        <v>1183122717.778393</v>
      </c>
      <c r="R392" s="24" t="n">
        <v>34267561176.83084</v>
      </c>
      <c r="S392" s="24" t="n">
        <v>83315623188.30931</v>
      </c>
      <c r="T392" s="19" t="n">
        <v>69429685.99025777</v>
      </c>
      <c r="U392" s="19" t="n">
        <v>46118765.80815551</v>
      </c>
      <c r="V392" s="19" t="n">
        <v>2975293011.651299</v>
      </c>
      <c r="W392" s="24" t="n">
        <v>86175367748.1622</v>
      </c>
      <c r="X392" s="24" t="n">
        <v>76982289987.90317</v>
      </c>
      <c r="Y392" s="19" t="n">
        <v>64151908.32325264</v>
      </c>
      <c r="Z392" s="19" t="n">
        <v>42612994.62770862</v>
      </c>
      <c r="AA392" s="19" t="n">
        <v>2749122681.399581</v>
      </c>
      <c r="AB392" s="24" t="n">
        <v>79624647766.35178</v>
      </c>
      <c r="AC392" s="24" t="n">
        <v>18055622274.99547</v>
      </c>
      <c r="AD392" s="19" t="n">
        <v>15046351.89582956</v>
      </c>
      <c r="AE392" s="19" t="n">
        <v>9994560.243988855</v>
      </c>
      <c r="AF392" s="19" t="n">
        <v>644786232.4019387</v>
      </c>
      <c r="AG392" s="24" t="n">
        <v>18675367595.2576</v>
      </c>
      <c r="AH392" s="24" t="n">
        <v>59620758945.92374</v>
      </c>
      <c r="AI392" s="19" t="n">
        <v>49683965.78826978</v>
      </c>
      <c r="AJ392" s="19" t="n">
        <v>33002643.60883246</v>
      </c>
      <c r="AK392" s="19" t="n">
        <v>2129123214.264626</v>
      </c>
      <c r="AL392" s="24" t="n">
        <v>61667195550.79126</v>
      </c>
      <c r="AM392" s="24" t="n">
        <v>540476693687.7693</v>
      </c>
      <c r="AN392" s="19" t="n">
        <v>450397244.7398078</v>
      </c>
      <c r="AO392" s="19" t="n">
        <v>299176998.3477723</v>
      </c>
      <c r="AP392" s="19" t="n">
        <v>19301020242.68675</v>
      </c>
      <c r="AQ392" s="24" t="n">
        <v>559028139687.3684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 t="n">
        <v>278617999849.9748</v>
      </c>
      <c r="J393" s="21" t="n">
        <v>232181666.5416457</v>
      </c>
      <c r="K393" s="21" t="n">
        <v>154226996.0098038</v>
      </c>
      <c r="L393" s="21" t="n">
        <v>11738309595.27806</v>
      </c>
      <c r="M393" s="25" t="n">
        <v>289969900782.7014</v>
      </c>
      <c r="N393" s="25" t="n">
        <v>34267561176.83084</v>
      </c>
      <c r="O393" s="21" t="n">
        <v>28556300.98069237</v>
      </c>
      <c r="P393" s="21" t="n">
        <v>18968562.77674292</v>
      </c>
      <c r="Q393" s="21" t="n">
        <v>1443708742.383349</v>
      </c>
      <c r="R393" s="25" t="n">
        <v>35663745055.45675</v>
      </c>
      <c r="S393" s="25" t="n">
        <v>86175367748.1622</v>
      </c>
      <c r="T393" s="21" t="n">
        <v>71812806.45680183</v>
      </c>
      <c r="U393" s="21" t="n">
        <v>47701756.90370202</v>
      </c>
      <c r="V393" s="21" t="n">
        <v>3630609460.478328</v>
      </c>
      <c r="W393" s="25" t="n">
        <v>89686462645.28003</v>
      </c>
      <c r="X393" s="25" t="n">
        <v>79624647766.35178</v>
      </c>
      <c r="Y393" s="21" t="n">
        <v>66353873.13862649</v>
      </c>
      <c r="Z393" s="21" t="n">
        <v>44075652.8291626</v>
      </c>
      <c r="AA393" s="21" t="n">
        <v>3354624494.467985</v>
      </c>
      <c r="AB393" s="25" t="n">
        <v>82868842734.85197</v>
      </c>
      <c r="AC393" s="25" t="n">
        <v>18675367595.2576</v>
      </c>
      <c r="AD393" s="21" t="n">
        <v>15562806.32938133</v>
      </c>
      <c r="AE393" s="21" t="n">
        <v>10337615.82218778</v>
      </c>
      <c r="AF393" s="21" t="n">
        <v>786802169.1233063</v>
      </c>
      <c r="AG393" s="25" t="n">
        <v>19436269342.22933</v>
      </c>
      <c r="AH393" s="25" t="n">
        <v>61667195550.79126</v>
      </c>
      <c r="AI393" s="21" t="n">
        <v>51389329.62565938</v>
      </c>
      <c r="AJ393" s="21" t="n">
        <v>34135433.91765373</v>
      </c>
      <c r="AK393" s="21" t="n">
        <v>2598068443.666659</v>
      </c>
      <c r="AL393" s="25" t="n">
        <v>64179739230.9146</v>
      </c>
      <c r="AM393" s="25" t="n">
        <v>559028139687.3684</v>
      </c>
      <c r="AN393" s="21" t="n">
        <v>465856783.0728071</v>
      </c>
      <c r="AO393" s="21" t="n">
        <v>309446018.2592528</v>
      </c>
      <c r="AP393" s="21" t="n">
        <v>23552122905.39769</v>
      </c>
      <c r="AQ393" s="25" t="n">
        <v>581804959791.4341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 t="n">
        <v>289969900782.7014</v>
      </c>
      <c r="J394" s="19" t="n">
        <v>241641583.9855845</v>
      </c>
      <c r="K394" s="19" t="n">
        <v>160510759.3732549</v>
      </c>
      <c r="L394" s="19" t="n">
        <v>13155328900.17129</v>
      </c>
      <c r="M394" s="24" t="n">
        <v>302723077339.5139</v>
      </c>
      <c r="N394" s="24" t="n">
        <v>35663745055.45675</v>
      </c>
      <c r="O394" s="19" t="n">
        <v>29719787.54621396</v>
      </c>
      <c r="P394" s="19" t="n">
        <v>19741410.35153614</v>
      </c>
      <c r="Q394" s="19" t="n">
        <v>1617989642.200754</v>
      </c>
      <c r="R394" s="24" t="n">
        <v>37232273499.75975</v>
      </c>
      <c r="S394" s="24" t="n">
        <v>89686462645.28003</v>
      </c>
      <c r="T394" s="19" t="n">
        <v>74738718.87106669</v>
      </c>
      <c r="U394" s="19" t="n">
        <v>49645298.30798823</v>
      </c>
      <c r="V394" s="19" t="n">
        <v>4068887532.143375</v>
      </c>
      <c r="W394" s="24" t="n">
        <v>93630966160.24435</v>
      </c>
      <c r="X394" s="24" t="n">
        <v>82868842734.85197</v>
      </c>
      <c r="Y394" s="19" t="n">
        <v>69057368.94570999</v>
      </c>
      <c r="Z394" s="19" t="n">
        <v>45871453.69174621</v>
      </c>
      <c r="AA394" s="19" t="n">
        <v>3759586352.965995</v>
      </c>
      <c r="AB394" s="24" t="n">
        <v>86513500265.18051</v>
      </c>
      <c r="AC394" s="24" t="n">
        <v>19436269342.22933</v>
      </c>
      <c r="AD394" s="19" t="n">
        <v>16196891.11852445</v>
      </c>
      <c r="AE394" s="19" t="n">
        <v>10758807.52824142</v>
      </c>
      <c r="AF394" s="19" t="n">
        <v>881782954.3658497</v>
      </c>
      <c r="AG394" s="24" t="n">
        <v>20291096597.94842</v>
      </c>
      <c r="AH394" s="24" t="n">
        <v>64179739230.9146</v>
      </c>
      <c r="AI394" s="19" t="n">
        <v>53483116.02576217</v>
      </c>
      <c r="AJ394" s="19" t="n">
        <v>35526234.45580093</v>
      </c>
      <c r="AK394" s="19" t="n">
        <v>2911700752.495054</v>
      </c>
      <c r="AL394" s="24" t="n">
        <v>67002430632.92809</v>
      </c>
      <c r="AM394" s="24" t="n">
        <v>581804959791.4341</v>
      </c>
      <c r="AN394" s="19" t="n">
        <v>484837466.4928617</v>
      </c>
      <c r="AO394" s="19" t="n">
        <v>322053963.7085679</v>
      </c>
      <c r="AP394" s="19" t="n">
        <v>26395276134.34232</v>
      </c>
      <c r="AQ394" s="24" t="n">
        <v>607393344495.575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 t="n">
        <v>302723077339.5139</v>
      </c>
      <c r="J395" s="21" t="n">
        <v>252269231.1162616</v>
      </c>
      <c r="K395" s="21" t="n">
        <v>167570188.8106887</v>
      </c>
      <c r="L395" s="21" t="n">
        <v>12336365596.58164</v>
      </c>
      <c r="M395" s="25" t="n">
        <v>314639603516.1686</v>
      </c>
      <c r="N395" s="25" t="n">
        <v>37232273499.75975</v>
      </c>
      <c r="O395" s="21" t="n">
        <v>31026894.58313313</v>
      </c>
      <c r="P395" s="21" t="n">
        <v>20609658.02487757</v>
      </c>
      <c r="Q395" s="21" t="n">
        <v>1517264365.576669</v>
      </c>
      <c r="R395" s="25" t="n">
        <v>38697901312.72841</v>
      </c>
      <c r="S395" s="25" t="n">
        <v>93630966160.24435</v>
      </c>
      <c r="T395" s="21" t="n">
        <v>78025805.13353696</v>
      </c>
      <c r="U395" s="21" t="n">
        <v>51828749.94496299</v>
      </c>
      <c r="V395" s="21" t="n">
        <v>3815585649.648025</v>
      </c>
      <c r="W395" s="25" t="n">
        <v>97316697254.81389</v>
      </c>
      <c r="X395" s="25" t="n">
        <v>86513500265.18051</v>
      </c>
      <c r="Y395" s="21" t="n">
        <v>72094583.5543171</v>
      </c>
      <c r="Z395" s="21" t="n">
        <v>47888927.73394647</v>
      </c>
      <c r="AA395" s="21" t="n">
        <v>3525539505.249743</v>
      </c>
      <c r="AB395" s="25" t="n">
        <v>89919056259.14198</v>
      </c>
      <c r="AC395" s="25" t="n">
        <v>20291096597.94842</v>
      </c>
      <c r="AD395" s="21" t="n">
        <v>16909247.16495702</v>
      </c>
      <c r="AE395" s="21" t="n">
        <v>11231991.02617712</v>
      </c>
      <c r="AF395" s="21" t="n">
        <v>826889010.86687</v>
      </c>
      <c r="AG395" s="25" t="n">
        <v>21089844370.62416</v>
      </c>
      <c r="AH395" s="25" t="n">
        <v>67002430632.92809</v>
      </c>
      <c r="AI395" s="21" t="n">
        <v>55835358.86077341</v>
      </c>
      <c r="AJ395" s="21" t="n">
        <v>37088715.04151203</v>
      </c>
      <c r="AK395" s="21" t="n">
        <v>2730437624.417977</v>
      </c>
      <c r="AL395" s="25" t="n">
        <v>69639944183.44379</v>
      </c>
      <c r="AM395" s="25" t="n">
        <v>607393344495.575</v>
      </c>
      <c r="AN395" s="21" t="n">
        <v>506161120.4129792</v>
      </c>
      <c r="AO395" s="21" t="n">
        <v>336218230.5821649</v>
      </c>
      <c r="AP395" s="21" t="n">
        <v>24752081752.34092</v>
      </c>
      <c r="AQ395" s="25" t="n">
        <v>631303046896.9209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 t="n">
        <v>314639603516.1686</v>
      </c>
      <c r="J396" s="19" t="n">
        <v>262199669.5968072</v>
      </c>
      <c r="K396" s="19" t="n">
        <v>174166496.429318</v>
      </c>
      <c r="L396" s="19" t="n">
        <v>3985547884.510477</v>
      </c>
      <c r="M396" s="24" t="n">
        <v>318188785234.653</v>
      </c>
      <c r="N396" s="24" t="n">
        <v>38697901312.72841</v>
      </c>
      <c r="O396" s="19" t="n">
        <v>32248251.09394034</v>
      </c>
      <c r="P396" s="19" t="n">
        <v>21420945.79158427</v>
      </c>
      <c r="Q396" s="19" t="n">
        <v>490187303.1505212</v>
      </c>
      <c r="R396" s="24" t="n">
        <v>39134419418.9934</v>
      </c>
      <c r="S396" s="24" t="n">
        <v>97316697254.81389</v>
      </c>
      <c r="T396" s="19" t="n">
        <v>81097247.71234491</v>
      </c>
      <c r="U396" s="19" t="n">
        <v>53868959.96413428</v>
      </c>
      <c r="V396" s="19" t="n">
        <v>1232713086.773067</v>
      </c>
      <c r="W396" s="24" t="n">
        <v>98414444133.91048</v>
      </c>
      <c r="X396" s="24" t="n">
        <v>89919056259.14198</v>
      </c>
      <c r="Y396" s="19" t="n">
        <v>74932546.88261832</v>
      </c>
      <c r="Z396" s="19" t="n">
        <v>49774048.83514839</v>
      </c>
      <c r="AA396" s="19" t="n">
        <v>1139006979.559666</v>
      </c>
      <c r="AB396" s="24" t="n">
        <v>90933356642.98389</v>
      </c>
      <c r="AC396" s="24" t="n">
        <v>21089844370.62416</v>
      </c>
      <c r="AD396" s="19" t="n">
        <v>17574870.30885347</v>
      </c>
      <c r="AE396" s="19" t="n">
        <v>11674132.12838743</v>
      </c>
      <c r="AF396" s="19" t="n">
        <v>267145596.6657323</v>
      </c>
      <c r="AG396" s="24" t="n">
        <v>21327740964.85265</v>
      </c>
      <c r="AH396" s="24" t="n">
        <v>69639944183.44379</v>
      </c>
      <c r="AI396" s="19" t="n">
        <v>58033286.81953649</v>
      </c>
      <c r="AJ396" s="19" t="n">
        <v>38548691.75532886</v>
      </c>
      <c r="AK396" s="19" t="n">
        <v>882130949.5563526</v>
      </c>
      <c r="AL396" s="24" t="n">
        <v>70425493154.42528</v>
      </c>
      <c r="AM396" s="24" t="n">
        <v>631303046896.9209</v>
      </c>
      <c r="AN396" s="19" t="n">
        <v>526085872.4141006</v>
      </c>
      <c r="AO396" s="19" t="n">
        <v>349453274.9039013</v>
      </c>
      <c r="AP396" s="19" t="n">
        <v>7996731800.215816</v>
      </c>
      <c r="AQ396" s="24" t="n">
        <v>638424239549.8186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 t="n">
        <v>318188785234.653</v>
      </c>
      <c r="J397" s="21" t="n">
        <v>265157321.0288775</v>
      </c>
      <c r="K397" s="21" t="n">
        <v>176131120.5204733</v>
      </c>
      <c r="L397" s="21" t="n">
        <v>14936934693.9903</v>
      </c>
      <c r="M397" s="25" t="n">
        <v>332684431487.0939</v>
      </c>
      <c r="N397" s="25" t="n">
        <v>39134419418.9934</v>
      </c>
      <c r="O397" s="21" t="n">
        <v>32612016.1824945</v>
      </c>
      <c r="P397" s="21" t="n">
        <v>21662577.25929055</v>
      </c>
      <c r="Q397" s="21" t="n">
        <v>1837111470.530448</v>
      </c>
      <c r="R397" s="25" t="n">
        <v>40917256296.08206</v>
      </c>
      <c r="S397" s="25" t="n">
        <v>98414444133.91048</v>
      </c>
      <c r="T397" s="21" t="n">
        <v>82012036.77825874</v>
      </c>
      <c r="U397" s="21" t="n">
        <v>54476609.87775568</v>
      </c>
      <c r="V397" s="21" t="n">
        <v>4619930661.25664</v>
      </c>
      <c r="W397" s="25" t="n">
        <v>102897886148.5111</v>
      </c>
      <c r="X397" s="25" t="n">
        <v>90933356642.98389</v>
      </c>
      <c r="Y397" s="21" t="n">
        <v>75777797.20248657</v>
      </c>
      <c r="Z397" s="21" t="n">
        <v>50335507.5396677</v>
      </c>
      <c r="AA397" s="21" t="n">
        <v>4268741302.996919</v>
      </c>
      <c r="AB397" s="25" t="n">
        <v>95075984641.23865</v>
      </c>
      <c r="AC397" s="25" t="n">
        <v>21327740964.85265</v>
      </c>
      <c r="AD397" s="21" t="n">
        <v>17773117.47071054</v>
      </c>
      <c r="AE397" s="21" t="n">
        <v>11805818.08230491</v>
      </c>
      <c r="AF397" s="21" t="n">
        <v>1001201452.550915</v>
      </c>
      <c r="AG397" s="25" t="n">
        <v>22299363481.85055</v>
      </c>
      <c r="AH397" s="25" t="n">
        <v>70425493154.42528</v>
      </c>
      <c r="AI397" s="21" t="n">
        <v>58687910.96202107</v>
      </c>
      <c r="AJ397" s="21" t="n">
        <v>38983526.75550223</v>
      </c>
      <c r="AK397" s="21" t="n">
        <v>3306027870.416432</v>
      </c>
      <c r="AL397" s="25" t="n">
        <v>73633849587.12418</v>
      </c>
      <c r="AM397" s="25" t="n">
        <v>638424239549.8186</v>
      </c>
      <c r="AN397" s="21" t="n">
        <v>532020199.6248488</v>
      </c>
      <c r="AO397" s="21" t="n">
        <v>353395160.0349944</v>
      </c>
      <c r="AP397" s="21" t="n">
        <v>29969947451.74165</v>
      </c>
      <c r="AQ397" s="25" t="n">
        <v>667508771641.9005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 t="n">
        <v>332684431487.0939</v>
      </c>
      <c r="J398" s="19" t="n">
        <v>277237026.2392449</v>
      </c>
      <c r="K398" s="19" t="n">
        <v>184155081.5636885</v>
      </c>
      <c r="L398" s="19" t="n">
        <v>12178419021.86684</v>
      </c>
      <c r="M398" s="24" t="n">
        <v>344401458401.1578</v>
      </c>
      <c r="N398" s="24" t="n">
        <v>40917256296.08206</v>
      </c>
      <c r="O398" s="19" t="n">
        <v>34097713.58006839</v>
      </c>
      <c r="P398" s="19" t="n">
        <v>22649453.82891972</v>
      </c>
      <c r="Q398" s="19" t="n">
        <v>1497838327.364405</v>
      </c>
      <c r="R398" s="24" t="n">
        <v>42358347456.03748</v>
      </c>
      <c r="S398" s="24" t="n">
        <v>102897886148.5111</v>
      </c>
      <c r="T398" s="19" t="n">
        <v>85748238.45709258</v>
      </c>
      <c r="U398" s="19" t="n">
        <v>56958387.0567905</v>
      </c>
      <c r="V398" s="19" t="n">
        <v>3766733442.79872</v>
      </c>
      <c r="W398" s="24" t="n">
        <v>106521912965.7959</v>
      </c>
      <c r="X398" s="24" t="n">
        <v>95075984641.23865</v>
      </c>
      <c r="Y398" s="19" t="n">
        <v>79229987.20103221</v>
      </c>
      <c r="Z398" s="19" t="n">
        <v>52628629.56373277</v>
      </c>
      <c r="AA398" s="19" t="n">
        <v>3480400855.254626</v>
      </c>
      <c r="AB398" s="24" t="n">
        <v>98424526879.7285</v>
      </c>
      <c r="AC398" s="24" t="n">
        <v>22299363481.85055</v>
      </c>
      <c r="AD398" s="19" t="n">
        <v>18582802.90154212</v>
      </c>
      <c r="AE398" s="19" t="n">
        <v>12343652.7596508</v>
      </c>
      <c r="AF398" s="19" t="n">
        <v>816302076.9832051</v>
      </c>
      <c r="AG398" s="24" t="n">
        <v>23084739103.17256</v>
      </c>
      <c r="AH398" s="24" t="n">
        <v>73633849587.12418</v>
      </c>
      <c r="AI398" s="19" t="n">
        <v>61361541.32260349</v>
      </c>
      <c r="AJ398" s="19" t="n">
        <v>40759489.45357028</v>
      </c>
      <c r="AK398" s="19" t="n">
        <v>2695478927.152331</v>
      </c>
      <c r="AL398" s="24" t="n">
        <v>76227207483.50034</v>
      </c>
      <c r="AM398" s="24" t="n">
        <v>667508771641.9005</v>
      </c>
      <c r="AN398" s="19" t="n">
        <v>556257309.7015837</v>
      </c>
      <c r="AO398" s="19" t="n">
        <v>369494694.2263526</v>
      </c>
      <c r="AP398" s="19" t="n">
        <v>24435172651.42013</v>
      </c>
      <c r="AQ398" s="24" t="n">
        <v>691018192289.3927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 t="n">
        <v>344401458401.1578</v>
      </c>
      <c r="J399" s="21" t="n">
        <v>287001215.3342982</v>
      </c>
      <c r="K399" s="21" t="n">
        <v>190640957.7960036</v>
      </c>
      <c r="L399" s="21" t="n">
        <v>20121614444.77463</v>
      </c>
      <c r="M399" s="25" t="n">
        <v>364045430672.8021</v>
      </c>
      <c r="N399" s="25" t="n">
        <v>42358347456.03748</v>
      </c>
      <c r="O399" s="21" t="n">
        <v>35298622.88003124</v>
      </c>
      <c r="P399" s="21" t="n">
        <v>23447159.50728897</v>
      </c>
      <c r="Q399" s="21" t="n">
        <v>2474781436.713338</v>
      </c>
      <c r="R399" s="25" t="n">
        <v>44774383110.3635</v>
      </c>
      <c r="S399" s="25" t="n">
        <v>106521912965.7959</v>
      </c>
      <c r="T399" s="21" t="n">
        <v>88768260.80482994</v>
      </c>
      <c r="U399" s="21" t="n">
        <v>58964441.11571623</v>
      </c>
      <c r="V399" s="21" t="n">
        <v>6223530157.415789</v>
      </c>
      <c r="W399" s="25" t="n">
        <v>112597710421.2912</v>
      </c>
      <c r="X399" s="25" t="n">
        <v>98424526879.7285</v>
      </c>
      <c r="Y399" s="21" t="n">
        <v>82020439.06644042</v>
      </c>
      <c r="Z399" s="21" t="n">
        <v>54482191.10940576</v>
      </c>
      <c r="AA399" s="21" t="n">
        <v>5750441333.719379</v>
      </c>
      <c r="AB399" s="25" t="n">
        <v>104038465583.272</v>
      </c>
      <c r="AC399" s="25" t="n">
        <v>23084739103.17256</v>
      </c>
      <c r="AD399" s="21" t="n">
        <v>19237282.58597713</v>
      </c>
      <c r="AE399" s="21" t="n">
        <v>12778391.80336316</v>
      </c>
      <c r="AF399" s="21" t="n">
        <v>1348723149.863087</v>
      </c>
      <c r="AG399" s="25" t="n">
        <v>24401446578.64631</v>
      </c>
      <c r="AH399" s="25" t="n">
        <v>76227207483.50034</v>
      </c>
      <c r="AI399" s="21" t="n">
        <v>63522672.90291695</v>
      </c>
      <c r="AJ399" s="21" t="n">
        <v>42195024.12165261</v>
      </c>
      <c r="AK399" s="21" t="n">
        <v>4453565575.20221</v>
      </c>
      <c r="AL399" s="25" t="n">
        <v>80575055361.67796</v>
      </c>
      <c r="AM399" s="25" t="n">
        <v>691018192289.3927</v>
      </c>
      <c r="AN399" s="21" t="n">
        <v>575848493.5744939</v>
      </c>
      <c r="AO399" s="21" t="n">
        <v>382508165.4534302</v>
      </c>
      <c r="AP399" s="21" t="n">
        <v>40372656097.68844</v>
      </c>
      <c r="AQ399" s="25" t="n">
        <v>730432491728.0531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 t="n">
        <v>364045430672.8021</v>
      </c>
      <c r="J400" s="19" t="n">
        <v>303371192.2273351</v>
      </c>
      <c r="K400" s="19" t="n">
        <v>201514737.7915061</v>
      </c>
      <c r="L400" s="19" t="n">
        <v>4973580769.817139</v>
      </c>
      <c r="M400" s="24" t="n">
        <v>368514125512.6004</v>
      </c>
      <c r="N400" s="24" t="n">
        <v>44774383110.3635</v>
      </c>
      <c r="O400" s="19" t="n">
        <v>37311985.92530292</v>
      </c>
      <c r="P400" s="19" t="n">
        <v>24784538.71975882</v>
      </c>
      <c r="Q400" s="19" t="n">
        <v>611706649.9271029</v>
      </c>
      <c r="R400" s="24" t="n">
        <v>45323993235.64555</v>
      </c>
      <c r="S400" s="24" t="n">
        <v>112597710421.2912</v>
      </c>
      <c r="T400" s="19" t="n">
        <v>93831425.35107598</v>
      </c>
      <c r="U400" s="19" t="n">
        <v>62327655.23120628</v>
      </c>
      <c r="V400" s="19" t="n">
        <v>1538307475.091216</v>
      </c>
      <c r="W400" s="24" t="n">
        <v>113979858815.8001</v>
      </c>
      <c r="X400" s="24" t="n">
        <v>104038465583.272</v>
      </c>
      <c r="Y400" s="19" t="n">
        <v>86698721.31939337</v>
      </c>
      <c r="Z400" s="19" t="n">
        <v>57589746.62447263</v>
      </c>
      <c r="AA400" s="19" t="n">
        <v>1421371257.949708</v>
      </c>
      <c r="AB400" s="24" t="n">
        <v>105315548373.2779</v>
      </c>
      <c r="AC400" s="24" t="n">
        <v>24401446578.64631</v>
      </c>
      <c r="AD400" s="19" t="n">
        <v>20334538.81553859</v>
      </c>
      <c r="AE400" s="19" t="n">
        <v>13507245.78507042</v>
      </c>
      <c r="AF400" s="19" t="n">
        <v>333372033.3612815</v>
      </c>
      <c r="AG400" s="24" t="n">
        <v>24700976827.40697</v>
      </c>
      <c r="AH400" s="24" t="n">
        <v>80575055361.67796</v>
      </c>
      <c r="AI400" s="19" t="n">
        <v>67145879.46806498</v>
      </c>
      <c r="AJ400" s="19" t="n">
        <v>44601744.13873695</v>
      </c>
      <c r="AK400" s="19" t="n">
        <v>1100814656.932137</v>
      </c>
      <c r="AL400" s="24" t="n">
        <v>81564122395.00331</v>
      </c>
      <c r="AM400" s="24" t="n">
        <v>730432491728.0531</v>
      </c>
      <c r="AN400" s="19" t="n">
        <v>608693743.106711</v>
      </c>
      <c r="AO400" s="19" t="n">
        <v>404325668.2907512</v>
      </c>
      <c r="AP400" s="19" t="n">
        <v>9979152843.078585</v>
      </c>
      <c r="AQ400" s="24" t="n">
        <v>739398625159.7343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 t="n">
        <v>368514125512.6004</v>
      </c>
      <c r="J401" s="21" t="n">
        <v>307095104.5938337</v>
      </c>
      <c r="K401" s="21" t="n">
        <v>203988351.7776725</v>
      </c>
      <c r="L401" s="21" t="n">
        <v>17799473660.70524</v>
      </c>
      <c r="M401" s="25" t="n">
        <v>385802515716.9342</v>
      </c>
      <c r="N401" s="25" t="n">
        <v>45323993235.64555</v>
      </c>
      <c r="O401" s="21" t="n">
        <v>37769994.36303796</v>
      </c>
      <c r="P401" s="21" t="n">
        <v>25088771.46367509</v>
      </c>
      <c r="Q401" s="21" t="n">
        <v>2189178563.165473</v>
      </c>
      <c r="R401" s="25" t="n">
        <v>47450313032.98431</v>
      </c>
      <c r="S401" s="25" t="n">
        <v>113979858815.8001</v>
      </c>
      <c r="T401" s="21" t="n">
        <v>94983215.67983343</v>
      </c>
      <c r="U401" s="21" t="n">
        <v>63092733.56440682</v>
      </c>
      <c r="V401" s="21" t="n">
        <v>5505301844.320664</v>
      </c>
      <c r="W401" s="25" t="n">
        <v>119327084710.8765</v>
      </c>
      <c r="X401" s="25" t="n">
        <v>105315548373.2779</v>
      </c>
      <c r="Y401" s="21" t="n">
        <v>87762956.97773157</v>
      </c>
      <c r="Z401" s="21" t="n">
        <v>58296666.64566465</v>
      </c>
      <c r="AA401" s="21" t="n">
        <v>5086809974.313433</v>
      </c>
      <c r="AB401" s="25" t="n">
        <v>110256298723.9679</v>
      </c>
      <c r="AC401" s="25" t="n">
        <v>24700976827.40697</v>
      </c>
      <c r="AD401" s="21" t="n">
        <v>20584147.35617248</v>
      </c>
      <c r="AE401" s="21" t="n">
        <v>13673048.6065152</v>
      </c>
      <c r="AF401" s="21" t="n">
        <v>1193073361.357726</v>
      </c>
      <c r="AG401" s="25" t="n">
        <v>25859792992.80202</v>
      </c>
      <c r="AH401" s="25" t="n">
        <v>81564122395.00331</v>
      </c>
      <c r="AI401" s="21" t="n">
        <v>67970101.99583609</v>
      </c>
      <c r="AJ401" s="21" t="n">
        <v>45149235.10301145</v>
      </c>
      <c r="AK401" s="21" t="n">
        <v>3939600540.980509</v>
      </c>
      <c r="AL401" s="25" t="n">
        <v>85390603598.88498</v>
      </c>
      <c r="AM401" s="25" t="n">
        <v>739398625159.7343</v>
      </c>
      <c r="AN401" s="21" t="n">
        <v>616165520.9664452</v>
      </c>
      <c r="AO401" s="21" t="n">
        <v>409288807.1609457</v>
      </c>
      <c r="AP401" s="21" t="n">
        <v>35713437944.84305</v>
      </c>
      <c r="AQ401" s="25" t="n">
        <v>774086608776.45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 t="n">
        <v>385802515716.9342</v>
      </c>
      <c r="J402" s="19" t="n">
        <v>321502096.4307785</v>
      </c>
      <c r="K402" s="19" t="n">
        <v>213558216.2103201</v>
      </c>
      <c r="L402" s="19" t="n">
        <v>4566710751.886538</v>
      </c>
      <c r="M402" s="24" t="n">
        <v>389834166156.1796</v>
      </c>
      <c r="N402" s="24" t="n">
        <v>47450313032.98431</v>
      </c>
      <c r="O402" s="19" t="n">
        <v>39541927.52748693</v>
      </c>
      <c r="P402" s="19" t="n">
        <v>26265780.54089305</v>
      </c>
      <c r="Q402" s="19" t="n">
        <v>561665219.5889244</v>
      </c>
      <c r="R402" s="24" t="n">
        <v>47946170544.50485</v>
      </c>
      <c r="S402" s="24" t="n">
        <v>119327084710.8765</v>
      </c>
      <c r="T402" s="19" t="n">
        <v>99439237.25906378</v>
      </c>
      <c r="U402" s="19" t="n">
        <v>66052652.1167887</v>
      </c>
      <c r="V402" s="19" t="n">
        <v>1412464301.140679</v>
      </c>
      <c r="W402" s="24" t="n">
        <v>120574057122.6414</v>
      </c>
      <c r="X402" s="24" t="n">
        <v>110256298723.9679</v>
      </c>
      <c r="Y402" s="19" t="n">
        <v>91880248.93663993</v>
      </c>
      <c r="Z402" s="19" t="n">
        <v>61031583.57505045</v>
      </c>
      <c r="AA402" s="19" t="n">
        <v>1305094198.025877</v>
      </c>
      <c r="AB402" s="24" t="n">
        <v>111408481089.4821</v>
      </c>
      <c r="AC402" s="24" t="n">
        <v>25859792992.80202</v>
      </c>
      <c r="AD402" s="19" t="n">
        <v>21549827.49400168</v>
      </c>
      <c r="AE402" s="19" t="n">
        <v>14314502.98567488</v>
      </c>
      <c r="AF402" s="19" t="n">
        <v>306100115.7090318</v>
      </c>
      <c r="AG402" s="24" t="n">
        <v>26130028778.03137</v>
      </c>
      <c r="AH402" s="24" t="n">
        <v>85390603598.88498</v>
      </c>
      <c r="AI402" s="19" t="n">
        <v>71158836.33240415</v>
      </c>
      <c r="AJ402" s="19" t="n">
        <v>47267356.33595555</v>
      </c>
      <c r="AK402" s="19" t="n">
        <v>1010761132.131189</v>
      </c>
      <c r="AL402" s="24" t="n">
        <v>86282938538.34782</v>
      </c>
      <c r="AM402" s="24" t="n">
        <v>774086608776.45</v>
      </c>
      <c r="AN402" s="19" t="n">
        <v>645072173.9803749</v>
      </c>
      <c r="AO402" s="19" t="n">
        <v>428490091.7646828</v>
      </c>
      <c r="AP402" s="19" t="n">
        <v>9162795718.482239</v>
      </c>
      <c r="AQ402" s="24" t="n">
        <v>782175842229.187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 t="n">
        <v>389834166156.1796</v>
      </c>
      <c r="J403" s="21" t="n">
        <v>324861805.1301497</v>
      </c>
      <c r="K403" s="21" t="n">
        <v>215789907.402351</v>
      </c>
      <c r="L403" s="21" t="n">
        <v>5241943038.357553</v>
      </c>
      <c r="M403" s="25" t="n">
        <v>394535457482.0047</v>
      </c>
      <c r="N403" s="25" t="n">
        <v>47946170544.50485</v>
      </c>
      <c r="O403" s="21" t="n">
        <v>39955142.12042071</v>
      </c>
      <c r="P403" s="21" t="n">
        <v>26540258.91089028</v>
      </c>
      <c r="Q403" s="21" t="n">
        <v>644712846.4388628</v>
      </c>
      <c r="R403" s="25" t="n">
        <v>48524387989.91241</v>
      </c>
      <c r="S403" s="25" t="n">
        <v>120574057122.6414</v>
      </c>
      <c r="T403" s="21" t="n">
        <v>100478380.9355345</v>
      </c>
      <c r="U403" s="21" t="n">
        <v>66742904.75400936</v>
      </c>
      <c r="V403" s="21" t="n">
        <v>1621310788.565772</v>
      </c>
      <c r="W403" s="25" t="n">
        <v>122028146625.5176</v>
      </c>
      <c r="X403" s="25" t="n">
        <v>111408481089.4821</v>
      </c>
      <c r="Y403" s="21" t="n">
        <v>92840400.90790175</v>
      </c>
      <c r="Z403" s="21" t="n">
        <v>61669365.86185319</v>
      </c>
      <c r="AA403" s="21" t="n">
        <v>1498064978.806995</v>
      </c>
      <c r="AB403" s="25" t="n">
        <v>112752036301.5193</v>
      </c>
      <c r="AC403" s="25" t="n">
        <v>26130028778.03137</v>
      </c>
      <c r="AD403" s="21" t="n">
        <v>21775023.98169281</v>
      </c>
      <c r="AE403" s="21" t="n">
        <v>14464090.06688541</v>
      </c>
      <c r="AF403" s="21" t="n">
        <v>351359973.8977439</v>
      </c>
      <c r="AG403" s="25" t="n">
        <v>26445149637.88053</v>
      </c>
      <c r="AH403" s="25" t="n">
        <v>86282938538.34782</v>
      </c>
      <c r="AI403" s="21" t="n">
        <v>71902448.78195652</v>
      </c>
      <c r="AJ403" s="21" t="n">
        <v>47761301.94328189</v>
      </c>
      <c r="AK403" s="21" t="n">
        <v>1160211926.675825</v>
      </c>
      <c r="AL403" s="25" t="n">
        <v>87323486714.29842</v>
      </c>
      <c r="AM403" s="25" t="n">
        <v>782175842229.187</v>
      </c>
      <c r="AN403" s="21" t="n">
        <v>651813201.857656</v>
      </c>
      <c r="AO403" s="21" t="n">
        <v>432967828.9392711</v>
      </c>
      <c r="AP403" s="21" t="n">
        <v>10517603552.74275</v>
      </c>
      <c r="AQ403" s="25" t="n">
        <v>791608664751.1329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 t="n">
        <v>394535457482.0047</v>
      </c>
      <c r="J404" s="19" t="n">
        <v>328779547.9016706</v>
      </c>
      <c r="K404" s="19" t="n">
        <v>218392273.5055437</v>
      </c>
      <c r="L404" s="19" t="n">
        <v>16873480909.62976</v>
      </c>
      <c r="M404" s="24" t="n">
        <v>410861766570.2272</v>
      </c>
      <c r="N404" s="24" t="n">
        <v>48524387989.91241</v>
      </c>
      <c r="O404" s="19" t="n">
        <v>40436989.99159367</v>
      </c>
      <c r="P404" s="19" t="n">
        <v>26860327.03173563</v>
      </c>
      <c r="Q404" s="19" t="n">
        <v>2075289606.730974</v>
      </c>
      <c r="R404" s="24" t="n">
        <v>50532380279.62005</v>
      </c>
      <c r="S404" s="24" t="n">
        <v>122028146625.5176</v>
      </c>
      <c r="T404" s="19" t="n">
        <v>101690122.1879313</v>
      </c>
      <c r="U404" s="19" t="n">
        <v>67547805.57189888</v>
      </c>
      <c r="V404" s="19" t="n">
        <v>5218896206.856358</v>
      </c>
      <c r="W404" s="24" t="n">
        <v>127077804904.6141</v>
      </c>
      <c r="X404" s="24" t="n">
        <v>112752036301.5193</v>
      </c>
      <c r="Y404" s="19" t="n">
        <v>93960030.25126612</v>
      </c>
      <c r="Z404" s="19" t="n">
        <v>62413081.21562572</v>
      </c>
      <c r="AA404" s="19" t="n">
        <v>4822175791.747044</v>
      </c>
      <c r="AB404" s="24" t="n">
        <v>117417838981.7995</v>
      </c>
      <c r="AC404" s="24" t="n">
        <v>26445149637.88053</v>
      </c>
      <c r="AD404" s="19" t="n">
        <v>22037624.69823378</v>
      </c>
      <c r="AE404" s="19" t="n">
        <v>14638522.95930705</v>
      </c>
      <c r="AF404" s="19" t="n">
        <v>1131005386.473869</v>
      </c>
      <c r="AG404" s="24" t="n">
        <v>27539478876.69686</v>
      </c>
      <c r="AH404" s="24" t="n">
        <v>87323486714.29842</v>
      </c>
      <c r="AI404" s="19" t="n">
        <v>72769572.26191536</v>
      </c>
      <c r="AJ404" s="19" t="n">
        <v>48337289.92491535</v>
      </c>
      <c r="AK404" s="19" t="n">
        <v>3734648326.515059</v>
      </c>
      <c r="AL404" s="24" t="n">
        <v>90937028178.62665</v>
      </c>
      <c r="AM404" s="24" t="n">
        <v>791608664751.1329</v>
      </c>
      <c r="AN404" s="19" t="n">
        <v>659673887.2926108</v>
      </c>
      <c r="AO404" s="19" t="n">
        <v>438189300.2090264</v>
      </c>
      <c r="AP404" s="19" t="n">
        <v>33855496227.95307</v>
      </c>
      <c r="AQ404" s="24" t="n">
        <v>824366297791.5845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 t="n">
        <v>410861766570.2272</v>
      </c>
      <c r="J405" s="21" t="n">
        <v>342384805.4751894</v>
      </c>
      <c r="K405" s="21" t="n">
        <v>227429584.8348905</v>
      </c>
      <c r="L405" s="21" t="n">
        <v>16577519538.30596</v>
      </c>
      <c r="M405" s="25" t="n">
        <v>426869471718.2231</v>
      </c>
      <c r="N405" s="25" t="n">
        <v>50532380279.62005</v>
      </c>
      <c r="O405" s="21" t="n">
        <v>42110316.89968338</v>
      </c>
      <c r="P405" s="21" t="n">
        <v>27971836.76556191</v>
      </c>
      <c r="Q405" s="21" t="n">
        <v>2038888963.544683</v>
      </c>
      <c r="R405" s="25" t="n">
        <v>52501187089.49949</v>
      </c>
      <c r="S405" s="25" t="n">
        <v>127077804904.6141</v>
      </c>
      <c r="T405" s="21" t="n">
        <v>105898170.7538451</v>
      </c>
      <c r="U405" s="21" t="n">
        <v>70343007.70413888</v>
      </c>
      <c r="V405" s="21" t="n">
        <v>5127356607.739244</v>
      </c>
      <c r="W405" s="25" t="n">
        <v>132028920333.8954</v>
      </c>
      <c r="X405" s="25" t="n">
        <v>117417838981.7995</v>
      </c>
      <c r="Y405" s="21" t="n">
        <v>97848199.15149957</v>
      </c>
      <c r="Z405" s="21" t="n">
        <v>64995802.83354549</v>
      </c>
      <c r="AA405" s="21" t="n">
        <v>4737594680.846839</v>
      </c>
      <c r="AB405" s="25" t="n">
        <v>121992589660.6613</v>
      </c>
      <c r="AC405" s="25" t="n">
        <v>27539478876.69686</v>
      </c>
      <c r="AD405" s="21" t="n">
        <v>22949565.73058072</v>
      </c>
      <c r="AE405" s="21" t="n">
        <v>15244281.06265721</v>
      </c>
      <c r="AF405" s="21" t="n">
        <v>1111167517.397052</v>
      </c>
      <c r="AG405" s="25" t="n">
        <v>28612452547.30067</v>
      </c>
      <c r="AH405" s="25" t="n">
        <v>90937028178.62665</v>
      </c>
      <c r="AI405" s="21" t="n">
        <v>75780856.81552221</v>
      </c>
      <c r="AJ405" s="21" t="n">
        <v>50337539.89189631</v>
      </c>
      <c r="AK405" s="21" t="n">
        <v>3669142480.623076</v>
      </c>
      <c r="AL405" s="25" t="n">
        <v>94480052262.54231</v>
      </c>
      <c r="AM405" s="25" t="n">
        <v>824366297791.5845</v>
      </c>
      <c r="AN405" s="21" t="n">
        <v>686971914.8263203</v>
      </c>
      <c r="AO405" s="21" t="n">
        <v>456322053.0926903</v>
      </c>
      <c r="AP405" s="21" t="n">
        <v>33261669788.45685</v>
      </c>
      <c r="AQ405" s="25" t="n">
        <v>856484673612.1222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 t="n">
        <v>426869471718.2231</v>
      </c>
      <c r="J406" s="19" t="n">
        <v>355724559.765186</v>
      </c>
      <c r="K406" s="19" t="n">
        <v>236290535.2376479</v>
      </c>
      <c r="L406" s="19" t="n">
        <v>19173809378.45074</v>
      </c>
      <c r="M406" s="24" t="n">
        <v>445451266001.671</v>
      </c>
      <c r="N406" s="24" t="n">
        <v>52501187089.49949</v>
      </c>
      <c r="O406" s="19" t="n">
        <v>43750989.24124958</v>
      </c>
      <c r="P406" s="19" t="n">
        <v>29061655.65800551</v>
      </c>
      <c r="Q406" s="19" t="n">
        <v>2358209757.527311</v>
      </c>
      <c r="R406" s="24" t="n">
        <v>54786584202.12755</v>
      </c>
      <c r="S406" s="24" t="n">
        <v>132028920333.8954</v>
      </c>
      <c r="T406" s="19" t="n">
        <v>110024100.2782461</v>
      </c>
      <c r="U406" s="19" t="n">
        <v>73083662.14845693</v>
      </c>
      <c r="V406" s="19" t="n">
        <v>5930378063.193548</v>
      </c>
      <c r="W406" s="24" t="n">
        <v>137776190634.6622</v>
      </c>
      <c r="X406" s="24" t="n">
        <v>121992589660.6613</v>
      </c>
      <c r="Y406" s="19" t="n">
        <v>101660491.3838844</v>
      </c>
      <c r="Z406" s="19" t="n">
        <v>67528123.26896092</v>
      </c>
      <c r="AA406" s="19" t="n">
        <v>5479573534.087481</v>
      </c>
      <c r="AB406" s="24" t="n">
        <v>127302974580.0959</v>
      </c>
      <c r="AC406" s="24" t="n">
        <v>28612452547.30067</v>
      </c>
      <c r="AD406" s="19" t="n">
        <v>23843710.4560839</v>
      </c>
      <c r="AE406" s="19" t="n">
        <v>15838217.94435167</v>
      </c>
      <c r="AF406" s="19" t="n">
        <v>1285193126.563167</v>
      </c>
      <c r="AG406" s="24" t="n">
        <v>29857963745.46341</v>
      </c>
      <c r="AH406" s="24" t="n">
        <v>94480052262.54231</v>
      </c>
      <c r="AI406" s="19" t="n">
        <v>78733376.88545193</v>
      </c>
      <c r="AJ406" s="19" t="n">
        <v>52298755.46858888</v>
      </c>
      <c r="AK406" s="19" t="n">
        <v>4243785588.264908</v>
      </c>
      <c r="AL406" s="24" t="n">
        <v>98592805718.45319</v>
      </c>
      <c r="AM406" s="24" t="n">
        <v>856484673612.1222</v>
      </c>
      <c r="AN406" s="19" t="n">
        <v>713737228.0101019</v>
      </c>
      <c r="AO406" s="19" t="n">
        <v>474100949.7260118</v>
      </c>
      <c r="AP406" s="19" t="n">
        <v>38470949448.08716</v>
      </c>
      <c r="AQ406" s="24" t="n">
        <v>893767784882.4731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 t="n">
        <v>445451266001.671</v>
      </c>
      <c r="J407" s="21" t="n">
        <v>371209388.3347258</v>
      </c>
      <c r="K407" s="21" t="n">
        <v>246576354.224043</v>
      </c>
      <c r="L407" s="21" t="n">
        <v>6917368738.960048</v>
      </c>
      <c r="M407" s="25" t="n">
        <v>451750848998.0722</v>
      </c>
      <c r="N407" s="25" t="n">
        <v>54786584202.12755</v>
      </c>
      <c r="O407" s="21" t="n">
        <v>45655486.83510629</v>
      </c>
      <c r="P407" s="21" t="n">
        <v>30326720.84245123</v>
      </c>
      <c r="Q407" s="21" t="n">
        <v>850775458.0560063</v>
      </c>
      <c r="R407" s="25" t="n">
        <v>55561377452.506</v>
      </c>
      <c r="S407" s="25" t="n">
        <v>137776190634.6622</v>
      </c>
      <c r="T407" s="21" t="n">
        <v>114813492.1955519</v>
      </c>
      <c r="U407" s="21" t="n">
        <v>76265022.41312367</v>
      </c>
      <c r="V407" s="21" t="n">
        <v>2139512864.389609</v>
      </c>
      <c r="W407" s="25" t="n">
        <v>139724624984.4432</v>
      </c>
      <c r="X407" s="25" t="n">
        <v>127302974580.0959</v>
      </c>
      <c r="Y407" s="21" t="n">
        <v>106085812.1500799</v>
      </c>
      <c r="Z407" s="21" t="n">
        <v>70467648.76344143</v>
      </c>
      <c r="AA407" s="21" t="n">
        <v>1976875326.096116</v>
      </c>
      <c r="AB407" s="25" t="n">
        <v>129103296445.2785</v>
      </c>
      <c r="AC407" s="25" t="n">
        <v>29857963745.46341</v>
      </c>
      <c r="AD407" s="21" t="n">
        <v>24881636.45455284</v>
      </c>
      <c r="AE407" s="21" t="n">
        <v>16527661.73726039</v>
      </c>
      <c r="AF407" s="21" t="n">
        <v>463661371.7045677</v>
      </c>
      <c r="AG407" s="25" t="n">
        <v>30280215818.97616</v>
      </c>
      <c r="AH407" s="25" t="n">
        <v>98592805718.45319</v>
      </c>
      <c r="AI407" s="21" t="n">
        <v>82160671.43204433</v>
      </c>
      <c r="AJ407" s="21" t="n">
        <v>54575340.65395242</v>
      </c>
      <c r="AK407" s="21" t="n">
        <v>1531037947.842831</v>
      </c>
      <c r="AL407" s="25" t="n">
        <v>99987107654.21004</v>
      </c>
      <c r="AM407" s="25" t="n">
        <v>893767784882.4731</v>
      </c>
      <c r="AN407" s="21" t="n">
        <v>744806487.4020612</v>
      </c>
      <c r="AO407" s="21" t="n">
        <v>494738748.6342722</v>
      </c>
      <c r="AP407" s="21" t="n">
        <v>13879231707.04918</v>
      </c>
      <c r="AQ407" s="25" t="n">
        <v>906407471353.4861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 t="n">
        <v>451750848998.0722</v>
      </c>
      <c r="J408" s="19" t="n">
        <v>376459040.8317268</v>
      </c>
      <c r="K408" s="19" t="n">
        <v>250063443.221066</v>
      </c>
      <c r="L408" s="19" t="n">
        <v>12732991724.49955</v>
      </c>
      <c r="M408" s="24" t="n">
        <v>463857318238.519</v>
      </c>
      <c r="N408" s="24" t="n">
        <v>55561377452.506</v>
      </c>
      <c r="O408" s="19" t="n">
        <v>46301147.87708833</v>
      </c>
      <c r="P408" s="19" t="n">
        <v>30755602.09060778</v>
      </c>
      <c r="Q408" s="19" t="n">
        <v>1566045887.625048</v>
      </c>
      <c r="R408" s="24" t="n">
        <v>57050366590.16335</v>
      </c>
      <c r="S408" s="24" t="n">
        <v>139724624984.4432</v>
      </c>
      <c r="T408" s="19" t="n">
        <v>116437187.487036</v>
      </c>
      <c r="U408" s="19" t="n">
        <v>77343564.27635878</v>
      </c>
      <c r="V408" s="19" t="n">
        <v>3938260431.787945</v>
      </c>
      <c r="W408" s="24" t="n">
        <v>143469104664.4677</v>
      </c>
      <c r="X408" s="24" t="n">
        <v>129103296445.2785</v>
      </c>
      <c r="Y408" s="19" t="n">
        <v>107586080.3710654</v>
      </c>
      <c r="Z408" s="19" t="n">
        <v>71464204.02285534</v>
      </c>
      <c r="AA408" s="19" t="n">
        <v>3638889022.321148</v>
      </c>
      <c r="AB408" s="24" t="n">
        <v>132563135183.2057</v>
      </c>
      <c r="AC408" s="24" t="n">
        <v>30280215818.97616</v>
      </c>
      <c r="AD408" s="19" t="n">
        <v>25233513.18248014</v>
      </c>
      <c r="AE408" s="19" t="n">
        <v>16761396.34483007</v>
      </c>
      <c r="AF408" s="19" t="n">
        <v>853474295.1655842</v>
      </c>
      <c r="AG408" s="24" t="n">
        <v>31091695204.61444</v>
      </c>
      <c r="AH408" s="24" t="n">
        <v>99987107654.21004</v>
      </c>
      <c r="AI408" s="19" t="n">
        <v>83322589.7118417</v>
      </c>
      <c r="AJ408" s="19" t="n">
        <v>55347146.49276479</v>
      </c>
      <c r="AK408" s="19" t="n">
        <v>2818223844.274691</v>
      </c>
      <c r="AL408" s="24" t="n">
        <v>102666661762.2801</v>
      </c>
      <c r="AM408" s="24" t="n">
        <v>906407471353.4861</v>
      </c>
      <c r="AN408" s="19" t="n">
        <v>755339559.4612383</v>
      </c>
      <c r="AO408" s="19" t="n">
        <v>501735356.4484828</v>
      </c>
      <c r="AP408" s="19" t="n">
        <v>25547885205.67397</v>
      </c>
      <c r="AQ408" s="24" t="n">
        <v>930698281643.2502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 t="n">
        <v>463857318238.519</v>
      </c>
      <c r="J409" s="21" t="n">
        <v>386547765.1987658</v>
      </c>
      <c r="K409" s="21" t="n">
        <v>256764892.4606865</v>
      </c>
      <c r="L409" s="21" t="n">
        <v>18028271256.84806</v>
      </c>
      <c r="M409" s="25" t="n">
        <v>481242276837.7076</v>
      </c>
      <c r="N409" s="25" t="n">
        <v>57050366590.16335</v>
      </c>
      <c r="O409" s="21" t="n">
        <v>47541972.15846946</v>
      </c>
      <c r="P409" s="21" t="n">
        <v>31579821.35108548</v>
      </c>
      <c r="Q409" s="21" t="n">
        <v>2217318653.278666</v>
      </c>
      <c r="R409" s="25" t="n">
        <v>59188563449.93246</v>
      </c>
      <c r="S409" s="25" t="n">
        <v>143469104664.4677</v>
      </c>
      <c r="T409" s="21" t="n">
        <v>119557587.2203898</v>
      </c>
      <c r="U409" s="21" t="n">
        <v>79416294.15375686</v>
      </c>
      <c r="V409" s="21" t="n">
        <v>5576067972.130496</v>
      </c>
      <c r="W409" s="25" t="n">
        <v>148846198755.2241</v>
      </c>
      <c r="X409" s="25" t="n">
        <v>132563135183.2057</v>
      </c>
      <c r="Y409" s="21" t="n">
        <v>110469279.3193381</v>
      </c>
      <c r="Z409" s="21" t="n">
        <v>73379372.94774961</v>
      </c>
      <c r="AA409" s="21" t="n">
        <v>5152196733.289771</v>
      </c>
      <c r="AB409" s="25" t="n">
        <v>137531483264.2284</v>
      </c>
      <c r="AC409" s="25" t="n">
        <v>31091695204.61444</v>
      </c>
      <c r="AD409" s="21" t="n">
        <v>25909746.00384537</v>
      </c>
      <c r="AE409" s="21" t="n">
        <v>17210584.94010483</v>
      </c>
      <c r="AF409" s="21" t="n">
        <v>1208409338.269408</v>
      </c>
      <c r="AG409" s="25" t="n">
        <v>32256984211.9399</v>
      </c>
      <c r="AH409" s="25" t="n">
        <v>102666661762.2801</v>
      </c>
      <c r="AI409" s="21" t="n">
        <v>85555551.46856678</v>
      </c>
      <c r="AJ409" s="21" t="n">
        <v>56830394.45576754</v>
      </c>
      <c r="AK409" s="21" t="n">
        <v>3990240866.122776</v>
      </c>
      <c r="AL409" s="25" t="n">
        <v>106514516682.4786</v>
      </c>
      <c r="AM409" s="25" t="n">
        <v>930698281643.2502</v>
      </c>
      <c r="AN409" s="21" t="n">
        <v>775581901.3693752</v>
      </c>
      <c r="AO409" s="21" t="n">
        <v>515181360.3091508</v>
      </c>
      <c r="AP409" s="21" t="n">
        <v>36172504819.93918</v>
      </c>
      <c r="AQ409" s="25" t="n">
        <v>965580023201.5109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 t="n">
        <v>481242276837.7076</v>
      </c>
      <c r="J410" s="19" t="n">
        <v>401035230.6980897</v>
      </c>
      <c r="K410" s="19" t="n">
        <v>266388211.6358704</v>
      </c>
      <c r="L410" s="19" t="n">
        <v>21256482664.94306</v>
      </c>
      <c r="M410" s="24" t="n">
        <v>501831336060.3167</v>
      </c>
      <c r="N410" s="24" t="n">
        <v>59188563449.93246</v>
      </c>
      <c r="O410" s="19" t="n">
        <v>49323802.87494372</v>
      </c>
      <c r="P410" s="19" t="n">
        <v>32763404.89104827</v>
      </c>
      <c r="Q410" s="19" t="n">
        <v>2614360237.01771</v>
      </c>
      <c r="R410" s="24" t="n">
        <v>61720836479.18417</v>
      </c>
      <c r="S410" s="24" t="n">
        <v>148846198755.2241</v>
      </c>
      <c r="T410" s="19" t="n">
        <v>124038498.9626867</v>
      </c>
      <c r="U410" s="19" t="n">
        <v>82392746.03168994</v>
      </c>
      <c r="V410" s="19" t="n">
        <v>6574540093.139174</v>
      </c>
      <c r="W410" s="24" t="n">
        <v>155214307603.3689</v>
      </c>
      <c r="X410" s="24" t="n">
        <v>137531483264.2284</v>
      </c>
      <c r="Y410" s="19" t="n">
        <v>114609569.386857</v>
      </c>
      <c r="Z410" s="19" t="n">
        <v>76129566.40287383</v>
      </c>
      <c r="AA410" s="19" t="n">
        <v>6074768844.292262</v>
      </c>
      <c r="AB410" s="24" t="n">
        <v>143415512972.7309</v>
      </c>
      <c r="AC410" s="24" t="n">
        <v>32256984211.9399</v>
      </c>
      <c r="AD410" s="19" t="n">
        <v>26880820.17661658</v>
      </c>
      <c r="AE410" s="19" t="n">
        <v>17855622.31450212</v>
      </c>
      <c r="AF410" s="19" t="n">
        <v>1424791749.864643</v>
      </c>
      <c r="AG410" s="24" t="n">
        <v>33637039519.31342</v>
      </c>
      <c r="AH410" s="24" t="n">
        <v>106514516682.4786</v>
      </c>
      <c r="AI410" s="19" t="n">
        <v>88762097.23539881</v>
      </c>
      <c r="AJ410" s="19" t="n">
        <v>58960346.95612034</v>
      </c>
      <c r="AK410" s="19" t="n">
        <v>4704748702.262165</v>
      </c>
      <c r="AL410" s="24" t="n">
        <v>111071542940.5492</v>
      </c>
      <c r="AM410" s="24" t="n">
        <v>965580023201.5109</v>
      </c>
      <c r="AN410" s="19" t="n">
        <v>804650019.3345925</v>
      </c>
      <c r="AO410" s="19" t="n">
        <v>534489898.2321049</v>
      </c>
      <c r="AP410" s="19" t="n">
        <v>42649692291.51901</v>
      </c>
      <c r="AQ410" s="24" t="n">
        <v>1006890575575.463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 t="n">
        <v>501831336060.3167</v>
      </c>
      <c r="J411" s="21" t="n">
        <v>418192780.0502639</v>
      </c>
      <c r="K411" s="21" t="n">
        <v>277785137.7364123</v>
      </c>
      <c r="L411" s="21" t="n">
        <v>26869807477.0188</v>
      </c>
      <c r="M411" s="25" t="n">
        <v>528005165619.5488</v>
      </c>
      <c r="N411" s="25" t="n">
        <v>61720836479.18417</v>
      </c>
      <c r="O411" s="21" t="n">
        <v>51434030.39932015</v>
      </c>
      <c r="P411" s="21" t="n">
        <v>34165126.46893782</v>
      </c>
      <c r="Q411" s="21" t="n">
        <v>3304749772.176257</v>
      </c>
      <c r="R411" s="25" t="n">
        <v>64939987094.49216</v>
      </c>
      <c r="S411" s="25" t="n">
        <v>155214307603.3689</v>
      </c>
      <c r="T411" s="21" t="n">
        <v>129345256.3361407</v>
      </c>
      <c r="U411" s="21" t="n">
        <v>85917767.02258667</v>
      </c>
      <c r="V411" s="21" t="n">
        <v>8310717691.969763</v>
      </c>
      <c r="W411" s="25" t="n">
        <v>163309762271.9799</v>
      </c>
      <c r="X411" s="25" t="n">
        <v>143415512972.7309</v>
      </c>
      <c r="Y411" s="21" t="n">
        <v>119512927.4772758</v>
      </c>
      <c r="Z411" s="21" t="n">
        <v>79386628.85707073</v>
      </c>
      <c r="AA411" s="21" t="n">
        <v>7678968900.284066</v>
      </c>
      <c r="AB411" s="25" t="n">
        <v>150895582316.6807</v>
      </c>
      <c r="AC411" s="25" t="n">
        <v>33637039519.31342</v>
      </c>
      <c r="AD411" s="21" t="n">
        <v>28030866.26609452</v>
      </c>
      <c r="AE411" s="21" t="n">
        <v>18619542.03432715</v>
      </c>
      <c r="AF411" s="21" t="n">
        <v>1801044914.963604</v>
      </c>
      <c r="AG411" s="25" t="n">
        <v>35391434025.9766</v>
      </c>
      <c r="AH411" s="25" t="n">
        <v>111071542940.5492</v>
      </c>
      <c r="AI411" s="21" t="n">
        <v>92559619.11712435</v>
      </c>
      <c r="AJ411" s="21" t="n">
        <v>61482856.16549832</v>
      </c>
      <c r="AK411" s="21" t="n">
        <v>5947159454.843752</v>
      </c>
      <c r="AL411" s="25" t="n">
        <v>116864659920.1103</v>
      </c>
      <c r="AM411" s="25" t="n">
        <v>1006890575575.463</v>
      </c>
      <c r="AN411" s="21" t="n">
        <v>839075479.6462194</v>
      </c>
      <c r="AO411" s="21" t="n">
        <v>557357058.284833</v>
      </c>
      <c r="AP411" s="21" t="n">
        <v>53912448211.25624</v>
      </c>
      <c r="AQ411" s="25" t="n">
        <v>1059406591248.788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 t="n">
        <v>528005165619.5488</v>
      </c>
      <c r="J412" s="19" t="n">
        <v>440004304.6829574</v>
      </c>
      <c r="K412" s="19" t="n">
        <v>292273473.4116615</v>
      </c>
      <c r="L412" s="19" t="n">
        <v>16600244571.54177</v>
      </c>
      <c r="M412" s="24" t="n">
        <v>543873132412.9958</v>
      </c>
      <c r="N412" s="24" t="n">
        <v>64939987094.49216</v>
      </c>
      <c r="O412" s="19" t="n">
        <v>54116655.91207681</v>
      </c>
      <c r="P412" s="19" t="n">
        <v>35947064.20939033</v>
      </c>
      <c r="Q412" s="19" t="n">
        <v>2041683942.573579</v>
      </c>
      <c r="R412" s="24" t="n">
        <v>66891607316.94427</v>
      </c>
      <c r="S412" s="24" t="n">
        <v>163309762271.9799</v>
      </c>
      <c r="T412" s="19" t="n">
        <v>136091468.5599833</v>
      </c>
      <c r="U412" s="19" t="n">
        <v>90398947.90661323</v>
      </c>
      <c r="V412" s="19" t="n">
        <v>5134385364.306442</v>
      </c>
      <c r="W412" s="24" t="n">
        <v>168217657219.8197</v>
      </c>
      <c r="X412" s="24" t="n">
        <v>150895582316.6807</v>
      </c>
      <c r="Y412" s="19" t="n">
        <v>125746318.5972339</v>
      </c>
      <c r="Z412" s="19" t="n">
        <v>83527167.60720021</v>
      </c>
      <c r="AA412" s="19" t="n">
        <v>4744089138.37598</v>
      </c>
      <c r="AB412" s="24" t="n">
        <v>155430397968.8522</v>
      </c>
      <c r="AC412" s="24" t="n">
        <v>35391434025.9766</v>
      </c>
      <c r="AD412" s="19" t="n">
        <v>29492861.68831383</v>
      </c>
      <c r="AE412" s="19" t="n">
        <v>19590674.53375095</v>
      </c>
      <c r="AF412" s="19" t="n">
        <v>1112690743.999503</v>
      </c>
      <c r="AG412" s="24" t="n">
        <v>36455041233.75404</v>
      </c>
      <c r="AH412" s="24" t="n">
        <v>116864659920.1103</v>
      </c>
      <c r="AI412" s="19" t="n">
        <v>97387216.60009195</v>
      </c>
      <c r="AJ412" s="19" t="n">
        <v>64689594.53047183</v>
      </c>
      <c r="AK412" s="19" t="n">
        <v>3674172267.173859</v>
      </c>
      <c r="AL412" s="24" t="n">
        <v>120376755376.1536</v>
      </c>
      <c r="AM412" s="24" t="n">
        <v>1059406591248.788</v>
      </c>
      <c r="AN412" s="19" t="n">
        <v>882838826.040657</v>
      </c>
      <c r="AO412" s="19" t="n">
        <v>586426922.1990881</v>
      </c>
      <c r="AP412" s="19" t="n">
        <v>33307266027.97113</v>
      </c>
      <c r="AQ412" s="24" t="n">
        <v>1091244591528.52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 t="n">
        <v>543873132412.9958</v>
      </c>
      <c r="J413" s="21" t="n">
        <v>453227610.3441632</v>
      </c>
      <c r="K413" s="21" t="n">
        <v>301057072.6502406</v>
      </c>
      <c r="L413" s="21" t="n">
        <v>25793068563.55888</v>
      </c>
      <c r="M413" s="25" t="n">
        <v>568911916293.5603</v>
      </c>
      <c r="N413" s="25" t="n">
        <v>66891607316.94427</v>
      </c>
      <c r="O413" s="21" t="n">
        <v>55743006.09745356</v>
      </c>
      <c r="P413" s="21" t="n">
        <v>37027369.58959854</v>
      </c>
      <c r="Q413" s="21" t="n">
        <v>3172320364.857526</v>
      </c>
      <c r="R413" s="25" t="n">
        <v>69971157306.11475</v>
      </c>
      <c r="S413" s="25" t="n">
        <v>168217657219.8197</v>
      </c>
      <c r="T413" s="21" t="n">
        <v>140181381.0165164</v>
      </c>
      <c r="U413" s="21" t="n">
        <v>93115677.96333823</v>
      </c>
      <c r="V413" s="21" t="n">
        <v>7977686904.705018</v>
      </c>
      <c r="W413" s="25" t="n">
        <v>175962047065.5449</v>
      </c>
      <c r="X413" s="25" t="n">
        <v>155430397968.8522</v>
      </c>
      <c r="Y413" s="21" t="n">
        <v>129525331.6407102</v>
      </c>
      <c r="Z413" s="21" t="n">
        <v>86037382.29494202</v>
      </c>
      <c r="AA413" s="21" t="n">
        <v>7371253832.460969</v>
      </c>
      <c r="AB413" s="25" t="n">
        <v>162586089087.3775</v>
      </c>
      <c r="AC413" s="25" t="n">
        <v>36455041233.75404</v>
      </c>
      <c r="AD413" s="21" t="n">
        <v>30379201.02812837</v>
      </c>
      <c r="AE413" s="21" t="n">
        <v>20179426.6771093</v>
      </c>
      <c r="AF413" s="21" t="n">
        <v>1728872639.576479</v>
      </c>
      <c r="AG413" s="25" t="n">
        <v>38133355245.62527</v>
      </c>
      <c r="AH413" s="25" t="n">
        <v>120376755376.1536</v>
      </c>
      <c r="AI413" s="21" t="n">
        <v>100313962.8134614</v>
      </c>
      <c r="AJ413" s="21" t="n">
        <v>66633689.7869768</v>
      </c>
      <c r="AK413" s="21" t="n">
        <v>5708842227.782927</v>
      </c>
      <c r="AL413" s="25" t="n">
        <v>125918649951.3361</v>
      </c>
      <c r="AM413" s="25" t="n">
        <v>1091244591528.52</v>
      </c>
      <c r="AN413" s="21" t="n">
        <v>909370492.940433</v>
      </c>
      <c r="AO413" s="21" t="n">
        <v>604050618.9622054</v>
      </c>
      <c r="AP413" s="21" t="n">
        <v>51752044532.9418</v>
      </c>
      <c r="AQ413" s="25" t="n">
        <v>1141483214949.559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 t="n">
        <v>568911916293.5603</v>
      </c>
      <c r="J414" s="19" t="n">
        <v>474093263.5779669</v>
      </c>
      <c r="K414" s="19" t="n">
        <v>314917111.9288138</v>
      </c>
      <c r="L414" s="19" t="n">
        <v>18091447181.73774</v>
      </c>
      <c r="M414" s="24" t="n">
        <v>586214353099.7913</v>
      </c>
      <c r="N414" s="24" t="n">
        <v>69971157306.11475</v>
      </c>
      <c r="O414" s="19" t="n">
        <v>58309297.75509562</v>
      </c>
      <c r="P414" s="19" t="n">
        <v>38732032.40444728</v>
      </c>
      <c r="Q414" s="19" t="n">
        <v>2225088735.872849</v>
      </c>
      <c r="R414" s="24" t="n">
        <v>72099204711.82805</v>
      </c>
      <c r="S414" s="24" t="n">
        <v>175962047065.5449</v>
      </c>
      <c r="T414" s="19" t="n">
        <v>146635039.2212874</v>
      </c>
      <c r="U414" s="19" t="n">
        <v>97402529.43193737</v>
      </c>
      <c r="V414" s="19" t="n">
        <v>5595608018.226335</v>
      </c>
      <c r="W414" s="24" t="n">
        <v>181313617515.118</v>
      </c>
      <c r="X414" s="24" t="n">
        <v>162586089087.3775</v>
      </c>
      <c r="Y414" s="19" t="n">
        <v>135488407.5728146</v>
      </c>
      <c r="Z414" s="19" t="n">
        <v>89998363.80431485</v>
      </c>
      <c r="AA414" s="19" t="n">
        <v>5170251420.242385</v>
      </c>
      <c r="AB414" s="24" t="n">
        <v>167530853736.2427</v>
      </c>
      <c r="AC414" s="24" t="n">
        <v>38133355245.62527</v>
      </c>
      <c r="AD414" s="19" t="n">
        <v>31777796.03802107</v>
      </c>
      <c r="AE414" s="19" t="n">
        <v>21108445.36416986</v>
      </c>
      <c r="AF414" s="19" t="n">
        <v>1212643930.510831</v>
      </c>
      <c r="AG414" s="24" t="n">
        <v>39293112934.73392</v>
      </c>
      <c r="AH414" s="24" t="n">
        <v>125918649951.3361</v>
      </c>
      <c r="AI414" s="19" t="n">
        <v>104932208.2927801</v>
      </c>
      <c r="AJ414" s="19" t="n">
        <v>69701365.79137585</v>
      </c>
      <c r="AK414" s="19" t="n">
        <v>4004223746.325679</v>
      </c>
      <c r="AL414" s="24" t="n">
        <v>129748240123.5776</v>
      </c>
      <c r="AM414" s="24" t="n">
        <v>1141483214949.559</v>
      </c>
      <c r="AN414" s="19" t="n">
        <v>951236012.4579656</v>
      </c>
      <c r="AO414" s="19" t="n">
        <v>631859848.725059</v>
      </c>
      <c r="AP414" s="19" t="n">
        <v>36299263032.91582</v>
      </c>
      <c r="AQ414" s="24" t="n">
        <v>1176199382121.292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 t="n">
        <v>586214353099.7913</v>
      </c>
      <c r="J415" s="21" t="n">
        <v>488511960.9164928</v>
      </c>
      <c r="K415" s="21" t="n">
        <v>324494751.7572217</v>
      </c>
      <c r="L415" s="21" t="n">
        <v>23262890027.72313</v>
      </c>
      <c r="M415" s="25" t="n">
        <v>608664236414.8407</v>
      </c>
      <c r="N415" s="25" t="n">
        <v>72099204711.82805</v>
      </c>
      <c r="O415" s="21" t="n">
        <v>60082670.59319004</v>
      </c>
      <c r="P415" s="21" t="n">
        <v>39909997.78689329</v>
      </c>
      <c r="Q415" s="21" t="n">
        <v>2861130679.296141</v>
      </c>
      <c r="R415" s="25" t="n">
        <v>74860342722.74411</v>
      </c>
      <c r="S415" s="25" t="n">
        <v>181313617515.118</v>
      </c>
      <c r="T415" s="21" t="n">
        <v>151094681.2625983</v>
      </c>
      <c r="U415" s="21" t="n">
        <v>100364852.8813086</v>
      </c>
      <c r="V415" s="21" t="n">
        <v>7195113395.773227</v>
      </c>
      <c r="W415" s="25" t="n">
        <v>188257271376.7473</v>
      </c>
      <c r="X415" s="25" t="n">
        <v>167530853736.2427</v>
      </c>
      <c r="Y415" s="21" t="n">
        <v>139609044.7802023</v>
      </c>
      <c r="Z415" s="21" t="n">
        <v>92735502.81967133</v>
      </c>
      <c r="AA415" s="21" t="n">
        <v>6648168551.501425</v>
      </c>
      <c r="AB415" s="25" t="n">
        <v>173946677740.1443</v>
      </c>
      <c r="AC415" s="25" t="n">
        <v>39293112934.73392</v>
      </c>
      <c r="AD415" s="21" t="n">
        <v>32744260.77894494</v>
      </c>
      <c r="AE415" s="21" t="n">
        <v>21750420.91703009</v>
      </c>
      <c r="AF415" s="21" t="n">
        <v>1559278376.952361</v>
      </c>
      <c r="AG415" s="25" t="n">
        <v>40797896629.99031</v>
      </c>
      <c r="AH415" s="25" t="n">
        <v>129748240123.5776</v>
      </c>
      <c r="AI415" s="21" t="n">
        <v>108123533.4363147</v>
      </c>
      <c r="AJ415" s="21" t="n">
        <v>71821207.97146294</v>
      </c>
      <c r="AK415" s="21" t="n">
        <v>5148831694.968057</v>
      </c>
      <c r="AL415" s="25" t="n">
        <v>134717127077.1379</v>
      </c>
      <c r="AM415" s="25" t="n">
        <v>1176199382121.292</v>
      </c>
      <c r="AN415" s="21" t="n">
        <v>980166151.7677431</v>
      </c>
      <c r="AO415" s="21" t="n">
        <v>651076734.1335881</v>
      </c>
      <c r="AP415" s="21" t="n">
        <v>46675412726.21435</v>
      </c>
      <c r="AQ415" s="25" t="n">
        <v>1221243551961.605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 t="n">
        <v>608664236414.8407</v>
      </c>
      <c r="J416" s="19" t="n">
        <v>507220197.0123673</v>
      </c>
      <c r="K416" s="19" t="n">
        <v>336921723.6912498</v>
      </c>
      <c r="L416" s="19" t="n">
        <v>13550459055.72057</v>
      </c>
      <c r="M416" s="24" t="n">
        <v>621370553549.8577</v>
      </c>
      <c r="N416" s="24" t="n">
        <v>74860342722.74411</v>
      </c>
      <c r="O416" s="19" t="n">
        <v>62383618.9356201</v>
      </c>
      <c r="P416" s="19" t="n">
        <v>41438405.93432587</v>
      </c>
      <c r="Q416" s="19" t="n">
        <v>1666587172.817535</v>
      </c>
      <c r="R416" s="24" t="n">
        <v>76423107870.6917</v>
      </c>
      <c r="S416" s="24" t="n">
        <v>188257271376.7473</v>
      </c>
      <c r="T416" s="19" t="n">
        <v>156881059.4806227</v>
      </c>
      <c r="U416" s="19" t="n">
        <v>104208462.6875221</v>
      </c>
      <c r="V416" s="19" t="n">
        <v>4191099616.363283</v>
      </c>
      <c r="W416" s="24" t="n">
        <v>192187281470.9424</v>
      </c>
      <c r="X416" s="24" t="n">
        <v>173946677740.1443</v>
      </c>
      <c r="Y416" s="19" t="n">
        <v>144955564.7834536</v>
      </c>
      <c r="Z416" s="19" t="n">
        <v>96286936.19289969</v>
      </c>
      <c r="AA416" s="19" t="n">
        <v>3872508344.633495</v>
      </c>
      <c r="AB416" s="24" t="n">
        <v>177577943583.8014</v>
      </c>
      <c r="AC416" s="24" t="n">
        <v>40797896629.99031</v>
      </c>
      <c r="AD416" s="19" t="n">
        <v>33998247.19165859</v>
      </c>
      <c r="AE416" s="19" t="n">
        <v>22583383.14161317</v>
      </c>
      <c r="AF416" s="19" t="n">
        <v>908267965.7679398</v>
      </c>
      <c r="AG416" s="24" t="n">
        <v>41649582965.42497</v>
      </c>
      <c r="AH416" s="24" t="n">
        <v>134717127077.1379</v>
      </c>
      <c r="AI416" s="19" t="n">
        <v>112264272.5642816</v>
      </c>
      <c r="AJ416" s="19" t="n">
        <v>74571699.71561641</v>
      </c>
      <c r="AK416" s="19" t="n">
        <v>2999155865.170448</v>
      </c>
      <c r="AL416" s="24" t="n">
        <v>137529446970.0285</v>
      </c>
      <c r="AM416" s="24" t="n">
        <v>1221243551961.605</v>
      </c>
      <c r="AN416" s="19" t="n">
        <v>1017702959.968004</v>
      </c>
      <c r="AO416" s="19" t="n">
        <v>676010611.3632271</v>
      </c>
      <c r="AP416" s="19" t="n">
        <v>27188078020.47327</v>
      </c>
      <c r="AQ416" s="24" t="n">
        <v>1246737916410.747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 t="n">
        <v>621370553549.8577</v>
      </c>
      <c r="J417" s="21" t="n">
        <v>517808794.6248814</v>
      </c>
      <c r="K417" s="21" t="n">
        <v>343955214.4317503</v>
      </c>
      <c r="L417" s="21" t="n">
        <v>33584193562.90293</v>
      </c>
      <c r="M417" s="25" t="n">
        <v>654092983103.704</v>
      </c>
      <c r="N417" s="25" t="n">
        <v>76423107870.6917</v>
      </c>
      <c r="O417" s="21" t="n">
        <v>63685923.22557642</v>
      </c>
      <c r="P417" s="21" t="n">
        <v>42303463.37629499</v>
      </c>
      <c r="Q417" s="21" t="n">
        <v>4130560150.855267</v>
      </c>
      <c r="R417" s="25" t="n">
        <v>80447678634.9451</v>
      </c>
      <c r="S417" s="25" t="n">
        <v>192187281470.9424</v>
      </c>
      <c r="T417" s="21" t="n">
        <v>160156067.892452</v>
      </c>
      <c r="U417" s="21" t="n">
        <v>106383891.595354</v>
      </c>
      <c r="V417" s="21" t="n">
        <v>10387448881.14551</v>
      </c>
      <c r="W417" s="25" t="n">
        <v>202308190392.6001</v>
      </c>
      <c r="X417" s="25" t="n">
        <v>177577943583.8014</v>
      </c>
      <c r="Y417" s="21" t="n">
        <v>147981619.6531679</v>
      </c>
      <c r="Z417" s="21" t="n">
        <v>98296997.36296695</v>
      </c>
      <c r="AA417" s="21" t="n">
        <v>9597834972.625748</v>
      </c>
      <c r="AB417" s="25" t="n">
        <v>186929499939.411</v>
      </c>
      <c r="AC417" s="25" t="n">
        <v>41649582965.42497</v>
      </c>
      <c r="AD417" s="21" t="n">
        <v>34707985.80452082</v>
      </c>
      <c r="AE417" s="21" t="n">
        <v>23054828.00564714</v>
      </c>
      <c r="AF417" s="21" t="n">
        <v>2251100648.612861</v>
      </c>
      <c r="AG417" s="25" t="n">
        <v>43842920800.22767</v>
      </c>
      <c r="AH417" s="25" t="n">
        <v>137529446970.0285</v>
      </c>
      <c r="AI417" s="21" t="n">
        <v>114607872.4750237</v>
      </c>
      <c r="AJ417" s="21" t="n">
        <v>76128439.22682054</v>
      </c>
      <c r="AK417" s="21" t="n">
        <v>7433270761.308815</v>
      </c>
      <c r="AL417" s="25" t="n">
        <v>144771981419.6354</v>
      </c>
      <c r="AM417" s="25" t="n">
        <v>1246737916410.747</v>
      </c>
      <c r="AN417" s="21" t="n">
        <v>1038948263.675622</v>
      </c>
      <c r="AO417" s="21" t="n">
        <v>690122833.998834</v>
      </c>
      <c r="AP417" s="21" t="n">
        <v>67384408977.45113</v>
      </c>
      <c r="AQ417" s="25" t="n">
        <v>1312393254290.523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 t="n">
        <v>654092983103.704</v>
      </c>
      <c r="J418" s="19" t="n">
        <v>545077485.9197533</v>
      </c>
      <c r="K418" s="19" t="n">
        <v>362068480.6778277</v>
      </c>
      <c r="L418" s="19" t="n">
        <v>23690586703.13814</v>
      </c>
      <c r="M418" s="24" t="n">
        <v>676876423840.2445</v>
      </c>
      <c r="N418" s="24" t="n">
        <v>80447678634.9451</v>
      </c>
      <c r="O418" s="19" t="n">
        <v>67039732.19578759</v>
      </c>
      <c r="P418" s="19" t="n">
        <v>44531235.66499817</v>
      </c>
      <c r="Q418" s="19" t="n">
        <v>2913733605.158084</v>
      </c>
      <c r="R418" s="24" t="n">
        <v>83249841272.2424</v>
      </c>
      <c r="S418" s="24" t="n">
        <v>202308190392.6001</v>
      </c>
      <c r="T418" s="19" t="n">
        <v>168590158.6605001</v>
      </c>
      <c r="U418" s="19" t="n">
        <v>111986248.1578036</v>
      </c>
      <c r="V418" s="19" t="n">
        <v>7327398166.708344</v>
      </c>
      <c r="W418" s="24" t="n">
        <v>209355012152.4901</v>
      </c>
      <c r="X418" s="24" t="n">
        <v>186929499939.411</v>
      </c>
      <c r="Y418" s="19" t="n">
        <v>155774583.2828425</v>
      </c>
      <c r="Z418" s="19" t="n">
        <v>103473484.3290591</v>
      </c>
      <c r="AA418" s="19" t="n">
        <v>6770397542.984735</v>
      </c>
      <c r="AB418" s="24" t="n">
        <v>193440649414.7838</v>
      </c>
      <c r="AC418" s="24" t="n">
        <v>43842920800.22767</v>
      </c>
      <c r="AD418" s="19" t="n">
        <v>36535767.33352306</v>
      </c>
      <c r="AE418" s="19" t="n">
        <v>24268934.436956</v>
      </c>
      <c r="AF418" s="19" t="n">
        <v>1587946275.784976</v>
      </c>
      <c r="AG418" s="24" t="n">
        <v>45370062374.24216</v>
      </c>
      <c r="AH418" s="24" t="n">
        <v>144771981419.6354</v>
      </c>
      <c r="AI418" s="19" t="n">
        <v>120643317.8496962</v>
      </c>
      <c r="AJ418" s="19" t="n">
        <v>80137492.23941074</v>
      </c>
      <c r="AK418" s="19" t="n">
        <v>5243494834.224825</v>
      </c>
      <c r="AL418" s="24" t="n">
        <v>149814695443.7711</v>
      </c>
      <c r="AM418" s="24" t="n">
        <v>1312393254290.523</v>
      </c>
      <c r="AN418" s="19" t="n">
        <v>1093661045.242103</v>
      </c>
      <c r="AO418" s="19" t="n">
        <v>726465875.5060554</v>
      </c>
      <c r="AP418" s="19" t="n">
        <v>47533557127.9991</v>
      </c>
      <c r="AQ418" s="24" t="n">
        <v>1358106684497.774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 t="n">
        <v>676876423840.2445</v>
      </c>
      <c r="J419" s="21" t="n">
        <v>564063686.5335371</v>
      </c>
      <c r="K419" s="21" t="n">
        <v>374680090.9307765</v>
      </c>
      <c r="L419" s="21" t="n">
        <v>32471893544.05948</v>
      </c>
      <c r="M419" s="25" t="n">
        <v>708409573606.8396</v>
      </c>
      <c r="N419" s="25" t="n">
        <v>83249841272.2424</v>
      </c>
      <c r="O419" s="21" t="n">
        <v>69374867.72686867</v>
      </c>
      <c r="P419" s="21" t="n">
        <v>46082352.70020042</v>
      </c>
      <c r="Q419" s="21" t="n">
        <v>3993757040.635426</v>
      </c>
      <c r="R419" s="25" t="n">
        <v>87128141092.45076</v>
      </c>
      <c r="S419" s="25" t="n">
        <v>209355012152.4901</v>
      </c>
      <c r="T419" s="21" t="n">
        <v>174462510.1270751</v>
      </c>
      <c r="U419" s="21" t="n">
        <v>115886965.8143425</v>
      </c>
      <c r="V419" s="21" t="n">
        <v>10043419194.5433</v>
      </c>
      <c r="W419" s="25" t="n">
        <v>219108081871.092</v>
      </c>
      <c r="X419" s="25" t="n">
        <v>193440649414.7838</v>
      </c>
      <c r="Y419" s="21" t="n">
        <v>161200541.1789865</v>
      </c>
      <c r="Z419" s="21" t="n">
        <v>107077684.433497</v>
      </c>
      <c r="AA419" s="21" t="n">
        <v>9279957099.485441</v>
      </c>
      <c r="AB419" s="25" t="n">
        <v>202452328288.6568</v>
      </c>
      <c r="AC419" s="25" t="n">
        <v>45370062374.24216</v>
      </c>
      <c r="AD419" s="21" t="n">
        <v>37808385.31186847</v>
      </c>
      <c r="AE419" s="21" t="n">
        <v>25114272.70501033</v>
      </c>
      <c r="AF419" s="21" t="n">
        <v>2176544762.994205</v>
      </c>
      <c r="AG419" s="25" t="n">
        <v>47483684479.21948</v>
      </c>
      <c r="AH419" s="25" t="n">
        <v>149814695443.7711</v>
      </c>
      <c r="AI419" s="21" t="n">
        <v>124845579.536476</v>
      </c>
      <c r="AJ419" s="21" t="n">
        <v>82928850.42911039</v>
      </c>
      <c r="AK419" s="21" t="n">
        <v>7187082708.813635</v>
      </c>
      <c r="AL419" s="25" t="n">
        <v>156794003722.6192</v>
      </c>
      <c r="AM419" s="25" t="n">
        <v>1358106684497.774</v>
      </c>
      <c r="AN419" s="21" t="n">
        <v>1131755570.414812</v>
      </c>
      <c r="AO419" s="21" t="n">
        <v>751770217.0129371</v>
      </c>
      <c r="AP419" s="21" t="n">
        <v>65152654350.53149</v>
      </c>
      <c r="AQ419" s="25" t="n">
        <v>1421375813060.878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 t="n">
        <v>708409573606.8396</v>
      </c>
      <c r="J420" s="19" t="n">
        <v>590341311.339033</v>
      </c>
      <c r="K420" s="19" t="n">
        <v>392135039.8782526</v>
      </c>
      <c r="L420" s="19" t="n">
        <v>36862732948.81563</v>
      </c>
      <c r="M420" s="24" t="n">
        <v>744289830204.438</v>
      </c>
      <c r="N420" s="24" t="n">
        <v>87128141092.45076</v>
      </c>
      <c r="O420" s="19" t="n">
        <v>72606784.24370897</v>
      </c>
      <c r="P420" s="19" t="n">
        <v>48229157.75665108</v>
      </c>
      <c r="Q420" s="19" t="n">
        <v>4533791632.805133</v>
      </c>
      <c r="R420" s="24" t="n">
        <v>91541096783.25552</v>
      </c>
      <c r="S420" s="24" t="n">
        <v>219108081871.092</v>
      </c>
      <c r="T420" s="19" t="n">
        <v>182590068.22591</v>
      </c>
      <c r="U420" s="19" t="n">
        <v>121285707.6235009</v>
      </c>
      <c r="V420" s="19" t="n">
        <v>11401487232.61596</v>
      </c>
      <c r="W420" s="24" t="n">
        <v>230205693327.8586</v>
      </c>
      <c r="X420" s="24" t="n">
        <v>202452328288.6568</v>
      </c>
      <c r="Y420" s="19" t="n">
        <v>168710273.5738807</v>
      </c>
      <c r="Z420" s="19" t="n">
        <v>112066034.656637</v>
      </c>
      <c r="AA420" s="19" t="n">
        <v>10534790029.12596</v>
      </c>
      <c r="AB420" s="24" t="n">
        <v>212706342009.5522</v>
      </c>
      <c r="AC420" s="24" t="n">
        <v>47483684479.21948</v>
      </c>
      <c r="AD420" s="19" t="n">
        <v>39569737.06601623</v>
      </c>
      <c r="AE420" s="19" t="n">
        <v>26284253.06566936</v>
      </c>
      <c r="AF420" s="19" t="n">
        <v>2470856472.861181</v>
      </c>
      <c r="AG420" s="24" t="n">
        <v>49888686961.94898</v>
      </c>
      <c r="AH420" s="24" t="n">
        <v>156794003722.6192</v>
      </c>
      <c r="AI420" s="19" t="n">
        <v>130661669.7688493</v>
      </c>
      <c r="AJ420" s="19" t="n">
        <v>86792196.48231831</v>
      </c>
      <c r="AK420" s="19" t="n">
        <v>8158917810.46183</v>
      </c>
      <c r="AL420" s="24" t="n">
        <v>164735467666.8298</v>
      </c>
      <c r="AM420" s="24" t="n">
        <v>1421375813060.878</v>
      </c>
      <c r="AN420" s="19" t="n">
        <v>1184479844.217398</v>
      </c>
      <c r="AO420" s="19" t="n">
        <v>786792389.4630293</v>
      </c>
      <c r="AP420" s="19" t="n">
        <v>73962576126.6857</v>
      </c>
      <c r="AQ420" s="24" t="n">
        <v>1493367116953.883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 t="n">
        <v>744289830204.438</v>
      </c>
      <c r="J421" s="21" t="n">
        <v>620241525.170365</v>
      </c>
      <c r="K421" s="21" t="n">
        <v>411996298.6414632</v>
      </c>
      <c r="L421" s="21" t="n">
        <v>14866324063.61645</v>
      </c>
      <c r="M421" s="25" t="n">
        <v>758123916444.2426</v>
      </c>
      <c r="N421" s="25" t="n">
        <v>91541096783.25552</v>
      </c>
      <c r="O421" s="21" t="n">
        <v>76284247.31937961</v>
      </c>
      <c r="P421" s="21" t="n">
        <v>50671917.73656503</v>
      </c>
      <c r="Q421" s="21" t="n">
        <v>1828426984.612908</v>
      </c>
      <c r="R421" s="25" t="n">
        <v>93242567602.81248</v>
      </c>
      <c r="S421" s="25" t="n">
        <v>230205693327.8586</v>
      </c>
      <c r="T421" s="21" t="n">
        <v>191838077.7732155</v>
      </c>
      <c r="U421" s="21" t="n">
        <v>127428710.8708959</v>
      </c>
      <c r="V421" s="21" t="n">
        <v>4598091092.231407</v>
      </c>
      <c r="W421" s="25" t="n">
        <v>234484517631.4459</v>
      </c>
      <c r="X421" s="25" t="n">
        <v>212706342009.5522</v>
      </c>
      <c r="Y421" s="21" t="n">
        <v>177255285.0079602</v>
      </c>
      <c r="Z421" s="21" t="n">
        <v>117742070.4262878</v>
      </c>
      <c r="AA421" s="21" t="n">
        <v>4248561894.002863</v>
      </c>
      <c r="AB421" s="25" t="n">
        <v>216659906548.1208</v>
      </c>
      <c r="AC421" s="25" t="n">
        <v>49888686961.94898</v>
      </c>
      <c r="AD421" s="21" t="n">
        <v>41573905.80162416</v>
      </c>
      <c r="AE421" s="21" t="n">
        <v>27615524.94511439</v>
      </c>
      <c r="AF421" s="21" t="n">
        <v>996468522.592784</v>
      </c>
      <c r="AG421" s="25" t="n">
        <v>50815966053.79503</v>
      </c>
      <c r="AH421" s="25" t="n">
        <v>164735467666.8298</v>
      </c>
      <c r="AI421" s="21" t="n">
        <v>137279556.3890249</v>
      </c>
      <c r="AJ421" s="21" t="n">
        <v>91188136.90503068</v>
      </c>
      <c r="AK421" s="21" t="n">
        <v>3290399448.873054</v>
      </c>
      <c r="AL421" s="25" t="n">
        <v>167797399422.4088</v>
      </c>
      <c r="AM421" s="25" t="n">
        <v>1493367116953.883</v>
      </c>
      <c r="AN421" s="21" t="n">
        <v>1244472597.461569</v>
      </c>
      <c r="AO421" s="21" t="n">
        <v>826642659.525357</v>
      </c>
      <c r="AP421" s="21" t="n">
        <v>29828272005.92946</v>
      </c>
      <c r="AQ421" s="25" t="n">
        <v>1521124273702.826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 t="n">
        <v>758123916444.2426</v>
      </c>
      <c r="J422" s="19" t="n">
        <v>631769930.3702022</v>
      </c>
      <c r="K422" s="19" t="n">
        <v>419654057.8833445</v>
      </c>
      <c r="L422" s="19" t="n">
        <v>34661250887.41865</v>
      </c>
      <c r="M422" s="24" t="n">
        <v>791733743343.4077</v>
      </c>
      <c r="N422" s="24" t="n">
        <v>93242567602.81248</v>
      </c>
      <c r="O422" s="19" t="n">
        <v>77702139.66901042</v>
      </c>
      <c r="P422" s="19" t="n">
        <v>51613754.70847607</v>
      </c>
      <c r="Q422" s="19" t="n">
        <v>4263028719.930739</v>
      </c>
      <c r="R422" s="24" t="n">
        <v>97376280428.36574</v>
      </c>
      <c r="S422" s="24" t="n">
        <v>234484517631.4459</v>
      </c>
      <c r="T422" s="19" t="n">
        <v>195403764.6928716</v>
      </c>
      <c r="U422" s="19" t="n">
        <v>129797223.3831935</v>
      </c>
      <c r="V422" s="19" t="n">
        <v>10720578151.60174</v>
      </c>
      <c r="W422" s="24" t="n">
        <v>244879894794.9716</v>
      </c>
      <c r="X422" s="24" t="n">
        <v>216659906548.1208</v>
      </c>
      <c r="Y422" s="19" t="n">
        <v>180549922.123434</v>
      </c>
      <c r="Z422" s="19" t="n">
        <v>119930537.7279073</v>
      </c>
      <c r="AA422" s="19" t="n">
        <v>9905641037.32692</v>
      </c>
      <c r="AB422" s="24" t="n">
        <v>226265067125.5964</v>
      </c>
      <c r="AC422" s="24" t="n">
        <v>50815966053.79503</v>
      </c>
      <c r="AD422" s="19" t="n">
        <v>42346638.37816253</v>
      </c>
      <c r="AE422" s="19" t="n">
        <v>28128813.63742831</v>
      </c>
      <c r="AF422" s="19" t="n">
        <v>2323294266.63943</v>
      </c>
      <c r="AG422" s="24" t="n">
        <v>53068784868.41886</v>
      </c>
      <c r="AH422" s="24" t="n">
        <v>167797399422.4088</v>
      </c>
      <c r="AI422" s="19" t="n">
        <v>139831166.1853407</v>
      </c>
      <c r="AJ422" s="19" t="n">
        <v>92883047.27300495</v>
      </c>
      <c r="AK422" s="19" t="n">
        <v>7671658463.058475</v>
      </c>
      <c r="AL422" s="24" t="n">
        <v>175236343672.0089</v>
      </c>
      <c r="AM422" s="24" t="n">
        <v>1521124273702.826</v>
      </c>
      <c r="AN422" s="19" t="n">
        <v>1267603561.419021</v>
      </c>
      <c r="AO422" s="19" t="n">
        <v>842007434.6133547</v>
      </c>
      <c r="AP422" s="19" t="n">
        <v>69545451525.97595</v>
      </c>
      <c r="AQ422" s="24" t="n">
        <v>1588560114232.77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 t="n">
        <v>791733743343.4077</v>
      </c>
      <c r="J423" s="21" t="n">
        <v>659778119.4528399</v>
      </c>
      <c r="K423" s="21" t="n">
        <v>438258536.5669144</v>
      </c>
      <c r="L423" s="21" t="n">
        <v>45608531687.99134</v>
      </c>
      <c r="M423" s="25" t="n">
        <v>836244238375.3793</v>
      </c>
      <c r="N423" s="25" t="n">
        <v>97376280428.36574</v>
      </c>
      <c r="O423" s="21" t="n">
        <v>81146900.35697146</v>
      </c>
      <c r="P423" s="21" t="n">
        <v>53901941.80261773</v>
      </c>
      <c r="Q423" s="21" t="n">
        <v>5609447884.362208</v>
      </c>
      <c r="R423" s="25" t="n">
        <v>102850679470.5684</v>
      </c>
      <c r="S423" s="25" t="n">
        <v>244879894794.9716</v>
      </c>
      <c r="T423" s="21" t="n">
        <v>204066578.9958096</v>
      </c>
      <c r="U423" s="21" t="n">
        <v>135551509.8728775</v>
      </c>
      <c r="V423" s="21" t="n">
        <v>14106525754.91425</v>
      </c>
      <c r="W423" s="25" t="n">
        <v>258646802461.0171</v>
      </c>
      <c r="X423" s="25" t="n">
        <v>226265067125.5964</v>
      </c>
      <c r="Y423" s="21" t="n">
        <v>188554222.6046637</v>
      </c>
      <c r="Z423" s="21" t="n">
        <v>125247405.4925655</v>
      </c>
      <c r="AA423" s="21" t="n">
        <v>13034201927.91657</v>
      </c>
      <c r="AB423" s="25" t="n">
        <v>238985467425.4157</v>
      </c>
      <c r="AC423" s="25" t="n">
        <v>53068784868.41886</v>
      </c>
      <c r="AD423" s="21" t="n">
        <v>44223987.39034905</v>
      </c>
      <c r="AE423" s="21" t="n">
        <v>29375845.33861376</v>
      </c>
      <c r="AF423" s="21" t="n">
        <v>3057074902.597216</v>
      </c>
      <c r="AG423" s="25" t="n">
        <v>56052259938.28711</v>
      </c>
      <c r="AH423" s="25" t="n">
        <v>175236343672.0089</v>
      </c>
      <c r="AI423" s="21" t="n">
        <v>146030286.3933408</v>
      </c>
      <c r="AJ423" s="21" t="n">
        <v>97000821.52204126</v>
      </c>
      <c r="AK423" s="21" t="n">
        <v>10094646591.03961</v>
      </c>
      <c r="AL423" s="25" t="n">
        <v>185087959155.1332</v>
      </c>
      <c r="AM423" s="25" t="n">
        <v>1588560114232.77</v>
      </c>
      <c r="AN423" s="21" t="n">
        <v>1323800095.193975</v>
      </c>
      <c r="AO423" s="21" t="n">
        <v>879336060.5956302</v>
      </c>
      <c r="AP423" s="21" t="n">
        <v>91510428748.82118</v>
      </c>
      <c r="AQ423" s="25" t="n">
        <v>1677867406825.801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 t="n">
        <v>836244238375.3793</v>
      </c>
      <c r="J424" s="19" t="n">
        <v>696870198.6461494</v>
      </c>
      <c r="K424" s="19" t="n">
        <v>462897001.9330669</v>
      </c>
      <c r="L424" s="19" t="n">
        <v>35204841417.0117</v>
      </c>
      <c r="M424" s="24" t="n">
        <v>870289312591.8118</v>
      </c>
      <c r="N424" s="24" t="n">
        <v>102850679470.5684</v>
      </c>
      <c r="O424" s="19" t="n">
        <v>85708899.55880699</v>
      </c>
      <c r="P424" s="19" t="n">
        <v>56932256.13870686</v>
      </c>
      <c r="Q424" s="19" t="n">
        <v>4329885569.588716</v>
      </c>
      <c r="R424" s="24" t="n">
        <v>107037923884.4596</v>
      </c>
      <c r="S424" s="24" t="n">
        <v>258646802461.0171</v>
      </c>
      <c r="T424" s="19" t="n">
        <v>215539002.0508476</v>
      </c>
      <c r="U424" s="19" t="n">
        <v>143172082.8969529</v>
      </c>
      <c r="V424" s="19" t="n">
        <v>10888708400.96583</v>
      </c>
      <c r="W424" s="24" t="n">
        <v>269176799777.0352</v>
      </c>
      <c r="X424" s="24" t="n">
        <v>238985467425.4157</v>
      </c>
      <c r="Y424" s="19" t="n">
        <v>199154556.1878465</v>
      </c>
      <c r="Z424" s="19" t="n">
        <v>132288691.8679601</v>
      </c>
      <c r="AA424" s="19" t="n">
        <v>10060990671.84902</v>
      </c>
      <c r="AB424" s="24" t="n">
        <v>248715014849.209</v>
      </c>
      <c r="AC424" s="24" t="n">
        <v>56052259938.28711</v>
      </c>
      <c r="AD424" s="19" t="n">
        <v>46710216.61523926</v>
      </c>
      <c r="AE424" s="19" t="n">
        <v>31027326.57077996</v>
      </c>
      <c r="AF424" s="19" t="n">
        <v>2359730365.408774</v>
      </c>
      <c r="AG424" s="24" t="n">
        <v>58334252760.50986</v>
      </c>
      <c r="AH424" s="24" t="n">
        <v>185087959155.1332</v>
      </c>
      <c r="AI424" s="19" t="n">
        <v>154239965.962611</v>
      </c>
      <c r="AJ424" s="19" t="n">
        <v>102454112.6325368</v>
      </c>
      <c r="AK424" s="19" t="n">
        <v>7791972669.269212</v>
      </c>
      <c r="AL424" s="24" t="n">
        <v>192623237745.8073</v>
      </c>
      <c r="AM424" s="24" t="n">
        <v>1677867406825.801</v>
      </c>
      <c r="AN424" s="19" t="n">
        <v>1398222839.021501</v>
      </c>
      <c r="AO424" s="19" t="n">
        <v>928771472.0400035</v>
      </c>
      <c r="AP424" s="19" t="n">
        <v>70636129094.09326</v>
      </c>
      <c r="AQ424" s="24" t="n">
        <v>1746176541608.833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 t="n">
        <v>870289312591.8118</v>
      </c>
      <c r="J425" s="21" t="n">
        <v>725241093.8265098</v>
      </c>
      <c r="K425" s="21" t="n">
        <v>481742408.6482055</v>
      </c>
      <c r="L425" s="21" t="n">
        <v>37023774049.36329</v>
      </c>
      <c r="M425" s="25" t="n">
        <v>906106103138.7003</v>
      </c>
      <c r="N425" s="25" t="n">
        <v>107037923884.4596</v>
      </c>
      <c r="O425" s="21" t="n">
        <v>89198269.90371633</v>
      </c>
      <c r="P425" s="21" t="n">
        <v>59250075.25972921</v>
      </c>
      <c r="Q425" s="21" t="n">
        <v>4553598270.45228</v>
      </c>
      <c r="R425" s="25" t="n">
        <v>111443073809.7484</v>
      </c>
      <c r="S425" s="25" t="n">
        <v>269176799777.0352</v>
      </c>
      <c r="T425" s="21" t="n">
        <v>224313999.814196</v>
      </c>
      <c r="U425" s="21" t="n">
        <v>149000887.4067664</v>
      </c>
      <c r="V425" s="21" t="n">
        <v>11451296563.20385</v>
      </c>
      <c r="W425" s="25" t="n">
        <v>280254781453.018</v>
      </c>
      <c r="X425" s="25" t="n">
        <v>248715014849.209</v>
      </c>
      <c r="Y425" s="21" t="n">
        <v>207262512.3743408</v>
      </c>
      <c r="Z425" s="21" t="n">
        <v>137674413.0794919</v>
      </c>
      <c r="AA425" s="21" t="n">
        <v>10580813045.99464</v>
      </c>
      <c r="AB425" s="25" t="n">
        <v>258950890969.7498</v>
      </c>
      <c r="AC425" s="25" t="n">
        <v>58334252760.50986</v>
      </c>
      <c r="AD425" s="21" t="n">
        <v>48611877.30042489</v>
      </c>
      <c r="AE425" s="21" t="n">
        <v>32290507.334682</v>
      </c>
      <c r="AF425" s="21" t="n">
        <v>2481650828.40279</v>
      </c>
      <c r="AG425" s="25" t="n">
        <v>60735001204.27756</v>
      </c>
      <c r="AH425" s="25" t="n">
        <v>192623237745.8073</v>
      </c>
      <c r="AI425" s="21" t="n">
        <v>160519364.7881727</v>
      </c>
      <c r="AJ425" s="21" t="n">
        <v>106625212.0653173</v>
      </c>
      <c r="AK425" s="21" t="n">
        <v>8194561426.612023</v>
      </c>
      <c r="AL425" s="25" t="n">
        <v>200550654595.5658</v>
      </c>
      <c r="AM425" s="25" t="n">
        <v>1746176541608.833</v>
      </c>
      <c r="AN425" s="21" t="n">
        <v>1455147118.00736</v>
      </c>
      <c r="AO425" s="21" t="n">
        <v>966583503.7941922</v>
      </c>
      <c r="AP425" s="21" t="n">
        <v>74285694184.02887</v>
      </c>
      <c r="AQ425" s="25" t="n">
        <v>1818040505171.06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 t="n">
        <v>906106103138.7003</v>
      </c>
      <c r="J426" s="19" t="n">
        <v>755088419.2822503</v>
      </c>
      <c r="K426" s="19" t="n">
        <v>501568536.2341238</v>
      </c>
      <c r="L426" s="19" t="n">
        <v>50261629002.0995</v>
      </c>
      <c r="M426" s="24" t="n">
        <v>955111075185.2834</v>
      </c>
      <c r="N426" s="24" t="n">
        <v>111443073809.7484</v>
      </c>
      <c r="O426" s="19" t="n">
        <v>92869228.17479035</v>
      </c>
      <c r="P426" s="19" t="n">
        <v>61688514.4141124</v>
      </c>
      <c r="Q426" s="19" t="n">
        <v>6181737890.603036</v>
      </c>
      <c r="R426" s="24" t="n">
        <v>117470253957.7626</v>
      </c>
      <c r="S426" s="24" t="n">
        <v>280254781453.018</v>
      </c>
      <c r="T426" s="19" t="n">
        <v>233545651.2108484</v>
      </c>
      <c r="U426" s="19" t="n">
        <v>155133024.7297622</v>
      </c>
      <c r="V426" s="19" t="n">
        <v>15545709054.00896</v>
      </c>
      <c r="W426" s="24" t="n">
        <v>295411811831.0864</v>
      </c>
      <c r="X426" s="24" t="n">
        <v>258950890969.7498</v>
      </c>
      <c r="Y426" s="19" t="n">
        <v>215792409.1414582</v>
      </c>
      <c r="Z426" s="19" t="n">
        <v>143340408.9105205</v>
      </c>
      <c r="AA426" s="19" t="n">
        <v>14363984048.44691</v>
      </c>
      <c r="AB426" s="24" t="n">
        <v>272955742200.1447</v>
      </c>
      <c r="AC426" s="24" t="n">
        <v>60735001204.27756</v>
      </c>
      <c r="AD426" s="19" t="n">
        <v>50612501.00356463</v>
      </c>
      <c r="AE426" s="19" t="n">
        <v>33619424.42136295</v>
      </c>
      <c r="AF426" s="19" t="n">
        <v>3368965386.500866</v>
      </c>
      <c r="AG426" s="24" t="n">
        <v>64019734665.3535</v>
      </c>
      <c r="AH426" s="24" t="n">
        <v>200550654595.5658</v>
      </c>
      <c r="AI426" s="19" t="n">
        <v>167125545.4963048</v>
      </c>
      <c r="AJ426" s="19" t="n">
        <v>111013376.8196192</v>
      </c>
      <c r="AK426" s="19" t="n">
        <v>11124527869.85318</v>
      </c>
      <c r="AL426" s="24" t="n">
        <v>211397043543.1031</v>
      </c>
      <c r="AM426" s="24" t="n">
        <v>1818040505171.06</v>
      </c>
      <c r="AN426" s="19" t="n">
        <v>1515033754.309216</v>
      </c>
      <c r="AO426" s="19" t="n">
        <v>1006363285.529501</v>
      </c>
      <c r="AP426" s="19" t="n">
        <v>100846553251.5125</v>
      </c>
      <c r="AQ426" s="24" t="n">
        <v>1916365661382.734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 t="n">
        <v>955111075185.2834</v>
      </c>
      <c r="J427" s="21" t="n">
        <v>795925895.9877362</v>
      </c>
      <c r="K427" s="21" t="n">
        <v>528694887.1244415</v>
      </c>
      <c r="L427" s="21" t="n">
        <v>25020706174.17463</v>
      </c>
      <c r="M427" s="25" t="n">
        <v>978807160576.3459</v>
      </c>
      <c r="N427" s="25" t="n">
        <v>117470253957.7626</v>
      </c>
      <c r="O427" s="21" t="n">
        <v>97891878.29813547</v>
      </c>
      <c r="P427" s="21" t="n">
        <v>65024816.76765264</v>
      </c>
      <c r="Q427" s="21" t="n">
        <v>3077326590.431038</v>
      </c>
      <c r="R427" s="25" t="n">
        <v>120384663853.1278</v>
      </c>
      <c r="S427" s="25" t="n">
        <v>295411811831.0864</v>
      </c>
      <c r="T427" s="21" t="n">
        <v>246176509.8592387</v>
      </c>
      <c r="U427" s="21" t="n">
        <v>163523090.2133187</v>
      </c>
      <c r="V427" s="21" t="n">
        <v>7738798487.675694</v>
      </c>
      <c r="W427" s="25" t="n">
        <v>302740910718.6895</v>
      </c>
      <c r="X427" s="25" t="n">
        <v>272955742200.1447</v>
      </c>
      <c r="Y427" s="21" t="n">
        <v>227463118.5001206</v>
      </c>
      <c r="Z427" s="21" t="n">
        <v>151092693.8884869</v>
      </c>
      <c r="AA427" s="21" t="n">
        <v>7150524794.007551</v>
      </c>
      <c r="AB427" s="25" t="n">
        <v>279727711181.7636</v>
      </c>
      <c r="AC427" s="25" t="n">
        <v>64019734665.3535</v>
      </c>
      <c r="AD427" s="21" t="n">
        <v>53349778.88779458</v>
      </c>
      <c r="AE427" s="21" t="n">
        <v>35437665.07583398</v>
      </c>
      <c r="AF427" s="21" t="n">
        <v>1677102288.966435</v>
      </c>
      <c r="AG427" s="25" t="n">
        <v>65608049510.35631</v>
      </c>
      <c r="AH427" s="25" t="n">
        <v>211397043543.1031</v>
      </c>
      <c r="AI427" s="21" t="n">
        <v>176164202.9525859</v>
      </c>
      <c r="AJ427" s="21" t="n">
        <v>117017317.6484004</v>
      </c>
      <c r="AK427" s="21" t="n">
        <v>5537893392.718855</v>
      </c>
      <c r="AL427" s="25" t="n">
        <v>216641755415.2209</v>
      </c>
      <c r="AM427" s="25" t="n">
        <v>1916365661382.734</v>
      </c>
      <c r="AN427" s="21" t="n">
        <v>1596971384.485611</v>
      </c>
      <c r="AO427" s="21" t="n">
        <v>1060790470.718134</v>
      </c>
      <c r="AP427" s="21" t="n">
        <v>50202351727.97421</v>
      </c>
      <c r="AQ427" s="25" t="n">
        <v>1963910251255.504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 t="n">
        <v>978807160576.3459</v>
      </c>
      <c r="J428" s="19" t="n">
        <v>815672633.8136216</v>
      </c>
      <c r="K428" s="19" t="n">
        <v>541811685.2818586</v>
      </c>
      <c r="L428" s="19" t="n">
        <v>25217456571.55086</v>
      </c>
      <c r="M428" s="24" t="n">
        <v>1002667132828.801</v>
      </c>
      <c r="N428" s="24" t="n">
        <v>120384663853.1278</v>
      </c>
      <c r="O428" s="19" t="n">
        <v>100320553.2109398</v>
      </c>
      <c r="P428" s="19" t="n">
        <v>66638067.46769879</v>
      </c>
      <c r="Q428" s="19" t="n">
        <v>3101525157.222438</v>
      </c>
      <c r="R428" s="24" t="n">
        <v>123319230389.6716</v>
      </c>
      <c r="S428" s="24" t="n">
        <v>302740910718.6895</v>
      </c>
      <c r="T428" s="19" t="n">
        <v>252284092.2655746</v>
      </c>
      <c r="U428" s="19" t="n">
        <v>167580060.3498587</v>
      </c>
      <c r="V428" s="19" t="n">
        <v>7799652552.587592</v>
      </c>
      <c r="W428" s="24" t="n">
        <v>310120699118.6617</v>
      </c>
      <c r="X428" s="24" t="n">
        <v>279727711181.7636</v>
      </c>
      <c r="Y428" s="19" t="n">
        <v>233106425.984803</v>
      </c>
      <c r="Z428" s="19" t="n">
        <v>154841268.7604229</v>
      </c>
      <c r="AA428" s="19" t="n">
        <v>7206752966.980608</v>
      </c>
      <c r="AB428" s="24" t="n">
        <v>286546516453.999</v>
      </c>
      <c r="AC428" s="24" t="n">
        <v>65608049510.35631</v>
      </c>
      <c r="AD428" s="19" t="n">
        <v>54673374.5919636</v>
      </c>
      <c r="AE428" s="19" t="n">
        <v>36316865.36940605</v>
      </c>
      <c r="AF428" s="19" t="n">
        <v>1690290187.801014</v>
      </c>
      <c r="AG428" s="24" t="n">
        <v>67207349458.19595</v>
      </c>
      <c r="AH428" s="24" t="n">
        <v>216641755415.2209</v>
      </c>
      <c r="AI428" s="19" t="n">
        <v>180534796.1793508</v>
      </c>
      <c r="AJ428" s="19" t="n">
        <v>119920490.2984418</v>
      </c>
      <c r="AK428" s="19" t="n">
        <v>5581440633.874231</v>
      </c>
      <c r="AL428" s="24" t="n">
        <v>221922740762.6174</v>
      </c>
      <c r="AM428" s="24" t="n">
        <v>1963910251255.504</v>
      </c>
      <c r="AN428" s="19" t="n">
        <v>1636591876.046253</v>
      </c>
      <c r="AO428" s="19" t="n">
        <v>1087108437.527687</v>
      </c>
      <c r="AP428" s="19" t="n">
        <v>50597118070.01674</v>
      </c>
      <c r="AQ428" s="24" t="n">
        <v>2011783669011.947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 t="n">
        <v>1002667132828.801</v>
      </c>
      <c r="J429" s="21" t="n">
        <v>835555944.0240012</v>
      </c>
      <c r="K429" s="21" t="n">
        <v>555019201.8362626</v>
      </c>
      <c r="L429" s="21" t="n">
        <v>43454180169.81915</v>
      </c>
      <c r="M429" s="25" t="n">
        <v>1044730737852.76</v>
      </c>
      <c r="N429" s="25" t="n">
        <v>123319230389.6716</v>
      </c>
      <c r="O429" s="21" t="n">
        <v>102766025.3247264</v>
      </c>
      <c r="P429" s="21" t="n">
        <v>68262475.73193781</v>
      </c>
      <c r="Q429" s="21" t="n">
        <v>5344481613.392224</v>
      </c>
      <c r="R429" s="25" t="n">
        <v>128492683502.0072</v>
      </c>
      <c r="S429" s="25" t="n">
        <v>310120699118.6617</v>
      </c>
      <c r="T429" s="21" t="n">
        <v>258433915.9322181</v>
      </c>
      <c r="U429" s="21" t="n">
        <v>171665089.3025055</v>
      </c>
      <c r="V429" s="21" t="n">
        <v>13440193951.37942</v>
      </c>
      <c r="W429" s="25" t="n">
        <v>323130794064.8064</v>
      </c>
      <c r="X429" s="25" t="n">
        <v>286546516453.999</v>
      </c>
      <c r="Y429" s="21" t="n">
        <v>238788763.7116658</v>
      </c>
      <c r="Z429" s="21" t="n">
        <v>158615769.5251938</v>
      </c>
      <c r="AA429" s="21" t="n">
        <v>12418522105.03459</v>
      </c>
      <c r="AB429" s="25" t="n">
        <v>298567634025.7967</v>
      </c>
      <c r="AC429" s="25" t="n">
        <v>67207349458.19595</v>
      </c>
      <c r="AD429" s="21" t="n">
        <v>56006124.54849663</v>
      </c>
      <c r="AE429" s="21" t="n">
        <v>37202146.38788568</v>
      </c>
      <c r="AF429" s="21" t="n">
        <v>2912671789.543031</v>
      </c>
      <c r="AG429" s="25" t="n">
        <v>70026812976.8026</v>
      </c>
      <c r="AH429" s="25" t="n">
        <v>221922740762.6174</v>
      </c>
      <c r="AI429" s="21" t="n">
        <v>184935617.3021812</v>
      </c>
      <c r="AJ429" s="21" t="n">
        <v>122843741.8706277</v>
      </c>
      <c r="AK429" s="21" t="n">
        <v>9617818760.720665</v>
      </c>
      <c r="AL429" s="25" t="n">
        <v>231232780164.1652</v>
      </c>
      <c r="AM429" s="25" t="n">
        <v>2011783669011.947</v>
      </c>
      <c r="AN429" s="21" t="n">
        <v>1676486390.84329</v>
      </c>
      <c r="AO429" s="21" t="n">
        <v>1113608424.654413</v>
      </c>
      <c r="AP429" s="21" t="n">
        <v>87187868389.8891</v>
      </c>
      <c r="AQ429" s="25" t="n">
        <v>2096181442586.338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 t="n">
        <v>1044730737852.76</v>
      </c>
      <c r="J430" s="19" t="n">
        <v>870608948.2106336</v>
      </c>
      <c r="K430" s="19" t="n">
        <v>578303208.7837005</v>
      </c>
      <c r="L430" s="19" t="n">
        <v>14587228246.78558</v>
      </c>
      <c r="M430" s="24" t="n">
        <v>1057869053942.551</v>
      </c>
      <c r="N430" s="24" t="n">
        <v>128492683502.0072</v>
      </c>
      <c r="O430" s="19" t="n">
        <v>107077236.2516727</v>
      </c>
      <c r="P430" s="19" t="n">
        <v>71126203.60645674</v>
      </c>
      <c r="Q430" s="19" t="n">
        <v>1794100656.153874</v>
      </c>
      <c r="R430" s="24" t="n">
        <v>130108580718.3029</v>
      </c>
      <c r="S430" s="24" t="n">
        <v>323130794064.8064</v>
      </c>
      <c r="T430" s="19" t="n">
        <v>269275661.720672</v>
      </c>
      <c r="U430" s="19" t="n">
        <v>178866734.0721423</v>
      </c>
      <c r="V430" s="19" t="n">
        <v>4511767937.714024</v>
      </c>
      <c r="W430" s="24" t="n">
        <v>327194419606.7277</v>
      </c>
      <c r="X430" s="24" t="n">
        <v>298567634025.7967</v>
      </c>
      <c r="Y430" s="19" t="n">
        <v>248806361.6881639</v>
      </c>
      <c r="Z430" s="19" t="n">
        <v>165269972.9606406</v>
      </c>
      <c r="AA430" s="19" t="n">
        <v>4168800693.649021</v>
      </c>
      <c r="AB430" s="24" t="n">
        <v>302322358384.7969</v>
      </c>
      <c r="AC430" s="24" t="n">
        <v>70026812976.8026</v>
      </c>
      <c r="AD430" s="19" t="n">
        <v>58355677.48066884</v>
      </c>
      <c r="AE430" s="19" t="n">
        <v>38762840.20188219</v>
      </c>
      <c r="AF430" s="19" t="n">
        <v>977761127.6060215</v>
      </c>
      <c r="AG430" s="24" t="n">
        <v>70907455586.72606</v>
      </c>
      <c r="AH430" s="24" t="n">
        <v>231232780164.1652</v>
      </c>
      <c r="AI430" s="19" t="n">
        <v>192693983.4701377</v>
      </c>
      <c r="AJ430" s="19" t="n">
        <v>127997247.4244929</v>
      </c>
      <c r="AK430" s="19" t="n">
        <v>3228626496.934613</v>
      </c>
      <c r="AL430" s="24" t="n">
        <v>234140715430.2052</v>
      </c>
      <c r="AM430" s="24" t="n">
        <v>2096181442586.338</v>
      </c>
      <c r="AN430" s="19" t="n">
        <v>1746817868.821949</v>
      </c>
      <c r="AO430" s="19" t="n">
        <v>1160326207.049315</v>
      </c>
      <c r="AP430" s="19" t="n">
        <v>29268285158.84313</v>
      </c>
      <c r="AQ430" s="24" t="n">
        <v>2122542583669.31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 t="n">
        <v>1057869053942.551</v>
      </c>
      <c r="J431" s="21" t="n">
        <v>881557544.9521263</v>
      </c>
      <c r="K431" s="21" t="n">
        <v>585575829.4480036</v>
      </c>
      <c r="L431" s="21" t="n">
        <v>51534999131.98685</v>
      </c>
      <c r="M431" s="25" t="n">
        <v>1107936919700.138</v>
      </c>
      <c r="N431" s="25" t="n">
        <v>130108580718.3029</v>
      </c>
      <c r="O431" s="21" t="n">
        <v>108423817.2652524</v>
      </c>
      <c r="P431" s="21" t="n">
        <v>72020671.9238809</v>
      </c>
      <c r="Q431" s="21" t="n">
        <v>6338351206.50567</v>
      </c>
      <c r="R431" s="25" t="n">
        <v>136266487435.6195</v>
      </c>
      <c r="S431" s="25" t="n">
        <v>327194419606.7277</v>
      </c>
      <c r="T431" s="21" t="n">
        <v>272662016.3389397</v>
      </c>
      <c r="U431" s="21" t="n">
        <v>181116124.8529845</v>
      </c>
      <c r="V431" s="21" t="n">
        <v>15939557044.02273</v>
      </c>
      <c r="W431" s="25" t="n">
        <v>342680198509.5585</v>
      </c>
      <c r="X431" s="25" t="n">
        <v>302322358384.7969</v>
      </c>
      <c r="Y431" s="21" t="n">
        <v>251935298.6539975</v>
      </c>
      <c r="Z431" s="21" t="n">
        <v>167348373.7066271</v>
      </c>
      <c r="AA431" s="21" t="n">
        <v>14727893229.20002</v>
      </c>
      <c r="AB431" s="25" t="n">
        <v>316630967941.6364</v>
      </c>
      <c r="AC431" s="25" t="n">
        <v>70907455586.72606</v>
      </c>
      <c r="AD431" s="21" t="n">
        <v>59089546.32227172</v>
      </c>
      <c r="AE431" s="21" t="n">
        <v>39250313.60403088</v>
      </c>
      <c r="AF431" s="21" t="n">
        <v>3454317572.193363</v>
      </c>
      <c r="AG431" s="25" t="n">
        <v>74263433298.99312</v>
      </c>
      <c r="AH431" s="25" t="n">
        <v>234140715430.2052</v>
      </c>
      <c r="AI431" s="21" t="n">
        <v>195117262.8585044</v>
      </c>
      <c r="AJ431" s="21" t="n">
        <v>129606914.1399018</v>
      </c>
      <c r="AK431" s="21" t="n">
        <v>11406365959.46183</v>
      </c>
      <c r="AL431" s="25" t="n">
        <v>245222357212.6686</v>
      </c>
      <c r="AM431" s="25" t="n">
        <v>2122542583669.31</v>
      </c>
      <c r="AN431" s="21" t="n">
        <v>1768785486.391092</v>
      </c>
      <c r="AO431" s="21" t="n">
        <v>1174918227.675429</v>
      </c>
      <c r="AP431" s="21" t="n">
        <v>103401484143.3705</v>
      </c>
      <c r="AQ431" s="25" t="n">
        <v>2223000364098.614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 t="n">
        <v>1107936919700.138</v>
      </c>
      <c r="J432" s="19" t="n">
        <v>923280766.4167819</v>
      </c>
      <c r="K432" s="19" t="n">
        <v>613290537.5306568</v>
      </c>
      <c r="L432" s="19" t="n">
        <v>45345826767.35379</v>
      </c>
      <c r="M432" s="24" t="n">
        <v>1151746175163.544</v>
      </c>
      <c r="N432" s="24" t="n">
        <v>136266487435.6195</v>
      </c>
      <c r="O432" s="19" t="n">
        <v>113555406.1963496</v>
      </c>
      <c r="P432" s="19" t="n">
        <v>75429337.03249453</v>
      </c>
      <c r="Q432" s="19" t="n">
        <v>5577137491.83822</v>
      </c>
      <c r="R432" s="24" t="n">
        <v>141654640184.2288</v>
      </c>
      <c r="S432" s="24" t="n">
        <v>342680198509.5585</v>
      </c>
      <c r="T432" s="19" t="n">
        <v>285566832.0912988</v>
      </c>
      <c r="U432" s="19" t="n">
        <v>189688166.7251593</v>
      </c>
      <c r="V432" s="19" t="n">
        <v>14025272235.19412</v>
      </c>
      <c r="W432" s="24" t="n">
        <v>356230215745.9361</v>
      </c>
      <c r="X432" s="24" t="n">
        <v>316630967941.6364</v>
      </c>
      <c r="Y432" s="19" t="n">
        <v>263859139.9513637</v>
      </c>
      <c r="Z432" s="19" t="n">
        <v>175268801.9281231</v>
      </c>
      <c r="AA432" s="19" t="n">
        <v>12959124988.2231</v>
      </c>
      <c r="AB432" s="24" t="n">
        <v>329150964987.98</v>
      </c>
      <c r="AC432" s="24" t="n">
        <v>74263433298.99312</v>
      </c>
      <c r="AD432" s="19" t="n">
        <v>61886194.4158276</v>
      </c>
      <c r="AE432" s="19" t="n">
        <v>41107991.00289778</v>
      </c>
      <c r="AF432" s="19" t="n">
        <v>3039466166.03091</v>
      </c>
      <c r="AG432" s="24" t="n">
        <v>77199905279.6053</v>
      </c>
      <c r="AH432" s="24" t="n">
        <v>245222357212.6686</v>
      </c>
      <c r="AI432" s="19" t="n">
        <v>204351964.3438905</v>
      </c>
      <c r="AJ432" s="19" t="n">
        <v>135741077.4885955</v>
      </c>
      <c r="AK432" s="19" t="n">
        <v>10036501475.78563</v>
      </c>
      <c r="AL432" s="24" t="n">
        <v>254918765646.6218</v>
      </c>
      <c r="AM432" s="24" t="n">
        <v>2223000364098.614</v>
      </c>
      <c r="AN432" s="19" t="n">
        <v>1852500303.415512</v>
      </c>
      <c r="AO432" s="19" t="n">
        <v>1230525911.707927</v>
      </c>
      <c r="AP432" s="19" t="n">
        <v>90983329124.42578</v>
      </c>
      <c r="AQ432" s="24" t="n">
        <v>2310900667007.916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 t="n">
        <v>1151746175163.544</v>
      </c>
      <c r="J433" s="21" t="n">
        <v>959788479.3029537</v>
      </c>
      <c r="K433" s="21" t="n">
        <v>637540836.7618097</v>
      </c>
      <c r="L433" s="21" t="n">
        <v>66971957787.91547</v>
      </c>
      <c r="M433" s="25" t="n">
        <v>1217120803635.395</v>
      </c>
      <c r="N433" s="25" t="n">
        <v>141654640184.2288</v>
      </c>
      <c r="O433" s="21" t="n">
        <v>118045533.4868574</v>
      </c>
      <c r="P433" s="21" t="n">
        <v>78411910.35118698</v>
      </c>
      <c r="Q433" s="21" t="n">
        <v>8236961222.40946</v>
      </c>
      <c r="R433" s="25" t="n">
        <v>149695143962.8002</v>
      </c>
      <c r="S433" s="25" t="n">
        <v>356230215745.9361</v>
      </c>
      <c r="T433" s="21" t="n">
        <v>296858513.1216134</v>
      </c>
      <c r="U433" s="21" t="n">
        <v>197188681.6070867</v>
      </c>
      <c r="V433" s="21" t="n">
        <v>20714142999.71881</v>
      </c>
      <c r="W433" s="25" t="n">
        <v>376450311550.9261</v>
      </c>
      <c r="X433" s="25" t="n">
        <v>329150964987.98</v>
      </c>
      <c r="Y433" s="21" t="n">
        <v>274292470.8233167</v>
      </c>
      <c r="Z433" s="21" t="n">
        <v>182199156.5195311</v>
      </c>
      <c r="AA433" s="21" t="n">
        <v>19139533526.03622</v>
      </c>
      <c r="AB433" s="25" t="n">
        <v>347834006886.6733</v>
      </c>
      <c r="AC433" s="25" t="n">
        <v>77199905279.6053</v>
      </c>
      <c r="AD433" s="21" t="n">
        <v>64333254.39967109</v>
      </c>
      <c r="AE433" s="21" t="n">
        <v>42733454.01203802</v>
      </c>
      <c r="AF433" s="21" t="n">
        <v>4489034918.55108</v>
      </c>
      <c r="AG433" s="25" t="n">
        <v>81581873489.74467</v>
      </c>
      <c r="AH433" s="25" t="n">
        <v>254918765646.6218</v>
      </c>
      <c r="AI433" s="21" t="n">
        <v>212432304.7055182</v>
      </c>
      <c r="AJ433" s="21" t="n">
        <v>141108454.8499216</v>
      </c>
      <c r="AK433" s="21" t="n">
        <v>14823065342.33451</v>
      </c>
      <c r="AL433" s="25" t="n">
        <v>269388290229.4008</v>
      </c>
      <c r="AM433" s="25" t="n">
        <v>2310900667007.916</v>
      </c>
      <c r="AN433" s="21" t="n">
        <v>1925750555.839931</v>
      </c>
      <c r="AO433" s="21" t="n">
        <v>1279182494.101574</v>
      </c>
      <c r="AP433" s="21" t="n">
        <v>134374695796.9656</v>
      </c>
      <c r="AQ433" s="25" t="n">
        <v>2442070429754.94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 t="n">
        <v>1217120803635.395</v>
      </c>
      <c r="J434" s="19" t="n">
        <v>1014267336.362829</v>
      </c>
      <c r="K434" s="19" t="n">
        <v>673728493.5890772</v>
      </c>
      <c r="L434" s="19" t="n">
        <v>11694557780.25289</v>
      </c>
      <c r="M434" s="24" t="n">
        <v>1227127365585.696</v>
      </c>
      <c r="N434" s="24" t="n">
        <v>149695143962.8002</v>
      </c>
      <c r="O434" s="19" t="n">
        <v>124745953.3023335</v>
      </c>
      <c r="P434" s="19" t="n">
        <v>82862673.56405286</v>
      </c>
      <c r="Q434" s="19" t="n">
        <v>1438327654.302969</v>
      </c>
      <c r="R434" s="24" t="n">
        <v>150925862990.2368</v>
      </c>
      <c r="S434" s="24" t="n">
        <v>376450311550.9261</v>
      </c>
      <c r="T434" s="19" t="n">
        <v>313708592.9591051</v>
      </c>
      <c r="U434" s="19" t="n">
        <v>208381370.653427</v>
      </c>
      <c r="V434" s="19" t="n">
        <v>3617077209.326308</v>
      </c>
      <c r="W434" s="24" t="n">
        <v>379545298796.6399</v>
      </c>
      <c r="X434" s="24" t="n">
        <v>347834006886.6733</v>
      </c>
      <c r="Y434" s="19" t="n">
        <v>289861672.4055611</v>
      </c>
      <c r="Z434" s="19" t="n">
        <v>192541020.3973578</v>
      </c>
      <c r="AA434" s="19" t="n">
        <v>3342120912.996601</v>
      </c>
      <c r="AB434" s="24" t="n">
        <v>350693725106.867</v>
      </c>
      <c r="AC434" s="24" t="n">
        <v>81581873489.74467</v>
      </c>
      <c r="AD434" s="19" t="n">
        <v>67984894.57478723</v>
      </c>
      <c r="AE434" s="19" t="n">
        <v>45159061.09422279</v>
      </c>
      <c r="AF434" s="19" t="n">
        <v>783869547.2934364</v>
      </c>
      <c r="AG434" s="24" t="n">
        <v>82252599081.36911</v>
      </c>
      <c r="AH434" s="24" t="n">
        <v>269388290229.4008</v>
      </c>
      <c r="AI434" s="19" t="n">
        <v>224490241.857834</v>
      </c>
      <c r="AJ434" s="19" t="n">
        <v>149117956.4301988</v>
      </c>
      <c r="AK434" s="19" t="n">
        <v>2588384748.663783</v>
      </c>
      <c r="AL434" s="24" t="n">
        <v>271603066779.7766</v>
      </c>
      <c r="AM434" s="24" t="n">
        <v>2442070429754.94</v>
      </c>
      <c r="AN434" s="19" t="n">
        <v>2035058691.462451</v>
      </c>
      <c r="AO434" s="19" t="n">
        <v>1351790575.728336</v>
      </c>
      <c r="AP434" s="19" t="n">
        <v>23464337852.83599</v>
      </c>
      <c r="AQ434" s="24" t="n">
        <v>2462147918340.585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 t="n">
        <v>1227127365585.696</v>
      </c>
      <c r="J435" s="21" t="n">
        <v>1022606137.98808</v>
      </c>
      <c r="K435" s="21" t="n">
        <v>679267554.2054478</v>
      </c>
      <c r="L435" s="21" t="n">
        <v>17903197993.41499</v>
      </c>
      <c r="M435" s="25" t="n">
        <v>1243328689886.918</v>
      </c>
      <c r="N435" s="25" t="n">
        <v>150925862990.2368</v>
      </c>
      <c r="O435" s="21" t="n">
        <v>125771552.491864</v>
      </c>
      <c r="P435" s="21" t="n">
        <v>83543929.25692217</v>
      </c>
      <c r="Q435" s="21" t="n">
        <v>2201935742.954903</v>
      </c>
      <c r="R435" s="25" t="n">
        <v>152918483251.4429</v>
      </c>
      <c r="S435" s="25" t="n">
        <v>379545298796.6399</v>
      </c>
      <c r="T435" s="21" t="n">
        <v>316287748.9972</v>
      </c>
      <c r="U435" s="21" t="n">
        <v>210094578.6509438</v>
      </c>
      <c r="V435" s="21" t="n">
        <v>5537383341.282484</v>
      </c>
      <c r="W435" s="25" t="n">
        <v>384556299810.2742</v>
      </c>
      <c r="X435" s="25" t="n">
        <v>350693725106.867</v>
      </c>
      <c r="Y435" s="21" t="n">
        <v>292244770.9223892</v>
      </c>
      <c r="Z435" s="21" t="n">
        <v>194123996.9127748</v>
      </c>
      <c r="AA435" s="21" t="n">
        <v>5116452759.278008</v>
      </c>
      <c r="AB435" s="25" t="n">
        <v>355323809098.3099</v>
      </c>
      <c r="AC435" s="25" t="n">
        <v>82252599081.36911</v>
      </c>
      <c r="AD435" s="21" t="n">
        <v>68543832.5678076</v>
      </c>
      <c r="AE435" s="21" t="n">
        <v>45530336.43608453</v>
      </c>
      <c r="AF435" s="21" t="n">
        <v>1200025855.607811</v>
      </c>
      <c r="AG435" s="25" t="n">
        <v>83338550767.97304</v>
      </c>
      <c r="AH435" s="25" t="n">
        <v>271603066779.7766</v>
      </c>
      <c r="AI435" s="21" t="n">
        <v>226335888.9831472</v>
      </c>
      <c r="AJ435" s="21" t="n">
        <v>150343930.1087885</v>
      </c>
      <c r="AK435" s="21" t="n">
        <v>3962558098.324371</v>
      </c>
      <c r="AL435" s="25" t="n">
        <v>275188945059.009</v>
      </c>
      <c r="AM435" s="25" t="n">
        <v>2462147918340.585</v>
      </c>
      <c r="AN435" s="21" t="n">
        <v>2051789931.950488</v>
      </c>
      <c r="AO435" s="21" t="n">
        <v>1362904325.570961</v>
      </c>
      <c r="AP435" s="21" t="n">
        <v>35921553790.86256</v>
      </c>
      <c r="AQ435" s="25" t="n">
        <v>2494654777873.927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 t="n">
        <v>1243328689886.918</v>
      </c>
      <c r="J436" s="19" t="n">
        <v>1036107241.572431</v>
      </c>
      <c r="K436" s="19" t="n">
        <v>688235681.102143</v>
      </c>
      <c r="L436" s="19" t="n">
        <v>67674736072.49683</v>
      </c>
      <c r="M436" s="24" t="n">
        <v>1309279083036.74</v>
      </c>
      <c r="N436" s="24" t="n">
        <v>152918483251.4429</v>
      </c>
      <c r="O436" s="19" t="n">
        <v>127432069.3762024</v>
      </c>
      <c r="P436" s="19" t="n">
        <v>84646929.91459529</v>
      </c>
      <c r="Q436" s="19" t="n">
        <v>8323396764.526649</v>
      </c>
      <c r="R436" s="24" t="n">
        <v>161029801016.6788</v>
      </c>
      <c r="S436" s="24" t="n">
        <v>384556299810.2742</v>
      </c>
      <c r="T436" s="19" t="n">
        <v>320463583.1752285</v>
      </c>
      <c r="U436" s="19" t="n">
        <v>212868382.3310758</v>
      </c>
      <c r="V436" s="19" t="n">
        <v>20931509347.73592</v>
      </c>
      <c r="W436" s="24" t="n">
        <v>404954477192.5038</v>
      </c>
      <c r="X436" s="24" t="n">
        <v>355323809098.3099</v>
      </c>
      <c r="Y436" s="19" t="n">
        <v>296103174.2485916</v>
      </c>
      <c r="Z436" s="19" t="n">
        <v>196686946.7066066</v>
      </c>
      <c r="AA436" s="19" t="n">
        <v>19340376520.37887</v>
      </c>
      <c r="AB436" s="24" t="n">
        <v>374171395497.7335</v>
      </c>
      <c r="AC436" s="24" t="n">
        <v>83338550767.97304</v>
      </c>
      <c r="AD436" s="19" t="n">
        <v>69448792.3066442</v>
      </c>
      <c r="AE436" s="19" t="n">
        <v>46131457.20547807</v>
      </c>
      <c r="AF436" s="19" t="n">
        <v>4536141145.749569</v>
      </c>
      <c r="AG436" s="24" t="n">
        <v>87759111664.21049</v>
      </c>
      <c r="AH436" s="24" t="n">
        <v>275188945059.009</v>
      </c>
      <c r="AI436" s="19" t="n">
        <v>229324120.8825075</v>
      </c>
      <c r="AJ436" s="19" t="n">
        <v>152328867.3180163</v>
      </c>
      <c r="AK436" s="19" t="n">
        <v>14978612959.24176</v>
      </c>
      <c r="AL436" s="24" t="n">
        <v>289785905030.0503</v>
      </c>
      <c r="AM436" s="24" t="n">
        <v>2494654777873.927</v>
      </c>
      <c r="AN436" s="19" t="n">
        <v>2078878981.561606</v>
      </c>
      <c r="AO436" s="19" t="n">
        <v>1380898264.577915</v>
      </c>
      <c r="AP436" s="19" t="n">
        <v>135784772810.1296</v>
      </c>
      <c r="AQ436" s="24" t="n">
        <v>2626979773437.917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 t="n">
        <v>1309279083036.74</v>
      </c>
      <c r="J437" s="21" t="n">
        <v>1091065902.530617</v>
      </c>
      <c r="K437" s="21" t="n">
        <v>724742048.3384291</v>
      </c>
      <c r="L437" s="21" t="n">
        <v>63918189377.16661</v>
      </c>
      <c r="M437" s="25" t="n">
        <v>1371381464463.038</v>
      </c>
      <c r="N437" s="25" t="n">
        <v>161029801016.6788</v>
      </c>
      <c r="O437" s="21" t="n">
        <v>134191500.8472323</v>
      </c>
      <c r="P437" s="21" t="n">
        <v>89136891.70201351</v>
      </c>
      <c r="Q437" s="21" t="n">
        <v>7861374591.640601</v>
      </c>
      <c r="R437" s="25" t="n">
        <v>168667847215.7701</v>
      </c>
      <c r="S437" s="25" t="n">
        <v>404954477192.5038</v>
      </c>
      <c r="T437" s="21" t="n">
        <v>337462064.3270866</v>
      </c>
      <c r="U437" s="21" t="n">
        <v>224159647.157578</v>
      </c>
      <c r="V437" s="21" t="n">
        <v>19769625359.23719</v>
      </c>
      <c r="W437" s="25" t="n">
        <v>424162480840.2563</v>
      </c>
      <c r="X437" s="25" t="n">
        <v>374171395497.7335</v>
      </c>
      <c r="Y437" s="21" t="n">
        <v>311809496.2481113</v>
      </c>
      <c r="Z437" s="21" t="n">
        <v>207119893.0129599</v>
      </c>
      <c r="AA437" s="21" t="n">
        <v>18266814483.48756</v>
      </c>
      <c r="AB437" s="25" t="n">
        <v>391919280591.96</v>
      </c>
      <c r="AC437" s="25" t="n">
        <v>87759111664.21049</v>
      </c>
      <c r="AD437" s="21" t="n">
        <v>73132593.05350874</v>
      </c>
      <c r="AE437" s="21" t="n">
        <v>48578426.99232678</v>
      </c>
      <c r="AF437" s="21" t="n">
        <v>4284345172.546769</v>
      </c>
      <c r="AG437" s="25" t="n">
        <v>91921745816.71143</v>
      </c>
      <c r="AH437" s="25" t="n">
        <v>289785905030.0503</v>
      </c>
      <c r="AI437" s="21" t="n">
        <v>241488254.1917086</v>
      </c>
      <c r="AJ437" s="21" t="n">
        <v>160408909.8437011</v>
      </c>
      <c r="AK437" s="21" t="n">
        <v>14147167396.5669</v>
      </c>
      <c r="AL437" s="25" t="n">
        <v>303531175262.5818</v>
      </c>
      <c r="AM437" s="25" t="n">
        <v>2626979773437.917</v>
      </c>
      <c r="AN437" s="21" t="n">
        <v>2189149811.198264</v>
      </c>
      <c r="AO437" s="21" t="n">
        <v>1454145817.047008</v>
      </c>
      <c r="AP437" s="21" t="n">
        <v>128247516380.6456</v>
      </c>
      <c r="AQ437" s="25" t="n">
        <v>2751583994190.317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 t="n">
        <v>1371381464463.038</v>
      </c>
      <c r="J438" s="19" t="n">
        <v>1142817887.052531</v>
      </c>
      <c r="K438" s="19" t="n">
        <v>759118376.2770052</v>
      </c>
      <c r="L438" s="19" t="n">
        <v>80018866459.78149</v>
      </c>
      <c r="M438" s="24" t="n">
        <v>1449498394659.49</v>
      </c>
      <c r="N438" s="24" t="n">
        <v>168667847215.7701</v>
      </c>
      <c r="O438" s="19" t="n">
        <v>140556539.3464751</v>
      </c>
      <c r="P438" s="19" t="n">
        <v>93364877.40754674</v>
      </c>
      <c r="Q438" s="19" t="n">
        <v>9841616131.002701</v>
      </c>
      <c r="R438" s="24" t="n">
        <v>178275541930.0189</v>
      </c>
      <c r="S438" s="24" t="n">
        <v>424162480840.2563</v>
      </c>
      <c r="T438" s="19" t="n">
        <v>353468734.033547</v>
      </c>
      <c r="U438" s="19" t="n">
        <v>234792099.8474019</v>
      </c>
      <c r="V438" s="19" t="n">
        <v>24749496614.27402</v>
      </c>
      <c r="W438" s="24" t="n">
        <v>448323716620.6494</v>
      </c>
      <c r="X438" s="24" t="n">
        <v>391919280591.96</v>
      </c>
      <c r="Y438" s="19" t="n">
        <v>326599400.4933</v>
      </c>
      <c r="Z438" s="19" t="n">
        <v>216944107.5471379</v>
      </c>
      <c r="AA438" s="19" t="n">
        <v>22868135080.84055</v>
      </c>
      <c r="AB438" s="24" t="n">
        <v>414243872164.7602</v>
      </c>
      <c r="AC438" s="24" t="n">
        <v>91921745816.71143</v>
      </c>
      <c r="AD438" s="19" t="n">
        <v>76601454.84725952</v>
      </c>
      <c r="AE438" s="19" t="n">
        <v>50882623.27962237</v>
      </c>
      <c r="AF438" s="19" t="n">
        <v>5363550619.47511</v>
      </c>
      <c r="AG438" s="24" t="n">
        <v>97157812358.05966</v>
      </c>
      <c r="AH438" s="24" t="n">
        <v>303531175262.5818</v>
      </c>
      <c r="AI438" s="19" t="n">
        <v>252942646.0521515</v>
      </c>
      <c r="AJ438" s="19" t="n">
        <v>168017505.6216042</v>
      </c>
      <c r="AK438" s="19" t="n">
        <v>17710769183.55979</v>
      </c>
      <c r="AL438" s="24" t="n">
        <v>320820984294.4679</v>
      </c>
      <c r="AM438" s="24" t="n">
        <v>2751583994190.317</v>
      </c>
      <c r="AN438" s="19" t="n">
        <v>2292986661.825264</v>
      </c>
      <c r="AO438" s="19" t="n">
        <v>1523119589.980318</v>
      </c>
      <c r="AP438" s="19" t="n">
        <v>160552434088.9337</v>
      </c>
      <c r="AQ438" s="24" t="n">
        <v>2908320322027.445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 t="n">
        <v>1449498394659.49</v>
      </c>
      <c r="J439" s="21" t="n">
        <v>1207915328.882908</v>
      </c>
      <c r="K439" s="21" t="n">
        <v>802359442.856313</v>
      </c>
      <c r="L439" s="21" t="n">
        <v>63121499740.83766</v>
      </c>
      <c r="M439" s="25" t="n">
        <v>1510609619628.588</v>
      </c>
      <c r="N439" s="25" t="n">
        <v>178275541930.0189</v>
      </c>
      <c r="O439" s="21" t="n">
        <v>148562951.6083491</v>
      </c>
      <c r="P439" s="21" t="n">
        <v>98683147.92544483</v>
      </c>
      <c r="Q439" s="21" t="n">
        <v>7763388780.004061</v>
      </c>
      <c r="R439" s="25" t="n">
        <v>185791684610.4891</v>
      </c>
      <c r="S439" s="25" t="n">
        <v>448323716620.6494</v>
      </c>
      <c r="T439" s="21" t="n">
        <v>373603097.1838745</v>
      </c>
      <c r="U439" s="21" t="n">
        <v>248166378.6675107</v>
      </c>
      <c r="V439" s="21" t="n">
        <v>19523212627.72392</v>
      </c>
      <c r="W439" s="25" t="n">
        <v>467225159772.522</v>
      </c>
      <c r="X439" s="25" t="n">
        <v>414243872164.7602</v>
      </c>
      <c r="Y439" s="21" t="n">
        <v>345203226.8039668</v>
      </c>
      <c r="Z439" s="21" t="n">
        <v>229301725.1356379</v>
      </c>
      <c r="AA439" s="21" t="n">
        <v>18039133099.99492</v>
      </c>
      <c r="AB439" s="25" t="n">
        <v>431708500312.8156</v>
      </c>
      <c r="AC439" s="25" t="n">
        <v>97157812358.05966</v>
      </c>
      <c r="AD439" s="21" t="n">
        <v>80964843.63171639</v>
      </c>
      <c r="AE439" s="21" t="n">
        <v>53781010.36880689</v>
      </c>
      <c r="AF439" s="21" t="n">
        <v>4230944201.23197</v>
      </c>
      <c r="AG439" s="25" t="n">
        <v>101254010705.2911</v>
      </c>
      <c r="AH439" s="25" t="n">
        <v>320820984294.4679</v>
      </c>
      <c r="AI439" s="21" t="n">
        <v>267350820.2453899</v>
      </c>
      <c r="AJ439" s="21" t="n">
        <v>177588155.4360699</v>
      </c>
      <c r="AK439" s="21" t="n">
        <v>13970834153.11802</v>
      </c>
      <c r="AL439" s="25" t="n">
        <v>334346879471.9045</v>
      </c>
      <c r="AM439" s="25" t="n">
        <v>2908320322027.445</v>
      </c>
      <c r="AN439" s="21" t="n">
        <v>2423600268.356205</v>
      </c>
      <c r="AO439" s="21" t="n">
        <v>1609879860.389783</v>
      </c>
      <c r="AP439" s="21" t="n">
        <v>126649012602.9106</v>
      </c>
      <c r="AQ439" s="25" t="n">
        <v>3030935854501.61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 t="n">
        <v>1510609619628.588</v>
      </c>
      <c r="J440" s="19" t="n">
        <v>1258841349.69049</v>
      </c>
      <c r="K440" s="19" t="n">
        <v>836187123.2450114</v>
      </c>
      <c r="L440" s="19" t="n">
        <v>63913957053.1506</v>
      </c>
      <c r="M440" s="24" t="n">
        <v>1572428548208.803</v>
      </c>
      <c r="N440" s="24" t="n">
        <v>185791684610.4891</v>
      </c>
      <c r="O440" s="19" t="n">
        <v>154826403.8420743</v>
      </c>
      <c r="P440" s="19" t="n">
        <v>102843654.8123444</v>
      </c>
      <c r="Q440" s="19" t="n">
        <v>7860854053.045762</v>
      </c>
      <c r="R440" s="24" t="n">
        <v>193394868604.8805</v>
      </c>
      <c r="S440" s="24" t="n">
        <v>467225159772.522</v>
      </c>
      <c r="T440" s="19" t="n">
        <v>389354299.810435</v>
      </c>
      <c r="U440" s="19" t="n">
        <v>258629136.9930068</v>
      </c>
      <c r="V440" s="19" t="n">
        <v>19768316319.33774</v>
      </c>
      <c r="W440" s="24" t="n">
        <v>486345492655.0563</v>
      </c>
      <c r="X440" s="24" t="n">
        <v>431708500312.8156</v>
      </c>
      <c r="Y440" s="19" t="n">
        <v>359757083.594013</v>
      </c>
      <c r="Z440" s="19" t="n">
        <v>238969144.8183332</v>
      </c>
      <c r="AA440" s="19" t="n">
        <v>18265604951.76604</v>
      </c>
      <c r="AB440" s="24" t="n">
        <v>449375379036.1693</v>
      </c>
      <c r="AC440" s="24" t="n">
        <v>101254010705.2911</v>
      </c>
      <c r="AD440" s="19" t="n">
        <v>84378342.25440927</v>
      </c>
      <c r="AE440" s="19" t="n">
        <v>56048431.59246796</v>
      </c>
      <c r="AF440" s="19" t="n">
        <v>4284061485.89758</v>
      </c>
      <c r="AG440" s="24" t="n">
        <v>105397645417.3418</v>
      </c>
      <c r="AH440" s="24" t="n">
        <v>334346879471.9045</v>
      </c>
      <c r="AI440" s="19" t="n">
        <v>278622399.5599204</v>
      </c>
      <c r="AJ440" s="19" t="n">
        <v>185075317.7252357</v>
      </c>
      <c r="AK440" s="19" t="n">
        <v>14146230646.0595</v>
      </c>
      <c r="AL440" s="24" t="n">
        <v>348029412400.6788</v>
      </c>
      <c r="AM440" s="24" t="n">
        <v>3030935854501.61</v>
      </c>
      <c r="AN440" s="19" t="n">
        <v>2525779878.751342</v>
      </c>
      <c r="AO440" s="19" t="n">
        <v>1677752809.186399</v>
      </c>
      <c r="AP440" s="19" t="n">
        <v>128239024509.2572</v>
      </c>
      <c r="AQ440" s="24" t="n">
        <v>3154971346322.93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 t="n">
        <v>1572428548208.803</v>
      </c>
      <c r="J441" s="21" t="n">
        <v>1310357123.507336</v>
      </c>
      <c r="K441" s="21" t="n">
        <v>870406547.8931137</v>
      </c>
      <c r="L441" s="21" t="n">
        <v>16620721582.10504</v>
      </c>
      <c r="M441" s="25" t="n">
        <v>1586868506119.508</v>
      </c>
      <c r="N441" s="25" t="n">
        <v>193394868604.8805</v>
      </c>
      <c r="O441" s="21" t="n">
        <v>161162390.5040671</v>
      </c>
      <c r="P441" s="21" t="n">
        <v>107052342.7944425</v>
      </c>
      <c r="Q441" s="21" t="n">
        <v>2044202434.604151</v>
      </c>
      <c r="R441" s="25" t="n">
        <v>195170856306.1862</v>
      </c>
      <c r="S441" s="25" t="n">
        <v>486345492655.0563</v>
      </c>
      <c r="T441" s="21" t="n">
        <v>405287910.5458803</v>
      </c>
      <c r="U441" s="21" t="n">
        <v>269213060.1593801</v>
      </c>
      <c r="V441" s="21" t="n">
        <v>5140718816.978643</v>
      </c>
      <c r="W441" s="25" t="n">
        <v>490811710501.3297</v>
      </c>
      <c r="X441" s="25" t="n">
        <v>449375379036.1693</v>
      </c>
      <c r="Y441" s="21" t="n">
        <v>374479482.5301411</v>
      </c>
      <c r="Z441" s="21" t="n">
        <v>248748518.856764</v>
      </c>
      <c r="AA441" s="21" t="n">
        <v>4749941146.337729</v>
      </c>
      <c r="AB441" s="25" t="n">
        <v>453502092181.1201</v>
      </c>
      <c r="AC441" s="25" t="n">
        <v>105397645417.3418</v>
      </c>
      <c r="AD441" s="21" t="n">
        <v>87831371.18111818</v>
      </c>
      <c r="AE441" s="21" t="n">
        <v>58342110.87573622</v>
      </c>
      <c r="AF441" s="21" t="n">
        <v>1114063288.844873</v>
      </c>
      <c r="AG441" s="25" t="n">
        <v>106365535224.1298</v>
      </c>
      <c r="AH441" s="25" t="n">
        <v>348029412400.6788</v>
      </c>
      <c r="AI441" s="21" t="n">
        <v>290024510.333899</v>
      </c>
      <c r="AJ441" s="21" t="n">
        <v>192649185.7184966</v>
      </c>
      <c r="AK441" s="21" t="n">
        <v>3678704493.431249</v>
      </c>
      <c r="AL441" s="25" t="n">
        <v>351225443198.0577</v>
      </c>
      <c r="AM441" s="25" t="n">
        <v>3154971346322.93</v>
      </c>
      <c r="AN441" s="21" t="n">
        <v>2629142788.602442</v>
      </c>
      <c r="AO441" s="21" t="n">
        <v>1746411766.297933</v>
      </c>
      <c r="AP441" s="21" t="n">
        <v>33348351762.30169</v>
      </c>
      <c r="AQ441" s="25" t="n">
        <v>3183944143530.331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 t="n">
        <v>1586868506119.508</v>
      </c>
      <c r="J442" s="19" t="n">
        <v>1322390421.766257</v>
      </c>
      <c r="K442" s="19" t="n">
        <v>878399683.0540693</v>
      </c>
      <c r="L442" s="19" t="n">
        <v>75882355070.23947</v>
      </c>
      <c r="M442" s="24" t="n">
        <v>1660550071084.927</v>
      </c>
      <c r="N442" s="24" t="n">
        <v>195170856306.1862</v>
      </c>
      <c r="O442" s="19" t="n">
        <v>162642380.2551551</v>
      </c>
      <c r="P442" s="19" t="n">
        <v>108035428.0519284</v>
      </c>
      <c r="Q442" s="19" t="n">
        <v>9332861645.735729</v>
      </c>
      <c r="R442" s="24" t="n">
        <v>204233040143.6148</v>
      </c>
      <c r="S442" s="24" t="n">
        <v>490811710501.3297</v>
      </c>
      <c r="T442" s="19" t="n">
        <v>409009758.7511081</v>
      </c>
      <c r="U442" s="19" t="n">
        <v>271685303.0235419</v>
      </c>
      <c r="V442" s="19" t="n">
        <v>23470091154.53996</v>
      </c>
      <c r="W442" s="24" t="n">
        <v>513601106594.095</v>
      </c>
      <c r="X442" s="24" t="n">
        <v>453502092181.1201</v>
      </c>
      <c r="Y442" s="19" t="n">
        <v>377918410.1509334</v>
      </c>
      <c r="Z442" s="19" t="n">
        <v>251032831.3278988</v>
      </c>
      <c r="AA442" s="19" t="n">
        <v>21685985102.90971</v>
      </c>
      <c r="AB442" s="24" t="n">
        <v>474559126042.551</v>
      </c>
      <c r="AC442" s="24" t="n">
        <v>106365535224.1298</v>
      </c>
      <c r="AD442" s="19" t="n">
        <v>88637946.02010821</v>
      </c>
      <c r="AE442" s="19" t="n">
        <v>58877879.33811053</v>
      </c>
      <c r="AF442" s="19" t="n">
        <v>5086286154.138113</v>
      </c>
      <c r="AG442" s="24" t="n">
        <v>111304305552.9097</v>
      </c>
      <c r="AH442" s="24" t="n">
        <v>351225443198.0577</v>
      </c>
      <c r="AI442" s="19" t="n">
        <v>292687869.3317147</v>
      </c>
      <c r="AJ442" s="19" t="n">
        <v>194418325.6495131</v>
      </c>
      <c r="AK442" s="19" t="n">
        <v>16795225116.43449</v>
      </c>
      <c r="AL442" s="24" t="n">
        <v>367533562119.5109</v>
      </c>
      <c r="AM442" s="24" t="n">
        <v>3183944143530.331</v>
      </c>
      <c r="AN442" s="19" t="n">
        <v>2653286786.275276</v>
      </c>
      <c r="AO442" s="19" t="n">
        <v>1762449450.445062</v>
      </c>
      <c r="AP442" s="19" t="n">
        <v>152252804243.9975</v>
      </c>
      <c r="AQ442" s="24" t="n">
        <v>3331781211537.608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 t="n">
        <v>1660550071084.927</v>
      </c>
      <c r="J443" s="21" t="n">
        <v>1383791725.904106</v>
      </c>
      <c r="K443" s="21" t="n">
        <v>919185585.0131557</v>
      </c>
      <c r="L443" s="21" t="n">
        <v>21082371325.16491</v>
      </c>
      <c r="M443" s="25" t="n">
        <v>1679329465099.175</v>
      </c>
      <c r="N443" s="25" t="n">
        <v>204233040143.6148</v>
      </c>
      <c r="O443" s="21" t="n">
        <v>170194200.119679</v>
      </c>
      <c r="P443" s="21" t="n">
        <v>113051734.935503</v>
      </c>
      <c r="Q443" s="21" t="n">
        <v>2592946075.008651</v>
      </c>
      <c r="R443" s="25" t="n">
        <v>206542740283.5682</v>
      </c>
      <c r="S443" s="25" t="n">
        <v>513601106594.095</v>
      </c>
      <c r="T443" s="21" t="n">
        <v>428000922.1617459</v>
      </c>
      <c r="U443" s="21" t="n">
        <v>284300209.8212265</v>
      </c>
      <c r="V443" s="21" t="n">
        <v>6520688192.893723</v>
      </c>
      <c r="W443" s="25" t="n">
        <v>519409493655.0058</v>
      </c>
      <c r="X443" s="25" t="n">
        <v>474559126042.551</v>
      </c>
      <c r="Y443" s="21" t="n">
        <v>395465938.3687925</v>
      </c>
      <c r="Z443" s="21" t="n">
        <v>262688801.4341874</v>
      </c>
      <c r="AA443" s="21" t="n">
        <v>6025010558.361604</v>
      </c>
      <c r="AB443" s="25" t="n">
        <v>479925981861.1096</v>
      </c>
      <c r="AC443" s="25" t="n">
        <v>111304305552.9097</v>
      </c>
      <c r="AD443" s="21" t="n">
        <v>92753587.96075812</v>
      </c>
      <c r="AE443" s="21" t="n">
        <v>61611700.24056557</v>
      </c>
      <c r="AF443" s="21" t="n">
        <v>1413121314.808005</v>
      </c>
      <c r="AG443" s="25" t="n">
        <v>112563061579.5164</v>
      </c>
      <c r="AH443" s="25" t="n">
        <v>367533562119.5109</v>
      </c>
      <c r="AI443" s="21" t="n">
        <v>306277968.4329258</v>
      </c>
      <c r="AJ443" s="21" t="n">
        <v>203445567.9424759</v>
      </c>
      <c r="AK443" s="21" t="n">
        <v>4666212218.461798</v>
      </c>
      <c r="AL443" s="25" t="n">
        <v>371690050801.5973</v>
      </c>
      <c r="AM443" s="25" t="n">
        <v>3331781211537.608</v>
      </c>
      <c r="AN443" s="21" t="n">
        <v>2776484342.948007</v>
      </c>
      <c r="AO443" s="21" t="n">
        <v>1844283599.387114</v>
      </c>
      <c r="AP443" s="21" t="n">
        <v>42300349684.69869</v>
      </c>
      <c r="AQ443" s="25" t="n">
        <v>3369460793279.972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 t="n">
        <v>1679329465099.175</v>
      </c>
      <c r="J444" s="19" t="n">
        <v>1399441220.915979</v>
      </c>
      <c r="K444" s="19" t="n">
        <v>929580783.9136626</v>
      </c>
      <c r="L444" s="19" t="n">
        <v>49531671457.0323</v>
      </c>
      <c r="M444" s="24" t="n">
        <v>1726532114551.377</v>
      </c>
      <c r="N444" s="24" t="n">
        <v>206542740283.5682</v>
      </c>
      <c r="O444" s="19" t="n">
        <v>172118950.2363068</v>
      </c>
      <c r="P444" s="19" t="n">
        <v>114330252.8864619</v>
      </c>
      <c r="Q444" s="19" t="n">
        <v>6091959538.717844</v>
      </c>
      <c r="R444" s="24" t="n">
        <v>212348250619.1633</v>
      </c>
      <c r="S444" s="24" t="n">
        <v>519409493655.0058</v>
      </c>
      <c r="T444" s="19" t="n">
        <v>432841244.7125049</v>
      </c>
      <c r="U444" s="19" t="n">
        <v>287515400.8302383</v>
      </c>
      <c r="V444" s="19" t="n">
        <v>15319936275.7944</v>
      </c>
      <c r="W444" s="24" t="n">
        <v>534009073285.2574</v>
      </c>
      <c r="X444" s="24" t="n">
        <v>479925981861.1096</v>
      </c>
      <c r="Y444" s="19" t="n">
        <v>399938318.2175913</v>
      </c>
      <c r="Z444" s="19" t="n">
        <v>265659585.9899581</v>
      </c>
      <c r="AA444" s="19" t="n">
        <v>14155373648.395</v>
      </c>
      <c r="AB444" s="24" t="n">
        <v>493415757605.2971</v>
      </c>
      <c r="AC444" s="24" t="n">
        <v>112563061579.5164</v>
      </c>
      <c r="AD444" s="19" t="n">
        <v>93802551.31626368</v>
      </c>
      <c r="AE444" s="19" t="n">
        <v>62308475.61328849</v>
      </c>
      <c r="AF444" s="19" t="n">
        <v>3320037372.193096</v>
      </c>
      <c r="AG444" s="24" t="n">
        <v>115726987924.78</v>
      </c>
      <c r="AH444" s="24" t="n">
        <v>371690050801.5973</v>
      </c>
      <c r="AI444" s="19" t="n">
        <v>309741709.0013311</v>
      </c>
      <c r="AJ444" s="19" t="n">
        <v>205746362.448689</v>
      </c>
      <c r="AK444" s="19" t="n">
        <v>10962964601.50844</v>
      </c>
      <c r="AL444" s="24" t="n">
        <v>382137527331.6557</v>
      </c>
      <c r="AM444" s="24" t="n">
        <v>3369460793279.972</v>
      </c>
      <c r="AN444" s="19" t="n">
        <v>2807883994.399977</v>
      </c>
      <c r="AO444" s="19" t="n">
        <v>1865140861.682298</v>
      </c>
      <c r="AP444" s="19" t="n">
        <v>99381942893.64108</v>
      </c>
      <c r="AQ444" s="24" t="n">
        <v>3464169711317.53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 t="n">
        <v>1726532114551.377</v>
      </c>
      <c r="J445" s="21" t="n">
        <v>1438776762.126148</v>
      </c>
      <c r="K445" s="21" t="n">
        <v>955709472.0552649</v>
      </c>
      <c r="L445" s="21" t="n">
        <v>55107437853.53625</v>
      </c>
      <c r="M445" s="25" t="n">
        <v>1779245066170.732</v>
      </c>
      <c r="N445" s="25" t="n">
        <v>212348250619.1633</v>
      </c>
      <c r="O445" s="21" t="n">
        <v>176956875.5159694</v>
      </c>
      <c r="P445" s="21" t="n">
        <v>117543851.5048024</v>
      </c>
      <c r="Q445" s="21" t="n">
        <v>6777729719.405379</v>
      </c>
      <c r="R445" s="25" t="n">
        <v>218831479611.5479</v>
      </c>
      <c r="S445" s="25" t="n">
        <v>534009073285.2574</v>
      </c>
      <c r="T445" s="21" t="n">
        <v>445007561.0710478</v>
      </c>
      <c r="U445" s="21" t="n">
        <v>295596893.449495</v>
      </c>
      <c r="V445" s="21" t="n">
        <v>17044497215.70245</v>
      </c>
      <c r="W445" s="25" t="n">
        <v>550312966046.4392</v>
      </c>
      <c r="X445" s="25" t="n">
        <v>493415757605.2971</v>
      </c>
      <c r="Y445" s="21" t="n">
        <v>411179798.0044143</v>
      </c>
      <c r="Z445" s="21" t="n">
        <v>273126754.6258402</v>
      </c>
      <c r="AA445" s="21" t="n">
        <v>15748840099.19196</v>
      </c>
      <c r="AB445" s="25" t="n">
        <v>508480291151.8588</v>
      </c>
      <c r="AC445" s="25" t="n">
        <v>115726987924.78</v>
      </c>
      <c r="AD445" s="21" t="n">
        <v>96439156.6039833</v>
      </c>
      <c r="AE445" s="21" t="n">
        <v>64059844.35503893</v>
      </c>
      <c r="AF445" s="21" t="n">
        <v>3693773050.204086</v>
      </c>
      <c r="AG445" s="25" t="n">
        <v>119260261974.025</v>
      </c>
      <c r="AH445" s="25" t="n">
        <v>382137527331.6557</v>
      </c>
      <c r="AI445" s="21" t="n">
        <v>318447939.4430465</v>
      </c>
      <c r="AJ445" s="21" t="n">
        <v>211529488.1691431</v>
      </c>
      <c r="AK445" s="21" t="n">
        <v>12197062459.1626</v>
      </c>
      <c r="AL445" s="25" t="n">
        <v>393804612363.2061</v>
      </c>
      <c r="AM445" s="25" t="n">
        <v>3464169711317.53</v>
      </c>
      <c r="AN445" s="21" t="n">
        <v>2886808092.764609</v>
      </c>
      <c r="AO445" s="21" t="n">
        <v>1917566304.159585</v>
      </c>
      <c r="AP445" s="21" t="n">
        <v>110569340397.2027</v>
      </c>
      <c r="AQ445" s="25" t="n">
        <v>3569934677317.809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 t="n">
        <v>1779245066170.732</v>
      </c>
      <c r="J446" s="19" t="n">
        <v>1482704221.808943</v>
      </c>
      <c r="K446" s="19" t="n">
        <v>984888348.450332</v>
      </c>
      <c r="L446" s="19" t="n">
        <v>71827612520.69632</v>
      </c>
      <c r="M446" s="24" t="n">
        <v>1848605086121.169</v>
      </c>
      <c r="N446" s="24" t="n">
        <v>218831479611.5479</v>
      </c>
      <c r="O446" s="19" t="n">
        <v>182359566.3429566</v>
      </c>
      <c r="P446" s="19" t="n">
        <v>121132596.4260837</v>
      </c>
      <c r="Q446" s="19" t="n">
        <v>8834164007.93922</v>
      </c>
      <c r="R446" s="24" t="n">
        <v>227362151456.718</v>
      </c>
      <c r="S446" s="24" t="n">
        <v>550312966046.4392</v>
      </c>
      <c r="T446" s="19" t="n">
        <v>458594138.3720327</v>
      </c>
      <c r="U446" s="19" t="n">
        <v>304621796.3817427</v>
      </c>
      <c r="V446" s="19" t="n">
        <v>22215976450.82679</v>
      </c>
      <c r="W446" s="24" t="n">
        <v>571765726562.5122</v>
      </c>
      <c r="X446" s="24" t="n">
        <v>508480291151.8588</v>
      </c>
      <c r="Y446" s="19" t="n">
        <v>423733575.9598824</v>
      </c>
      <c r="Z446" s="19" t="n">
        <v>281465619.1515571</v>
      </c>
      <c r="AA446" s="19" t="n">
        <v>20527203375.00821</v>
      </c>
      <c r="AB446" s="24" t="n">
        <v>528302295331.7556</v>
      </c>
      <c r="AC446" s="24" t="n">
        <v>119260261974.025</v>
      </c>
      <c r="AD446" s="19" t="n">
        <v>99383551.64502084</v>
      </c>
      <c r="AE446" s="19" t="n">
        <v>66015662.8699514</v>
      </c>
      <c r="AF446" s="19" t="n">
        <v>4814502537.653805</v>
      </c>
      <c r="AG446" s="24" t="n">
        <v>123909365297.1638</v>
      </c>
      <c r="AH446" s="24" t="n">
        <v>393804612363.2061</v>
      </c>
      <c r="AI446" s="19" t="n">
        <v>328170510.3026718</v>
      </c>
      <c r="AJ446" s="19" t="n">
        <v>217987719.4304968</v>
      </c>
      <c r="AK446" s="19" t="n">
        <v>15897779144.36724</v>
      </c>
      <c r="AL446" s="24" t="n">
        <v>409156233277.8402</v>
      </c>
      <c r="AM446" s="24" t="n">
        <v>3569934677317.809</v>
      </c>
      <c r="AN446" s="19" t="n">
        <v>2974945564.431508</v>
      </c>
      <c r="AO446" s="19" t="n">
        <v>1976111742.710164</v>
      </c>
      <c r="AP446" s="19" t="n">
        <v>144117238036.4916</v>
      </c>
      <c r="AQ446" s="24" t="n">
        <v>3709100858047.16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 t="n">
        <v>1848605086121.169</v>
      </c>
      <c r="J447" s="21" t="n">
        <v>1540504238.434308</v>
      </c>
      <c r="K447" s="21" t="n">
        <v>1023282090.153653</v>
      </c>
      <c r="L447" s="21" t="n">
        <v>33244565301.04754</v>
      </c>
      <c r="M447" s="25" t="n">
        <v>1879285865093.629</v>
      </c>
      <c r="N447" s="25" t="n">
        <v>227362151456.718</v>
      </c>
      <c r="O447" s="21" t="n">
        <v>189468459.5472651</v>
      </c>
      <c r="P447" s="21" t="n">
        <v>125854688.6575061</v>
      </c>
      <c r="Q447" s="21" t="n">
        <v>4088788864.553676</v>
      </c>
      <c r="R447" s="25" t="n">
        <v>231135617173.067</v>
      </c>
      <c r="S447" s="25" t="n">
        <v>571765726562.5122</v>
      </c>
      <c r="T447" s="21" t="n">
        <v>476471438.8020936</v>
      </c>
      <c r="U447" s="21" t="n">
        <v>316496818.1401834</v>
      </c>
      <c r="V447" s="21" t="n">
        <v>10282403297.66269</v>
      </c>
      <c r="W447" s="25" t="n">
        <v>581255161603.2327</v>
      </c>
      <c r="X447" s="25" t="n">
        <v>528302295331.7556</v>
      </c>
      <c r="Y447" s="21" t="n">
        <v>440251912.776463</v>
      </c>
      <c r="Z447" s="21" t="n">
        <v>292437947.4333098</v>
      </c>
      <c r="AA447" s="21" t="n">
        <v>9500774550.340414</v>
      </c>
      <c r="AB447" s="25" t="n">
        <v>537070380021.8862</v>
      </c>
      <c r="AC447" s="25" t="n">
        <v>123909365297.1638</v>
      </c>
      <c r="AD447" s="21" t="n">
        <v>103257804.4143032</v>
      </c>
      <c r="AE447" s="21" t="n">
        <v>68589140.67846696</v>
      </c>
      <c r="AF447" s="21" t="n">
        <v>2228335850.07399</v>
      </c>
      <c r="AG447" s="25" t="n">
        <v>125965854202.1451</v>
      </c>
      <c r="AH447" s="25" t="n">
        <v>409156233277.8402</v>
      </c>
      <c r="AI447" s="21" t="n">
        <v>340963527.7315335</v>
      </c>
      <c r="AJ447" s="21" t="n">
        <v>226485499.1102741</v>
      </c>
      <c r="AK447" s="21" t="n">
        <v>7358100016.957449</v>
      </c>
      <c r="AL447" s="25" t="n">
        <v>415946884267.9559</v>
      </c>
      <c r="AM447" s="25" t="n">
        <v>3709100858047.16</v>
      </c>
      <c r="AN447" s="21" t="n">
        <v>3090917381.705966</v>
      </c>
      <c r="AO447" s="21" t="n">
        <v>2053146184.173394</v>
      </c>
      <c r="AP447" s="21" t="n">
        <v>66702967880.63576</v>
      </c>
      <c r="AQ447" s="25" t="n">
        <v>3770659762361.916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 t="n">
        <v>1879285865093.629</v>
      </c>
      <c r="J448" s="19" t="n">
        <v>1566071554.244691</v>
      </c>
      <c r="K448" s="19" t="n">
        <v>1040265215.35989</v>
      </c>
      <c r="L448" s="19" t="n">
        <v>29143621969.08091</v>
      </c>
      <c r="M448" s="24" t="n">
        <v>1905823150293.105</v>
      </c>
      <c r="N448" s="24" t="n">
        <v>231135617173.067</v>
      </c>
      <c r="O448" s="19" t="n">
        <v>192613014.3108892</v>
      </c>
      <c r="P448" s="19" t="n">
        <v>127943463.5474696</v>
      </c>
      <c r="Q448" s="19" t="n">
        <v>3584408937.246205</v>
      </c>
      <c r="R448" s="24" t="n">
        <v>234399469632.4548</v>
      </c>
      <c r="S448" s="24" t="n">
        <v>581255161603.2327</v>
      </c>
      <c r="T448" s="19" t="n">
        <v>484379301.3360273</v>
      </c>
      <c r="U448" s="19" t="n">
        <v>321749626.863771</v>
      </c>
      <c r="V448" s="19" t="n">
        <v>9013998887.549593</v>
      </c>
      <c r="W448" s="24" t="n">
        <v>589463031562.5824</v>
      </c>
      <c r="X448" s="24" t="n">
        <v>537070380021.8862</v>
      </c>
      <c r="Y448" s="19" t="n">
        <v>447558650.0182385</v>
      </c>
      <c r="Z448" s="19" t="n">
        <v>297291457.842711</v>
      </c>
      <c r="AA448" s="19" t="n">
        <v>8328789364.553999</v>
      </c>
      <c r="AB448" s="24" t="n">
        <v>544654319278.5793</v>
      </c>
      <c r="AC448" s="24" t="n">
        <v>125965854202.1451</v>
      </c>
      <c r="AD448" s="19" t="n">
        <v>104971545.1684542</v>
      </c>
      <c r="AE448" s="19" t="n">
        <v>69727495.36593699</v>
      </c>
      <c r="AF448" s="19" t="n">
        <v>1953455460.964039</v>
      </c>
      <c r="AG448" s="24" t="n">
        <v>127744610622.5747</v>
      </c>
      <c r="AH448" s="24" t="n">
        <v>415946884267.9559</v>
      </c>
      <c r="AI448" s="19" t="n">
        <v>346622403.5566299</v>
      </c>
      <c r="AJ448" s="19" t="n">
        <v>230244415.2740555</v>
      </c>
      <c r="AK448" s="19" t="n">
        <v>6450428314.011933</v>
      </c>
      <c r="AL448" s="24" t="n">
        <v>421820445763.1371</v>
      </c>
      <c r="AM448" s="24" t="n">
        <v>3770659762361.916</v>
      </c>
      <c r="AN448" s="19" t="n">
        <v>3142216468.63493</v>
      </c>
      <c r="AO448" s="19" t="n">
        <v>2087221674.253834</v>
      </c>
      <c r="AP448" s="19" t="n">
        <v>58474702933.40668</v>
      </c>
      <c r="AQ448" s="24" t="n">
        <v>3823905027152.433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 t="n">
        <v>1905823150293.105</v>
      </c>
      <c r="J449" s="21" t="n">
        <v>1588185958.577588</v>
      </c>
      <c r="K449" s="21" t="n">
        <v>1054954739.298668</v>
      </c>
      <c r="L449" s="21" t="n">
        <v>97291424427.50357</v>
      </c>
      <c r="M449" s="25" t="n">
        <v>2000471434022.732</v>
      </c>
      <c r="N449" s="25" t="n">
        <v>234399469632.4548</v>
      </c>
      <c r="O449" s="21" t="n">
        <v>195332891.360379</v>
      </c>
      <c r="P449" s="21" t="n">
        <v>129750145.6731816</v>
      </c>
      <c r="Q449" s="21" t="n">
        <v>11965988702.61682</v>
      </c>
      <c r="R449" s="25" t="n">
        <v>246040375298.0381</v>
      </c>
      <c r="S449" s="25" t="n">
        <v>589463031562.5824</v>
      </c>
      <c r="T449" s="21" t="n">
        <v>491219192.9688187</v>
      </c>
      <c r="U449" s="21" t="n">
        <v>326293034.4259215</v>
      </c>
      <c r="V449" s="21" t="n">
        <v>30091825665.59655</v>
      </c>
      <c r="W449" s="25" t="n">
        <v>618737345000.7842</v>
      </c>
      <c r="X449" s="25" t="n">
        <v>544654319278.5793</v>
      </c>
      <c r="Y449" s="21" t="n">
        <v>453878599.3988161</v>
      </c>
      <c r="Z449" s="21" t="n">
        <v>301489493.038249</v>
      </c>
      <c r="AA449" s="21" t="n">
        <v>27804360827.00313</v>
      </c>
      <c r="AB449" s="25" t="n">
        <v>571703312013.1454</v>
      </c>
      <c r="AC449" s="25" t="n">
        <v>127744610622.5747</v>
      </c>
      <c r="AD449" s="21" t="n">
        <v>106453842.1854789</v>
      </c>
      <c r="AE449" s="21" t="n">
        <v>70712113.22804113</v>
      </c>
      <c r="AF449" s="21" t="n">
        <v>6521305572.605554</v>
      </c>
      <c r="AG449" s="25" t="n">
        <v>134088750239.7667</v>
      </c>
      <c r="AH449" s="25" t="n">
        <v>421820445763.1371</v>
      </c>
      <c r="AI449" s="21" t="n">
        <v>351517038.1359476</v>
      </c>
      <c r="AJ449" s="21" t="n">
        <v>233495683.1238299</v>
      </c>
      <c r="AK449" s="21" t="n">
        <v>21533746200.23294</v>
      </c>
      <c r="AL449" s="25" t="n">
        <v>442769179242.1104</v>
      </c>
      <c r="AM449" s="25" t="n">
        <v>3823905027152.433</v>
      </c>
      <c r="AN449" s="21" t="n">
        <v>3186587522.627028</v>
      </c>
      <c r="AO449" s="21" t="n">
        <v>2116695208.787891</v>
      </c>
      <c r="AP449" s="21" t="n">
        <v>195208651395.5586</v>
      </c>
      <c r="AQ449" s="25" t="n">
        <v>4013810395816.577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 t="n">
        <v>2000471434022.732</v>
      </c>
      <c r="J450" s="19" t="n">
        <v>1667059528.352277</v>
      </c>
      <c r="K450" s="19" t="n">
        <v>1107346618.089572</v>
      </c>
      <c r="L450" s="19" t="n">
        <v>91979682942.38565</v>
      </c>
      <c r="M450" s="24" t="n">
        <v>2089676710818.676</v>
      </c>
      <c r="N450" s="24" t="n">
        <v>246040375298.0381</v>
      </c>
      <c r="O450" s="19" t="n">
        <v>205033646.0816984</v>
      </c>
      <c r="P450" s="19" t="n">
        <v>136193885.5342213</v>
      </c>
      <c r="Q450" s="19" t="n">
        <v>11312691261.69484</v>
      </c>
      <c r="R450" s="24" t="n">
        <v>257011839028.117</v>
      </c>
      <c r="S450" s="24" t="n">
        <v>618737345000.7842</v>
      </c>
      <c r="T450" s="19" t="n">
        <v>515614454.1673202</v>
      </c>
      <c r="U450" s="19" t="n">
        <v>342497620.7206131</v>
      </c>
      <c r="V450" s="19" t="n">
        <v>28448926512.95859</v>
      </c>
      <c r="W450" s="24" t="n">
        <v>646328159438.8549</v>
      </c>
      <c r="X450" s="24" t="n">
        <v>571703312013.1454</v>
      </c>
      <c r="Y450" s="19" t="n">
        <v>476419426.6776212</v>
      </c>
      <c r="Z450" s="19" t="n">
        <v>316462269.0139198</v>
      </c>
      <c r="AA450" s="19" t="n">
        <v>26286348548.52086</v>
      </c>
      <c r="AB450" s="24" t="n">
        <v>597196778865.9747</v>
      </c>
      <c r="AC450" s="24" t="n">
        <v>134088750239.7667</v>
      </c>
      <c r="AD450" s="19" t="n">
        <v>111740625.1998056</v>
      </c>
      <c r="AE450" s="19" t="n">
        <v>74223866.22301334</v>
      </c>
      <c r="AF450" s="19" t="n">
        <v>6165267108.260208</v>
      </c>
      <c r="AG450" s="24" t="n">
        <v>140068052856.6041</v>
      </c>
      <c r="AH450" s="24" t="n">
        <v>442769179242.1104</v>
      </c>
      <c r="AI450" s="19" t="n">
        <v>368974316.035092</v>
      </c>
      <c r="AJ450" s="19" t="n">
        <v>245091704.3299678</v>
      </c>
      <c r="AK450" s="19" t="n">
        <v>20358085614.57661</v>
      </c>
      <c r="AL450" s="24" t="n">
        <v>462513198836.3219</v>
      </c>
      <c r="AM450" s="24" t="n">
        <v>4013810395816.577</v>
      </c>
      <c r="AN450" s="19" t="n">
        <v>3344841996.513814</v>
      </c>
      <c r="AO450" s="19" t="n">
        <v>2221815963.911307</v>
      </c>
      <c r="AP450" s="19" t="n">
        <v>184551001988.3967</v>
      </c>
      <c r="AQ450" s="24" t="n">
        <v>4192794739844.549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 t="n">
        <v>2089676710818.676</v>
      </c>
      <c r="J451" s="21" t="n">
        <v>1741397259.015564</v>
      </c>
      <c r="K451" s="21" t="n">
        <v>1156725559.420963</v>
      </c>
      <c r="L451" s="21" t="n">
        <v>113304359552.448</v>
      </c>
      <c r="M451" s="25" t="n">
        <v>2200082947552.688</v>
      </c>
      <c r="N451" s="25" t="n">
        <v>257011839028.117</v>
      </c>
      <c r="O451" s="21" t="n">
        <v>214176532.5234309</v>
      </c>
      <c r="P451" s="21" t="n">
        <v>142267060.6120401</v>
      </c>
      <c r="Q451" s="21" t="n">
        <v>13935438753.619</v>
      </c>
      <c r="R451" s="25" t="n">
        <v>270590834188.6006</v>
      </c>
      <c r="S451" s="25" t="n">
        <v>646328159438.8549</v>
      </c>
      <c r="T451" s="21" t="n">
        <v>538606799.532379</v>
      </c>
      <c r="U451" s="21" t="n">
        <v>357770318.2151715</v>
      </c>
      <c r="V451" s="21" t="n">
        <v>35044558704.60548</v>
      </c>
      <c r="W451" s="25" t="n">
        <v>680476341025.7128</v>
      </c>
      <c r="X451" s="25" t="n">
        <v>597196778865.9747</v>
      </c>
      <c r="Y451" s="21" t="n">
        <v>497663982.3883123</v>
      </c>
      <c r="Z451" s="21" t="n">
        <v>330573994.7915238</v>
      </c>
      <c r="AA451" s="21" t="n">
        <v>32380606151.12324</v>
      </c>
      <c r="AB451" s="25" t="n">
        <v>628749147039.9182</v>
      </c>
      <c r="AC451" s="25" t="n">
        <v>140068052856.6041</v>
      </c>
      <c r="AD451" s="21" t="n">
        <v>116723377.3805034</v>
      </c>
      <c r="AE451" s="21" t="n">
        <v>77533666.31247254</v>
      </c>
      <c r="AF451" s="21" t="n">
        <v>7594629801.113317</v>
      </c>
      <c r="AG451" s="25" t="n">
        <v>147468425614.0245</v>
      </c>
      <c r="AH451" s="25" t="n">
        <v>462513198836.3219</v>
      </c>
      <c r="AI451" s="21" t="n">
        <v>385427665.6969349</v>
      </c>
      <c r="AJ451" s="21" t="n">
        <v>256020864.8034965</v>
      </c>
      <c r="AK451" s="21" t="n">
        <v>25077927847.5917</v>
      </c>
      <c r="AL451" s="25" t="n">
        <v>486949678153.4131</v>
      </c>
      <c r="AM451" s="25" t="n">
        <v>4192794739844.549</v>
      </c>
      <c r="AN451" s="21" t="n">
        <v>3493995616.537125</v>
      </c>
      <c r="AO451" s="21" t="n">
        <v>2320891464.155667</v>
      </c>
      <c r="AP451" s="21" t="n">
        <v>227337520810.5008</v>
      </c>
      <c r="AQ451" s="25" t="n">
        <v>4414317373574.357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 t="n">
        <v>2200082947552.688</v>
      </c>
      <c r="J452" s="19" t="n">
        <v>1833402456.293907</v>
      </c>
      <c r="K452" s="19" t="n">
        <v>1217840140.106355</v>
      </c>
      <c r="L452" s="19" t="n">
        <v>48576695129.56675</v>
      </c>
      <c r="M452" s="24" t="n">
        <v>2245608400085.854</v>
      </c>
      <c r="N452" s="24" t="n">
        <v>270590834188.6006</v>
      </c>
      <c r="O452" s="19" t="n">
        <v>225492361.8238338</v>
      </c>
      <c r="P452" s="19" t="n">
        <v>149783616.0160725</v>
      </c>
      <c r="Q452" s="19" t="n">
        <v>5974505857.543361</v>
      </c>
      <c r="R452" s="24" t="n">
        <v>276190064068.304</v>
      </c>
      <c r="S452" s="24" t="n">
        <v>680476341025.7128</v>
      </c>
      <c r="T452" s="19" t="n">
        <v>567063617.5214274</v>
      </c>
      <c r="U452" s="19" t="n">
        <v>376672799.2758862</v>
      </c>
      <c r="V452" s="19" t="n">
        <v>15024566140.86253</v>
      </c>
      <c r="W452" s="24" t="n">
        <v>694557170749.778</v>
      </c>
      <c r="X452" s="24" t="n">
        <v>628749147039.9182</v>
      </c>
      <c r="Y452" s="19" t="n">
        <v>523957622.5332652</v>
      </c>
      <c r="Z452" s="19" t="n">
        <v>348039581.9505836</v>
      </c>
      <c r="AA452" s="19" t="n">
        <v>13882456414.97651</v>
      </c>
      <c r="AB452" s="24" t="n">
        <v>641759606250.4109</v>
      </c>
      <c r="AC452" s="24" t="n">
        <v>147468425614.0245</v>
      </c>
      <c r="AD452" s="19" t="n">
        <v>122890354.6783537</v>
      </c>
      <c r="AE452" s="19" t="n">
        <v>81630089.58858642</v>
      </c>
      <c r="AF452" s="19" t="n">
        <v>3256026669.475427</v>
      </c>
      <c r="AG452" s="24" t="n">
        <v>150519931839.233</v>
      </c>
      <c r="AH452" s="24" t="n">
        <v>486949678153.4131</v>
      </c>
      <c r="AI452" s="19" t="n">
        <v>405791398.4611776</v>
      </c>
      <c r="AJ452" s="19" t="n">
        <v>269547502.7097337</v>
      </c>
      <c r="AK452" s="19" t="n">
        <v>10751597382.00394</v>
      </c>
      <c r="AL452" s="24" t="n">
        <v>497025936634.2462</v>
      </c>
      <c r="AM452" s="24" t="n">
        <v>4414317373574.357</v>
      </c>
      <c r="AN452" s="19" t="n">
        <v>3678597811.311965</v>
      </c>
      <c r="AO452" s="19" t="n">
        <v>2443513729.647218</v>
      </c>
      <c r="AP452" s="19" t="n">
        <v>97465847594.4285</v>
      </c>
      <c r="AQ452" s="24" t="n">
        <v>4505661109627.827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 t="n">
        <v>2245608400085.854</v>
      </c>
      <c r="J453" s="21" t="n">
        <v>1871340333.404879</v>
      </c>
      <c r="K453" s="21" t="n">
        <v>1243040427.919626</v>
      </c>
      <c r="L453" s="21" t="n">
        <v>90666660118.87926</v>
      </c>
      <c r="M453" s="25" t="n">
        <v>2333160679443.41</v>
      </c>
      <c r="N453" s="25" t="n">
        <v>276190064068.304</v>
      </c>
      <c r="O453" s="21" t="n">
        <v>230158386.7235867</v>
      </c>
      <c r="P453" s="21" t="n">
        <v>152883029.5671711</v>
      </c>
      <c r="Q453" s="21" t="n">
        <v>11151201013.5583</v>
      </c>
      <c r="R453" s="25" t="n">
        <v>286958223665.5715</v>
      </c>
      <c r="S453" s="25" t="n">
        <v>694557170749.778</v>
      </c>
      <c r="T453" s="21" t="n">
        <v>578797642.2914816</v>
      </c>
      <c r="U453" s="21" t="n">
        <v>384467141.6042264</v>
      </c>
      <c r="V453" s="21" t="n">
        <v>28042814112.68897</v>
      </c>
      <c r="W453" s="25" t="n">
        <v>721636720078.5712</v>
      </c>
      <c r="X453" s="25" t="n">
        <v>641759606250.4109</v>
      </c>
      <c r="Y453" s="21" t="n">
        <v>534799671.8753424</v>
      </c>
      <c r="Z453" s="21" t="n">
        <v>355241428.3561382</v>
      </c>
      <c r="AA453" s="21" t="n">
        <v>25911107250.80437</v>
      </c>
      <c r="AB453" s="25" t="n">
        <v>666780672400.9838</v>
      </c>
      <c r="AC453" s="25" t="n">
        <v>150519931839.233</v>
      </c>
      <c r="AD453" s="21" t="n">
        <v>125433276.5326941</v>
      </c>
      <c r="AE453" s="21" t="n">
        <v>83319228.97897948</v>
      </c>
      <c r="AF453" s="21" t="n">
        <v>6077257059.005857</v>
      </c>
      <c r="AG453" s="25" t="n">
        <v>156388436392.7272</v>
      </c>
      <c r="AH453" s="25" t="n">
        <v>497025936634.2462</v>
      </c>
      <c r="AI453" s="21" t="n">
        <v>414188280.5285385</v>
      </c>
      <c r="AJ453" s="21" t="n">
        <v>275125143.3408271</v>
      </c>
      <c r="AK453" s="21" t="n">
        <v>20067471098.41677</v>
      </c>
      <c r="AL453" s="25" t="n">
        <v>516404094308.7936</v>
      </c>
      <c r="AM453" s="25" t="n">
        <v>4505661109627.827</v>
      </c>
      <c r="AN453" s="21" t="n">
        <v>3754717591.356523</v>
      </c>
      <c r="AO453" s="21" t="n">
        <v>2494076399.766968</v>
      </c>
      <c r="AP453" s="21" t="n">
        <v>181916510653.3535</v>
      </c>
      <c r="AQ453" s="25" t="n">
        <v>4681328826290.058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 t="n">
        <v>2333160679443.41</v>
      </c>
      <c r="J454" s="19" t="n">
        <v>1944300566.202842</v>
      </c>
      <c r="K454" s="19" t="n">
        <v>1291504364.371677</v>
      </c>
      <c r="L454" s="19" t="n">
        <v>32293459876.05964</v>
      </c>
      <c r="M454" s="24" t="n">
        <v>2362218334388.895</v>
      </c>
      <c r="N454" s="24" t="n">
        <v>286958223665.5715</v>
      </c>
      <c r="O454" s="19" t="n">
        <v>239131853.0546429</v>
      </c>
      <c r="P454" s="19" t="n">
        <v>158843667.1000475</v>
      </c>
      <c r="Q454" s="19" t="n">
        <v>3971811270.306575</v>
      </c>
      <c r="R454" s="24" t="n">
        <v>290532059415.7234</v>
      </c>
      <c r="S454" s="24" t="n">
        <v>721636720078.5712</v>
      </c>
      <c r="T454" s="19" t="n">
        <v>601363933.3988093</v>
      </c>
      <c r="U454" s="19" t="n">
        <v>399456831.9635281</v>
      </c>
      <c r="V454" s="19" t="n">
        <v>9988230416.478632</v>
      </c>
      <c r="W454" s="24" t="n">
        <v>730624129729.6875</v>
      </c>
      <c r="X454" s="24" t="n">
        <v>666780672400.9838</v>
      </c>
      <c r="Y454" s="19" t="n">
        <v>555650560.3341532</v>
      </c>
      <c r="Z454" s="19" t="n">
        <v>369091660.1123182</v>
      </c>
      <c r="AA454" s="19" t="n">
        <v>9228963560.045074</v>
      </c>
      <c r="AB454" s="24" t="n">
        <v>675084893740.5824</v>
      </c>
      <c r="AC454" s="24" t="n">
        <v>156388436392.7272</v>
      </c>
      <c r="AD454" s="19" t="n">
        <v>130323696.9939393</v>
      </c>
      <c r="AE454" s="19" t="n">
        <v>86567697.59494334</v>
      </c>
      <c r="AF454" s="19" t="n">
        <v>2164584608.434695</v>
      </c>
      <c r="AG454" s="24" t="n">
        <v>158336129606.573</v>
      </c>
      <c r="AH454" s="24" t="n">
        <v>516404094308.7936</v>
      </c>
      <c r="AI454" s="19" t="n">
        <v>430336745.257328</v>
      </c>
      <c r="AJ454" s="19" t="n">
        <v>285851783.5721081</v>
      </c>
      <c r="AK454" s="19" t="n">
        <v>7147589553.657411</v>
      </c>
      <c r="AL454" s="24" t="n">
        <v>522835495333.6216</v>
      </c>
      <c r="AM454" s="24" t="n">
        <v>4681328826290.058</v>
      </c>
      <c r="AN454" s="19" t="n">
        <v>3901107355.241714</v>
      </c>
      <c r="AO454" s="19" t="n">
        <v>2591316004.714623</v>
      </c>
      <c r="AP454" s="19" t="n">
        <v>64794639284.98202</v>
      </c>
      <c r="AQ454" s="24" t="n">
        <v>4739631042215.084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 t="n">
        <v>2362218334388.895</v>
      </c>
      <c r="J455" s="21" t="n">
        <v>1968515278.657413</v>
      </c>
      <c r="K455" s="21" t="n">
        <v>1307589020.911258</v>
      </c>
      <c r="L455" s="21" t="n">
        <v>92764437776.91281</v>
      </c>
      <c r="M455" s="25" t="n">
        <v>2451706667866.239</v>
      </c>
      <c r="N455" s="25" t="n">
        <v>290532059415.7234</v>
      </c>
      <c r="O455" s="21" t="n">
        <v>242110049.5131029</v>
      </c>
      <c r="P455" s="21" t="n">
        <v>160821938.2536527</v>
      </c>
      <c r="Q455" s="21" t="n">
        <v>11409209197.77741</v>
      </c>
      <c r="R455" s="25" t="n">
        <v>301538336625.7341</v>
      </c>
      <c r="S455" s="25" t="n">
        <v>730624129729.6875</v>
      </c>
      <c r="T455" s="21" t="n">
        <v>608853441.4414062</v>
      </c>
      <c r="U455" s="21" t="n">
        <v>404431748.1324316</v>
      </c>
      <c r="V455" s="21" t="n">
        <v>28691647860.8038</v>
      </c>
      <c r="W455" s="25" t="n">
        <v>758302492400.9175</v>
      </c>
      <c r="X455" s="25" t="n">
        <v>675084893740.5824</v>
      </c>
      <c r="Y455" s="21" t="n">
        <v>562570744.7838187</v>
      </c>
      <c r="Z455" s="21" t="n">
        <v>373688402.2901258</v>
      </c>
      <c r="AA455" s="21" t="n">
        <v>26510619153.13295</v>
      </c>
      <c r="AB455" s="25" t="n">
        <v>700659253746.6414</v>
      </c>
      <c r="AC455" s="25" t="n">
        <v>158336129606.573</v>
      </c>
      <c r="AD455" s="21" t="n">
        <v>131946774.6721442</v>
      </c>
      <c r="AE455" s="21" t="n">
        <v>87645829.2076958</v>
      </c>
      <c r="AF455" s="21" t="n">
        <v>6217868106.813213</v>
      </c>
      <c r="AG455" s="25" t="n">
        <v>164334405109.5063</v>
      </c>
      <c r="AH455" s="25" t="n">
        <v>522835495333.6216</v>
      </c>
      <c r="AI455" s="21" t="n">
        <v>435696246.1113514</v>
      </c>
      <c r="AJ455" s="21" t="n">
        <v>289411839.4935765</v>
      </c>
      <c r="AK455" s="21" t="n">
        <v>20531777299.48667</v>
      </c>
      <c r="AL455" s="25" t="n">
        <v>542642164547.5034</v>
      </c>
      <c r="AM455" s="25" t="n">
        <v>4739631042215.084</v>
      </c>
      <c r="AN455" s="21" t="n">
        <v>3949692535.179236</v>
      </c>
      <c r="AO455" s="21" t="n">
        <v>2623588778.28874</v>
      </c>
      <c r="AP455" s="21" t="n">
        <v>186125559394.9268</v>
      </c>
      <c r="AQ455" s="25" t="n">
        <v>4919183320296.542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 t="n">
        <v>2451706667866.239</v>
      </c>
      <c r="J456" s="19" t="n">
        <v>2043088889.888533</v>
      </c>
      <c r="K456" s="19" t="n">
        <v>1357124646.239003</v>
      </c>
      <c r="L456" s="19" t="n">
        <v>68275213128.39116</v>
      </c>
      <c r="M456" s="24" t="n">
        <v>2516581667458.503</v>
      </c>
      <c r="N456" s="24" t="n">
        <v>301538336625.7341</v>
      </c>
      <c r="O456" s="19" t="n">
        <v>251281947.1881118</v>
      </c>
      <c r="P456" s="19" t="n">
        <v>166914384.0836605</v>
      </c>
      <c r="Q456" s="19" t="n">
        <v>8397250156.120951</v>
      </c>
      <c r="R456" s="24" t="n">
        <v>309517390450.5833</v>
      </c>
      <c r="S456" s="24" t="n">
        <v>758302492400.9175</v>
      </c>
      <c r="T456" s="19" t="n">
        <v>631918743.6674312</v>
      </c>
      <c r="U456" s="19" t="n">
        <v>419752907.3236979</v>
      </c>
      <c r="V456" s="19" t="n">
        <v>21117234358.84032</v>
      </c>
      <c r="W456" s="24" t="n">
        <v>778368055108.7666</v>
      </c>
      <c r="X456" s="24" t="n">
        <v>700659253746.6414</v>
      </c>
      <c r="Y456" s="19" t="n">
        <v>583882711.4555345</v>
      </c>
      <c r="Z456" s="19" t="n">
        <v>387844905.8926625</v>
      </c>
      <c r="AA456" s="19" t="n">
        <v>19511983430.53223</v>
      </c>
      <c r="AB456" s="24" t="n">
        <v>719199509559.8253</v>
      </c>
      <c r="AC456" s="24" t="n">
        <v>164334405109.5063</v>
      </c>
      <c r="AD456" s="19" t="n">
        <v>136945337.5912553</v>
      </c>
      <c r="AE456" s="19" t="n">
        <v>90966131.60220993</v>
      </c>
      <c r="AF456" s="19" t="n">
        <v>4576390267.33318</v>
      </c>
      <c r="AG456" s="24" t="n">
        <v>168682883907.6461</v>
      </c>
      <c r="AH456" s="24" t="n">
        <v>542642164547.5034</v>
      </c>
      <c r="AI456" s="19" t="n">
        <v>452201803.7895862</v>
      </c>
      <c r="AJ456" s="19" t="n">
        <v>300375679.2148497</v>
      </c>
      <c r="AK456" s="19" t="n">
        <v>15111517997.85929</v>
      </c>
      <c r="AL456" s="24" t="n">
        <v>557001105062.3582</v>
      </c>
      <c r="AM456" s="24" t="n">
        <v>4919183320296.542</v>
      </c>
      <c r="AN456" s="19" t="n">
        <v>4099319433.580451</v>
      </c>
      <c r="AO456" s="19" t="n">
        <v>2722978654.356084</v>
      </c>
      <c r="AP456" s="19" t="n">
        <v>136989589339.0771</v>
      </c>
      <c r="AQ456" s="24" t="n">
        <v>5049350611547.683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 t="n">
        <v>2516581667458.503</v>
      </c>
      <c r="J457" s="21" t="n">
        <v>2097151389.548753</v>
      </c>
      <c r="K457" s="21" t="n">
        <v>1393035737.082523</v>
      </c>
      <c r="L457" s="21" t="n">
        <v>77954908929.80316</v>
      </c>
      <c r="M457" s="25" t="n">
        <v>2591046389261.675</v>
      </c>
      <c r="N457" s="25" t="n">
        <v>309517390450.5833</v>
      </c>
      <c r="O457" s="21" t="n">
        <v>257931158.7088194</v>
      </c>
      <c r="P457" s="21" t="n">
        <v>171331132.1152653</v>
      </c>
      <c r="Q457" s="21" t="n">
        <v>9587767524.799953</v>
      </c>
      <c r="R457" s="25" t="n">
        <v>318675895684.5591</v>
      </c>
      <c r="S457" s="25" t="n">
        <v>778368055108.7666</v>
      </c>
      <c r="T457" s="21" t="n">
        <v>648640045.9239722</v>
      </c>
      <c r="U457" s="21" t="n">
        <v>430860055.6821826</v>
      </c>
      <c r="V457" s="21" t="n">
        <v>24111123288.57989</v>
      </c>
      <c r="W457" s="25" t="n">
        <v>801399678295.7404</v>
      </c>
      <c r="X457" s="25" t="n">
        <v>719199509559.8253</v>
      </c>
      <c r="Y457" s="21" t="n">
        <v>599332924.6331878</v>
      </c>
      <c r="Z457" s="21" t="n">
        <v>398107731.5566912</v>
      </c>
      <c r="AA457" s="21" t="n">
        <v>22278288439.85639</v>
      </c>
      <c r="AB457" s="25" t="n">
        <v>740480357343.4919</v>
      </c>
      <c r="AC457" s="25" t="n">
        <v>168682883907.6461</v>
      </c>
      <c r="AD457" s="21" t="n">
        <v>140569069.9230384</v>
      </c>
      <c r="AE457" s="21" t="n">
        <v>93373200.86051533</v>
      </c>
      <c r="AF457" s="21" t="n">
        <v>5225206486.66926</v>
      </c>
      <c r="AG457" s="25" t="n">
        <v>173674148123.5318</v>
      </c>
      <c r="AH457" s="25" t="n">
        <v>557001105062.3582</v>
      </c>
      <c r="AI457" s="21" t="n">
        <v>464167587.5519652</v>
      </c>
      <c r="AJ457" s="21" t="n">
        <v>308323967.7772612</v>
      </c>
      <c r="AK457" s="21" t="n">
        <v>17253948473.20282</v>
      </c>
      <c r="AL457" s="25" t="n">
        <v>573482561980.2318</v>
      </c>
      <c r="AM457" s="25" t="n">
        <v>5049350611547.683</v>
      </c>
      <c r="AN457" s="21" t="n">
        <v>4207792176.289736</v>
      </c>
      <c r="AO457" s="21" t="n">
        <v>2795031825.074438</v>
      </c>
      <c r="AP457" s="21" t="n">
        <v>156411243142.9115</v>
      </c>
      <c r="AQ457" s="25" t="n">
        <v>5198759030689.229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 t="n">
        <v>2591046389261.675</v>
      </c>
      <c r="J458" s="19" t="n">
        <v>2159205324.384729</v>
      </c>
      <c r="K458" s="19" t="n">
        <v>1434255149.893586</v>
      </c>
      <c r="L458" s="19" t="n">
        <v>85191731259.71455</v>
      </c>
      <c r="M458" s="24" t="n">
        <v>2672644660047.111</v>
      </c>
      <c r="N458" s="24" t="n">
        <v>318675895684.5591</v>
      </c>
      <c r="O458" s="19" t="n">
        <v>265563246.4037993</v>
      </c>
      <c r="P458" s="19" t="n">
        <v>176400757.017234</v>
      </c>
      <c r="Q458" s="19" t="n">
        <v>10477832962.24343</v>
      </c>
      <c r="R458" s="24" t="n">
        <v>328711764643.3815</v>
      </c>
      <c r="S458" s="24" t="n">
        <v>801399678295.7404</v>
      </c>
      <c r="T458" s="19" t="n">
        <v>667833065.2464503</v>
      </c>
      <c r="U458" s="19" t="n">
        <v>443609045.5509971</v>
      </c>
      <c r="V458" s="19" t="n">
        <v>26349441796.15668</v>
      </c>
      <c r="W458" s="24" t="n">
        <v>826637677981.0996</v>
      </c>
      <c r="X458" s="24" t="n">
        <v>740480357343.4919</v>
      </c>
      <c r="Y458" s="19" t="n">
        <v>617066964.4529099</v>
      </c>
      <c r="Z458" s="19" t="n">
        <v>409887592.2547943</v>
      </c>
      <c r="AA458" s="19" t="n">
        <v>24346458584.20149</v>
      </c>
      <c r="AB458" s="24" t="n">
        <v>763799861370.9858</v>
      </c>
      <c r="AC458" s="24" t="n">
        <v>173674148123.5318</v>
      </c>
      <c r="AD458" s="19" t="n">
        <v>144728456.7696098</v>
      </c>
      <c r="AE458" s="19" t="n">
        <v>96136079.37777473</v>
      </c>
      <c r="AF458" s="19" t="n">
        <v>5710280377.463957</v>
      </c>
      <c r="AG458" s="24" t="n">
        <v>179143563964.8484</v>
      </c>
      <c r="AH458" s="24" t="n">
        <v>573482561980.2318</v>
      </c>
      <c r="AI458" s="19" t="n">
        <v>477902134.9835265</v>
      </c>
      <c r="AJ458" s="19" t="n">
        <v>317447160.0752368</v>
      </c>
      <c r="AK458" s="19" t="n">
        <v>18855691856.70741</v>
      </c>
      <c r="AL458" s="24" t="n">
        <v>591542904541.8805</v>
      </c>
      <c r="AM458" s="24" t="n">
        <v>5198759030689.229</v>
      </c>
      <c r="AN458" s="19" t="n">
        <v>4332299192.241025</v>
      </c>
      <c r="AO458" s="19" t="n">
        <v>2877735784.169623</v>
      </c>
      <c r="AP458" s="19" t="n">
        <v>170931436836.4875</v>
      </c>
      <c r="AQ458" s="24" t="n">
        <v>5362480432549.308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 t="n">
        <v>2672644660047.111</v>
      </c>
      <c r="J459" s="21" t="n">
        <v>2227203883.372592</v>
      </c>
      <c r="K459" s="21" t="n">
        <v>1479423287.593264</v>
      </c>
      <c r="L459" s="21" t="n">
        <v>32026541011.58227</v>
      </c>
      <c r="M459" s="25" t="n">
        <v>2700964573887.727</v>
      </c>
      <c r="N459" s="25" t="n">
        <v>328711764643.3815</v>
      </c>
      <c r="O459" s="21" t="n">
        <v>273926470.5361512</v>
      </c>
      <c r="P459" s="21" t="n">
        <v>181956040.3180281</v>
      </c>
      <c r="Q459" s="21" t="n">
        <v>3938982599.787608</v>
      </c>
      <c r="R459" s="25" t="n">
        <v>332194864732.3149</v>
      </c>
      <c r="S459" s="25" t="n">
        <v>826637677981.0996</v>
      </c>
      <c r="T459" s="21" t="n">
        <v>688864731.6509163</v>
      </c>
      <c r="U459" s="21" t="n">
        <v>457579359.3098541</v>
      </c>
      <c r="V459" s="21" t="n">
        <v>9905673541.769733</v>
      </c>
      <c r="W459" s="25" t="n">
        <v>835396907431.9087</v>
      </c>
      <c r="X459" s="25" t="n">
        <v>763799861370.9858</v>
      </c>
      <c r="Y459" s="21" t="n">
        <v>636499884.4758216</v>
      </c>
      <c r="Z459" s="21" t="n">
        <v>422795936.4986532</v>
      </c>
      <c r="AA459" s="21" t="n">
        <v>9152682341.39571</v>
      </c>
      <c r="AB459" s="25" t="n">
        <v>771893247891.4071</v>
      </c>
      <c r="AC459" s="25" t="n">
        <v>179143563964.8484</v>
      </c>
      <c r="AD459" s="21" t="n">
        <v>149286303.3040403</v>
      </c>
      <c r="AE459" s="21" t="n">
        <v>99163635.29874501</v>
      </c>
      <c r="AF459" s="21" t="n">
        <v>2146693417.216225</v>
      </c>
      <c r="AG459" s="25" t="n">
        <v>181041807443.4618</v>
      </c>
      <c r="AH459" s="25" t="n">
        <v>591542904541.8805</v>
      </c>
      <c r="AI459" s="21" t="n">
        <v>492952420.4515671</v>
      </c>
      <c r="AJ459" s="21" t="n">
        <v>327444333.2000561</v>
      </c>
      <c r="AK459" s="21" t="n">
        <v>7088511756.024869</v>
      </c>
      <c r="AL459" s="25" t="n">
        <v>597811019544.2538</v>
      </c>
      <c r="AM459" s="25" t="n">
        <v>5362480432549.308</v>
      </c>
      <c r="AN459" s="21" t="n">
        <v>4468733693.791089</v>
      </c>
      <c r="AO459" s="21" t="n">
        <v>2968362592.2186</v>
      </c>
      <c r="AP459" s="21" t="n">
        <v>64259084667.77642</v>
      </c>
      <c r="AQ459" s="25" t="n">
        <v>5419302420931.073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 t="n">
        <v>2700964573887.727</v>
      </c>
      <c r="J460" s="19" t="n">
        <v>2250803811.573106</v>
      </c>
      <c r="K460" s="19" t="n">
        <v>1495099572.834154</v>
      </c>
      <c r="L460" s="19" t="n">
        <v>112203123236.8254</v>
      </c>
      <c r="M460" s="24" t="n">
        <v>2809421793740.145</v>
      </c>
      <c r="N460" s="24" t="n">
        <v>332194864732.3149</v>
      </c>
      <c r="O460" s="19" t="n">
        <v>276829053.9435958</v>
      </c>
      <c r="P460" s="19" t="n">
        <v>183884085.3969782</v>
      </c>
      <c r="Q460" s="19" t="n">
        <v>13799996381.49636</v>
      </c>
      <c r="R460" s="24" t="n">
        <v>345534147974.4706</v>
      </c>
      <c r="S460" s="24" t="n">
        <v>835396907431.9087</v>
      </c>
      <c r="T460" s="19" t="n">
        <v>696164089.5265906</v>
      </c>
      <c r="U460" s="19" t="n">
        <v>462427967.9650247</v>
      </c>
      <c r="V460" s="19" t="n">
        <v>34703950974.56824</v>
      </c>
      <c r="W460" s="24" t="n">
        <v>868942266348.9854</v>
      </c>
      <c r="X460" s="24" t="n">
        <v>771893247891.4071</v>
      </c>
      <c r="Y460" s="19" t="n">
        <v>643244373.2428393</v>
      </c>
      <c r="Z460" s="19" t="n">
        <v>427275972.5740788</v>
      </c>
      <c r="AA460" s="19" t="n">
        <v>32065890110.57245</v>
      </c>
      <c r="AB460" s="24" t="n">
        <v>802888617656.1626</v>
      </c>
      <c r="AC460" s="24" t="n">
        <v>181041807443.4618</v>
      </c>
      <c r="AD460" s="19" t="n">
        <v>150868172.8695515</v>
      </c>
      <c r="AE460" s="19" t="n">
        <v>100214394.3651348</v>
      </c>
      <c r="AF460" s="19" t="n">
        <v>7520815499.759586</v>
      </c>
      <c r="AG460" s="24" t="n">
        <v>188311540375.9867</v>
      </c>
      <c r="AH460" s="24" t="n">
        <v>597811019544.2538</v>
      </c>
      <c r="AI460" s="19" t="n">
        <v>498175849.6202115</v>
      </c>
      <c r="AJ460" s="19" t="n">
        <v>330914003.3146236</v>
      </c>
      <c r="AK460" s="19" t="n">
        <v>24834188551.28026</v>
      </c>
      <c r="AL460" s="24" t="n">
        <v>621816118242.5992</v>
      </c>
      <c r="AM460" s="24" t="n">
        <v>5419302420931.073</v>
      </c>
      <c r="AN460" s="19" t="n">
        <v>4516085350.775894</v>
      </c>
      <c r="AO460" s="19" t="n">
        <v>2999815996.449994</v>
      </c>
      <c r="AP460" s="19" t="n">
        <v>225127964754.5023</v>
      </c>
      <c r="AQ460" s="24" t="n">
        <v>5636914484338.35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 t="n">
        <v>2809421793740.145</v>
      </c>
      <c r="J461" s="21" t="n">
        <v>2341184828.116787</v>
      </c>
      <c r="K461" s="21" t="n">
        <v>1555135289.200004</v>
      </c>
      <c r="L461" s="21" t="n">
        <v>117841973721.1563</v>
      </c>
      <c r="M461" s="25" t="n">
        <v>2923367447343.984</v>
      </c>
      <c r="N461" s="25" t="n">
        <v>345534147974.4706</v>
      </c>
      <c r="O461" s="21" t="n">
        <v>287945123.3120589</v>
      </c>
      <c r="P461" s="21" t="n">
        <v>191267949.9874547</v>
      </c>
      <c r="Q461" s="21" t="n">
        <v>14493525349.62783</v>
      </c>
      <c r="R461" s="25" t="n">
        <v>359548460250.799</v>
      </c>
      <c r="S461" s="25" t="n">
        <v>868942266348.9854</v>
      </c>
      <c r="T461" s="21" t="n">
        <v>724118555.2908212</v>
      </c>
      <c r="U461" s="21" t="n">
        <v>480996760.8593718</v>
      </c>
      <c r="V461" s="21" t="n">
        <v>36448023555.75743</v>
      </c>
      <c r="W461" s="25" t="n">
        <v>904185174588.5927</v>
      </c>
      <c r="X461" s="25" t="n">
        <v>802888617656.1626</v>
      </c>
      <c r="Y461" s="21" t="n">
        <v>669073848.0468022</v>
      </c>
      <c r="Z461" s="21" t="n">
        <v>444433237.2576433</v>
      </c>
      <c r="AA461" s="21" t="n">
        <v>33677385002.73207</v>
      </c>
      <c r="AB461" s="25" t="n">
        <v>835452495573.5902</v>
      </c>
      <c r="AC461" s="25" t="n">
        <v>188311540375.9867</v>
      </c>
      <c r="AD461" s="21" t="n">
        <v>156926283.6466556</v>
      </c>
      <c r="AE461" s="21" t="n">
        <v>104238502.9029198</v>
      </c>
      <c r="AF461" s="21" t="n">
        <v>7898779614.304514</v>
      </c>
      <c r="AG461" s="25" t="n">
        <v>195949155203.7416</v>
      </c>
      <c r="AH461" s="25" t="n">
        <v>621816118242.5992</v>
      </c>
      <c r="AI461" s="21" t="n">
        <v>518180098.5354994</v>
      </c>
      <c r="AJ461" s="21" t="n">
        <v>344201853.5725329</v>
      </c>
      <c r="AK461" s="21" t="n">
        <v>26082248962.61817</v>
      </c>
      <c r="AL461" s="25" t="n">
        <v>647035985253.1094</v>
      </c>
      <c r="AM461" s="25" t="n">
        <v>5636914484338.35</v>
      </c>
      <c r="AN461" s="21" t="n">
        <v>4697428736.948625</v>
      </c>
      <c r="AO461" s="21" t="n">
        <v>3120273593.779926</v>
      </c>
      <c r="AP461" s="21" t="n">
        <v>236441936206.1963</v>
      </c>
      <c r="AQ461" s="25" t="n">
        <v>5865538718213.816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 t="n">
        <v>2923367447343.984</v>
      </c>
      <c r="J462" s="19" t="n">
        <v>2436139539.453321</v>
      </c>
      <c r="K462" s="19" t="n">
        <v>1618209088.714595</v>
      </c>
      <c r="L462" s="19" t="n">
        <v>41860740060.23941</v>
      </c>
      <c r="M462" s="24" t="n">
        <v>2961173838776.056</v>
      </c>
      <c r="N462" s="24" t="n">
        <v>359548460250.799</v>
      </c>
      <c r="O462" s="19" t="n">
        <v>299623716.8756658</v>
      </c>
      <c r="P462" s="19" t="n">
        <v>199025472.0595579</v>
      </c>
      <c r="Q462" s="19" t="n">
        <v>5148502507.713328</v>
      </c>
      <c r="R462" s="24" t="n">
        <v>364198313569.577</v>
      </c>
      <c r="S462" s="24" t="n">
        <v>904185174588.5927</v>
      </c>
      <c r="T462" s="19" t="n">
        <v>753487645.4904939</v>
      </c>
      <c r="U462" s="19" t="n">
        <v>500505220.0090698</v>
      </c>
      <c r="V462" s="19" t="n">
        <v>12947349671.75051</v>
      </c>
      <c r="W462" s="24" t="n">
        <v>915878531394.8436</v>
      </c>
      <c r="X462" s="24" t="n">
        <v>835452495573.5902</v>
      </c>
      <c r="Y462" s="19" t="n">
        <v>696210412.9779919</v>
      </c>
      <c r="Z462" s="19" t="n">
        <v>462458738.3822623</v>
      </c>
      <c r="AA462" s="19" t="n">
        <v>11963141951.81268</v>
      </c>
      <c r="AB462" s="24" t="n">
        <v>846256968374.0426</v>
      </c>
      <c r="AC462" s="24" t="n">
        <v>195949155203.7416</v>
      </c>
      <c r="AD462" s="19" t="n">
        <v>163290962.6697847</v>
      </c>
      <c r="AE462" s="19" t="n">
        <v>108466249.8259429</v>
      </c>
      <c r="AF462" s="19" t="n">
        <v>2805865769.101232</v>
      </c>
      <c r="AG462" s="24" t="n">
        <v>198483263760.3471</v>
      </c>
      <c r="AH462" s="24" t="n">
        <v>647035985253.1094</v>
      </c>
      <c r="AI462" s="19" t="n">
        <v>539196654.3775911</v>
      </c>
      <c r="AJ462" s="19" t="n">
        <v>358162130.1192461</v>
      </c>
      <c r="AK462" s="19" t="n">
        <v>9265138808.6399</v>
      </c>
      <c r="AL462" s="24" t="n">
        <v>655403765277.2524</v>
      </c>
      <c r="AM462" s="24" t="n">
        <v>5865538718213.816</v>
      </c>
      <c r="AN462" s="19" t="n">
        <v>4887948931.844848</v>
      </c>
      <c r="AO462" s="19" t="n">
        <v>3246826899.110674</v>
      </c>
      <c r="AP462" s="19" t="n">
        <v>83990738769.25705</v>
      </c>
      <c r="AQ462" s="24" t="n">
        <v>5941394681152.119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 t="n">
        <v>2961173838776.056</v>
      </c>
      <c r="J463" s="21" t="n">
        <v>2467644865.646714</v>
      </c>
      <c r="K463" s="21" t="n">
        <v>1639136545.604239</v>
      </c>
      <c r="L463" s="21" t="n">
        <v>63845359506.45882</v>
      </c>
      <c r="M463" s="25" t="n">
        <v>3020912416871.265</v>
      </c>
      <c r="N463" s="25" t="n">
        <v>364198313569.577</v>
      </c>
      <c r="O463" s="21" t="n">
        <v>303498594.6413142</v>
      </c>
      <c r="P463" s="21" t="n">
        <v>201599365.0227818</v>
      </c>
      <c r="Q463" s="21" t="n">
        <v>7852417158.698992</v>
      </c>
      <c r="R463" s="25" t="n">
        <v>371545632768.6119</v>
      </c>
      <c r="S463" s="25" t="n">
        <v>915878531394.8436</v>
      </c>
      <c r="T463" s="21" t="n">
        <v>763232109.4957031</v>
      </c>
      <c r="U463" s="21" t="n">
        <v>506977993.8229294</v>
      </c>
      <c r="V463" s="21" t="n">
        <v>19747099388.57243</v>
      </c>
      <c r="W463" s="25" t="n">
        <v>934355420680.0974</v>
      </c>
      <c r="X463" s="25" t="n">
        <v>846256968374.0426</v>
      </c>
      <c r="Y463" s="21" t="n">
        <v>705214140.3117023</v>
      </c>
      <c r="Z463" s="21" t="n">
        <v>468439476.8283809</v>
      </c>
      <c r="AA463" s="21" t="n">
        <v>18246000850.46638</v>
      </c>
      <c r="AB463" s="25" t="n">
        <v>863329315607.369</v>
      </c>
      <c r="AC463" s="25" t="n">
        <v>198483263760.3471</v>
      </c>
      <c r="AD463" s="21" t="n">
        <v>165402719.8002893</v>
      </c>
      <c r="AE463" s="21" t="n">
        <v>109868987.4468376</v>
      </c>
      <c r="AF463" s="21" t="n">
        <v>4279463490.070705</v>
      </c>
      <c r="AG463" s="25" t="n">
        <v>202487455543.1707</v>
      </c>
      <c r="AH463" s="25" t="n">
        <v>655403765277.2524</v>
      </c>
      <c r="AI463" s="21" t="n">
        <v>546169804.3977104</v>
      </c>
      <c r="AJ463" s="21" t="n">
        <v>362794054.7511411</v>
      </c>
      <c r="AK463" s="21" t="n">
        <v>14131047785.19472</v>
      </c>
      <c r="AL463" s="25" t="n">
        <v>668625849203.2983</v>
      </c>
      <c r="AM463" s="25" t="n">
        <v>5941394681152.119</v>
      </c>
      <c r="AN463" s="21" t="n">
        <v>4951162234.293433</v>
      </c>
      <c r="AO463" s="21" t="n">
        <v>3288816423.47631</v>
      </c>
      <c r="AP463" s="21" t="n">
        <v>128101388179.4621</v>
      </c>
      <c r="AQ463" s="25" t="n">
        <v>6061256090673.812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 t="n">
        <v>3020912416871.265</v>
      </c>
      <c r="J464" s="19" t="n">
        <v>2517427014.059387</v>
      </c>
      <c r="K464" s="19" t="n">
        <v>1672204407.158346</v>
      </c>
      <c r="L464" s="19" t="n">
        <v>135815152653.7436</v>
      </c>
      <c r="M464" s="24" t="n">
        <v>3152537938103.791</v>
      </c>
      <c r="N464" s="24" t="n">
        <v>371545632768.6119</v>
      </c>
      <c r="O464" s="19" t="n">
        <v>309621360.64051</v>
      </c>
      <c r="P464" s="19" t="n">
        <v>205666420.8820675</v>
      </c>
      <c r="Q464" s="19" t="n">
        <v>16704068132.02595</v>
      </c>
      <c r="R464" s="24" t="n">
        <v>387734413119.1153</v>
      </c>
      <c r="S464" s="24" t="n">
        <v>934355420680.0974</v>
      </c>
      <c r="T464" s="19" t="n">
        <v>778629517.2334145</v>
      </c>
      <c r="U464" s="19" t="n">
        <v>517205743.3997868</v>
      </c>
      <c r="V464" s="19" t="n">
        <v>42007051705.24249</v>
      </c>
      <c r="W464" s="24" t="n">
        <v>975066637124.7067</v>
      </c>
      <c r="X464" s="24" t="n">
        <v>863329315607.369</v>
      </c>
      <c r="Y464" s="19" t="n">
        <v>719441096.3394742</v>
      </c>
      <c r="Z464" s="19" t="n">
        <v>477889752.2235456</v>
      </c>
      <c r="AA464" s="19" t="n">
        <v>38813837215.15006</v>
      </c>
      <c r="AB464" s="24" t="n">
        <v>900945821973.9561</v>
      </c>
      <c r="AC464" s="24" t="n">
        <v>202487455543.1707</v>
      </c>
      <c r="AD464" s="19" t="n">
        <v>168739546.2859756</v>
      </c>
      <c r="AE464" s="19" t="n">
        <v>112085479.0964961</v>
      </c>
      <c r="AF464" s="19" t="n">
        <v>9103496192.566309</v>
      </c>
      <c r="AG464" s="24" t="n">
        <v>211310126710.3545</v>
      </c>
      <c r="AH464" s="24" t="n">
        <v>668625849203.2983</v>
      </c>
      <c r="AI464" s="19" t="n">
        <v>557188207.6694154</v>
      </c>
      <c r="AJ464" s="19" t="n">
        <v>370113044.5005528</v>
      </c>
      <c r="AK464" s="19" t="n">
        <v>30060296111.40982</v>
      </c>
      <c r="AL464" s="24" t="n">
        <v>697758844062.5381</v>
      </c>
      <c r="AM464" s="24" t="n">
        <v>6061256090673.812</v>
      </c>
      <c r="AN464" s="19" t="n">
        <v>5051046742.228177</v>
      </c>
      <c r="AO464" s="19" t="n">
        <v>3355164847.260794</v>
      </c>
      <c r="AP464" s="19" t="n">
        <v>272503902010.1382</v>
      </c>
      <c r="AQ464" s="24" t="n">
        <v>6325353781094.461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 t="n">
        <v>3152537938103.791</v>
      </c>
      <c r="J465" s="21" t="n">
        <v>2627114948.419826</v>
      </c>
      <c r="K465" s="21" t="n">
        <v>1745064770.626779</v>
      </c>
      <c r="L465" s="21" t="n">
        <v>124366640533.9478</v>
      </c>
      <c r="M465" s="25" t="n">
        <v>3272532398918.691</v>
      </c>
      <c r="N465" s="25" t="n">
        <v>387734413119.1153</v>
      </c>
      <c r="O465" s="21" t="n">
        <v>323112010.9325961</v>
      </c>
      <c r="P465" s="21" t="n">
        <v>214627604.1647882</v>
      </c>
      <c r="Q465" s="21" t="n">
        <v>15296001927.90405</v>
      </c>
      <c r="R465" s="25" t="n">
        <v>402492675431.9219</v>
      </c>
      <c r="S465" s="25" t="n">
        <v>975066637124.7067</v>
      </c>
      <c r="T465" s="21" t="n">
        <v>812555530.9372556</v>
      </c>
      <c r="U465" s="21" t="n">
        <v>539741145.3463154</v>
      </c>
      <c r="V465" s="21" t="n">
        <v>38466075376.99403</v>
      </c>
      <c r="W465" s="25" t="n">
        <v>1012180415825.417</v>
      </c>
      <c r="X465" s="25" t="n">
        <v>900945821973.9561</v>
      </c>
      <c r="Y465" s="21" t="n">
        <v>750788184.9782968</v>
      </c>
      <c r="Z465" s="21" t="n">
        <v>498712099.5967457</v>
      </c>
      <c r="AA465" s="21" t="n">
        <v>35542032286.97457</v>
      </c>
      <c r="AB465" s="25" t="n">
        <v>935238353976.3556</v>
      </c>
      <c r="AC465" s="25" t="n">
        <v>211310126710.3545</v>
      </c>
      <c r="AD465" s="21" t="n">
        <v>176091772.2586288</v>
      </c>
      <c r="AE465" s="21" t="n">
        <v>116969205.4588623</v>
      </c>
      <c r="AF465" s="21" t="n">
        <v>8336118735.362994</v>
      </c>
      <c r="AG465" s="25" t="n">
        <v>219353184468</v>
      </c>
      <c r="AH465" s="25" t="n">
        <v>697758844062.5381</v>
      </c>
      <c r="AI465" s="21" t="n">
        <v>581465703.3854485</v>
      </c>
      <c r="AJ465" s="21" t="n">
        <v>386239404.9091731</v>
      </c>
      <c r="AK465" s="21" t="n">
        <v>27526369243.66544</v>
      </c>
      <c r="AL465" s="25" t="n">
        <v>724317508197.9088</v>
      </c>
      <c r="AM465" s="25" t="n">
        <v>6325353781094.461</v>
      </c>
      <c r="AN465" s="21" t="n">
        <v>5271128150.912052</v>
      </c>
      <c r="AO465" s="21" t="n">
        <v>3501354230.102664</v>
      </c>
      <c r="AP465" s="21" t="n">
        <v>249533238104.849</v>
      </c>
      <c r="AQ465" s="25" t="n">
        <v>6566114536818.295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 t="n">
        <v>3272532398918.691</v>
      </c>
      <c r="J466" s="19" t="n">
        <v>2727110332.432243</v>
      </c>
      <c r="K466" s="19" t="n">
        <v>1811486844.000586</v>
      </c>
      <c r="L466" s="19" t="n">
        <v>88219882912.23669</v>
      </c>
      <c r="M466" s="24" t="n">
        <v>3356213684654.496</v>
      </c>
      <c r="N466" s="24" t="n">
        <v>402492675431.9219</v>
      </c>
      <c r="O466" s="19" t="n">
        <v>335410562.859935</v>
      </c>
      <c r="P466" s="19" t="n">
        <v>222796934.4451522</v>
      </c>
      <c r="Q466" s="19" t="n">
        <v>10850268957.26671</v>
      </c>
      <c r="R466" s="24" t="n">
        <v>412784736891.8836</v>
      </c>
      <c r="S466" s="24" t="n">
        <v>1012180415825.417</v>
      </c>
      <c r="T466" s="19" t="n">
        <v>843483679.8545144</v>
      </c>
      <c r="U466" s="19" t="n">
        <v>560285211.4248363</v>
      </c>
      <c r="V466" s="19" t="n">
        <v>27286036281.77431</v>
      </c>
      <c r="W466" s="24" t="n">
        <v>1038062683215.912</v>
      </c>
      <c r="X466" s="24" t="n">
        <v>935238353976.3556</v>
      </c>
      <c r="Y466" s="19" t="n">
        <v>779365294.9802964</v>
      </c>
      <c r="Z466" s="19" t="n">
        <v>517694484.7949309</v>
      </c>
      <c r="AA466" s="19" t="n">
        <v>25211856759.64243</v>
      </c>
      <c r="AB466" s="24" t="n">
        <v>959153150956.2228</v>
      </c>
      <c r="AC466" s="24" t="n">
        <v>219353184468</v>
      </c>
      <c r="AD466" s="19" t="n">
        <v>182794320.39</v>
      </c>
      <c r="AE466" s="19" t="n">
        <v>121421382.4085316</v>
      </c>
      <c r="AF466" s="19" t="n">
        <v>5913253068.659387</v>
      </c>
      <c r="AG466" s="24" t="n">
        <v>224962221833.8609</v>
      </c>
      <c r="AH466" s="24" t="n">
        <v>724317508197.9088</v>
      </c>
      <c r="AI466" s="19" t="n">
        <v>603597923.4982574</v>
      </c>
      <c r="AJ466" s="19" t="n">
        <v>400940763.0046196</v>
      </c>
      <c r="AK466" s="19" t="n">
        <v>19525919983.44038</v>
      </c>
      <c r="AL466" s="24" t="n">
        <v>742838889494.8463</v>
      </c>
      <c r="AM466" s="24" t="n">
        <v>6566114536818.295</v>
      </c>
      <c r="AN466" s="19" t="n">
        <v>5471762114.015246</v>
      </c>
      <c r="AO466" s="19" t="n">
        <v>3634625620.078657</v>
      </c>
      <c r="AP466" s="19" t="n">
        <v>177007217963.0199</v>
      </c>
      <c r="AQ466" s="24" t="n">
        <v>6734015367047.222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 t="n">
        <v>3356213684654.496</v>
      </c>
      <c r="J467" s="21" t="n">
        <v>2796844737.21208</v>
      </c>
      <c r="K467" s="21" t="n">
        <v>1857808019.689955</v>
      </c>
      <c r="L467" s="21" t="n">
        <v>37682833153.36797</v>
      </c>
      <c r="M467" s="25" t="n">
        <v>3389241865050.962</v>
      </c>
      <c r="N467" s="25" t="n">
        <v>412784736891.8836</v>
      </c>
      <c r="O467" s="21" t="n">
        <v>343987280.7432364</v>
      </c>
      <c r="P467" s="21" t="n">
        <v>228494031.267945</v>
      </c>
      <c r="Q467" s="21" t="n">
        <v>4634656738.238954</v>
      </c>
      <c r="R467" s="25" t="n">
        <v>416846912318.1114</v>
      </c>
      <c r="S467" s="25" t="n">
        <v>1038062683215.912</v>
      </c>
      <c r="T467" s="21" t="n">
        <v>865052236.0132601</v>
      </c>
      <c r="U467" s="21" t="n">
        <v>574612154.9522033</v>
      </c>
      <c r="V467" s="21" t="n">
        <v>11655140753.76568</v>
      </c>
      <c r="W467" s="25" t="n">
        <v>1048278159578.712</v>
      </c>
      <c r="X467" s="25" t="n">
        <v>959153150956.2228</v>
      </c>
      <c r="Y467" s="21" t="n">
        <v>799294292.463519</v>
      </c>
      <c r="Z467" s="21" t="n">
        <v>530932349.1840776</v>
      </c>
      <c r="AA467" s="21" t="n">
        <v>10769161785.27867</v>
      </c>
      <c r="AB467" s="25" t="n">
        <v>968592086099.8539</v>
      </c>
      <c r="AC467" s="25" t="n">
        <v>224962221833.8609</v>
      </c>
      <c r="AD467" s="21" t="n">
        <v>187468518.1948841</v>
      </c>
      <c r="AE467" s="21" t="n">
        <v>124526224.8232689</v>
      </c>
      <c r="AF467" s="21" t="n">
        <v>2525826621.211997</v>
      </c>
      <c r="AG467" s="25" t="n">
        <v>227176053712.0547</v>
      </c>
      <c r="AH467" s="25" t="n">
        <v>742838889494.8463</v>
      </c>
      <c r="AI467" s="21" t="n">
        <v>619032407.912372</v>
      </c>
      <c r="AJ467" s="21" t="n">
        <v>411193140.8155183</v>
      </c>
      <c r="AK467" s="21" t="n">
        <v>8340432571.577782</v>
      </c>
      <c r="AL467" s="25" t="n">
        <v>750149096517.6962</v>
      </c>
      <c r="AM467" s="25" t="n">
        <v>6734015367047.222</v>
      </c>
      <c r="AN467" s="21" t="n">
        <v>5611679472.539351</v>
      </c>
      <c r="AO467" s="21" t="n">
        <v>3727565920.732968</v>
      </c>
      <c r="AP467" s="21" t="n">
        <v>75608051623.44104</v>
      </c>
      <c r="AQ467" s="25" t="n">
        <v>6800284173277.39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 t="n">
        <v>3389241865050.962</v>
      </c>
      <c r="J468" s="19" t="n">
        <v>2824368220.875802</v>
      </c>
      <c r="K468" s="19" t="n">
        <v>1876090532.122603</v>
      </c>
      <c r="L468" s="19" t="n">
        <v>123726233582.7781</v>
      </c>
      <c r="M468" s="24" t="n">
        <v>3508267639880.742</v>
      </c>
      <c r="N468" s="24" t="n">
        <v>416846912318.1114</v>
      </c>
      <c r="O468" s="19" t="n">
        <v>347372426.9317595</v>
      </c>
      <c r="P468" s="19" t="n">
        <v>230742619.347643</v>
      </c>
      <c r="Q468" s="19" t="n">
        <v>15217237510.71243</v>
      </c>
      <c r="R468" s="24" t="n">
        <v>431486034782.5444</v>
      </c>
      <c r="S468" s="24" t="n">
        <v>1048278159578.712</v>
      </c>
      <c r="T468" s="19" t="n">
        <v>873565132.9822603</v>
      </c>
      <c r="U468" s="19" t="n">
        <v>580266858.6436093</v>
      </c>
      <c r="V468" s="19" t="n">
        <v>38268000218.33504</v>
      </c>
      <c r="W468" s="24" t="n">
        <v>1085092327805.422</v>
      </c>
      <c r="X468" s="24" t="n">
        <v>968592086099.8539</v>
      </c>
      <c r="Y468" s="19" t="n">
        <v>807160071.7498783</v>
      </c>
      <c r="Z468" s="19" t="n">
        <v>536157204.0517367</v>
      </c>
      <c r="AA468" s="19" t="n">
        <v>35359014039.97878</v>
      </c>
      <c r="AB468" s="24" t="n">
        <v>1002607782864.031</v>
      </c>
      <c r="AC468" s="24" t="n">
        <v>227176053712.0547</v>
      </c>
      <c r="AD468" s="19" t="n">
        <v>189313378.0933789</v>
      </c>
      <c r="AE468" s="19" t="n">
        <v>125751675.5853461</v>
      </c>
      <c r="AF468" s="19" t="n">
        <v>8293193169.785417</v>
      </c>
      <c r="AG468" s="24" t="n">
        <v>235154181828.1614</v>
      </c>
      <c r="AH468" s="24" t="n">
        <v>750149096517.6962</v>
      </c>
      <c r="AI468" s="19" t="n">
        <v>625124247.0980802</v>
      </c>
      <c r="AJ468" s="19" t="n">
        <v>415239653.4957865</v>
      </c>
      <c r="AK468" s="19" t="n">
        <v>27384626424.7839</v>
      </c>
      <c r="AL468" s="24" t="n">
        <v>776493359041.8864</v>
      </c>
      <c r="AM468" s="24" t="n">
        <v>6800284173277.39</v>
      </c>
      <c r="AN468" s="19" t="n">
        <v>5666903477.731159</v>
      </c>
      <c r="AO468" s="19" t="n">
        <v>3764248543.246725</v>
      </c>
      <c r="AP468" s="19" t="n">
        <v>248248304946.3737</v>
      </c>
      <c r="AQ468" s="24" t="n">
        <v>7039101326202.787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 t="n">
        <v>3508267639880.742</v>
      </c>
      <c r="J469" s="21" t="n">
        <v>2923556366.567285</v>
      </c>
      <c r="K469" s="21" t="n">
        <v>1941976396.315228</v>
      </c>
      <c r="L469" s="21" t="n">
        <v>158696447473.9615</v>
      </c>
      <c r="M469" s="25" t="n">
        <v>3662098554591.82</v>
      </c>
      <c r="N469" s="25" t="n">
        <v>431486034782.5444</v>
      </c>
      <c r="O469" s="21" t="n">
        <v>359571695.6521204</v>
      </c>
      <c r="P469" s="21" t="n">
        <v>238846000.6192222</v>
      </c>
      <c r="Q469" s="21" t="n">
        <v>19518265960.16025</v>
      </c>
      <c r="R469" s="25" t="n">
        <v>450405883046.4333</v>
      </c>
      <c r="S469" s="25" t="n">
        <v>1085092327805.422</v>
      </c>
      <c r="T469" s="21" t="n">
        <v>904243606.504518</v>
      </c>
      <c r="U469" s="21" t="n">
        <v>600645077.4925789</v>
      </c>
      <c r="V469" s="21" t="n">
        <v>49084139318.92193</v>
      </c>
      <c r="W469" s="25" t="n">
        <v>1132671578440.346</v>
      </c>
      <c r="X469" s="25" t="n">
        <v>1002607782864.031</v>
      </c>
      <c r="Y469" s="21" t="n">
        <v>835506485.7200259</v>
      </c>
      <c r="Z469" s="21" t="n">
        <v>554986349.088828</v>
      </c>
      <c r="AA469" s="21" t="n">
        <v>45352951850.52515</v>
      </c>
      <c r="AB469" s="25" t="n">
        <v>1046570241879.747</v>
      </c>
      <c r="AC469" s="25" t="n">
        <v>235154181828.1614</v>
      </c>
      <c r="AD469" s="21" t="n">
        <v>195961818.1901345</v>
      </c>
      <c r="AE469" s="21" t="n">
        <v>130167911.1975141</v>
      </c>
      <c r="AF469" s="21" t="n">
        <v>10637196786.40134</v>
      </c>
      <c r="AG469" s="25" t="n">
        <v>245465248885.1751</v>
      </c>
      <c r="AH469" s="25" t="n">
        <v>776493359041.8864</v>
      </c>
      <c r="AI469" s="21" t="n">
        <v>647077799.2015721</v>
      </c>
      <c r="AJ469" s="21" t="n">
        <v>429822331.1167129</v>
      </c>
      <c r="AK469" s="21" t="n">
        <v>35124668416.47794</v>
      </c>
      <c r="AL469" s="25" t="n">
        <v>810541127328.046</v>
      </c>
      <c r="AM469" s="25" t="n">
        <v>7039101326202.787</v>
      </c>
      <c r="AN469" s="21" t="n">
        <v>5865917771.835657</v>
      </c>
      <c r="AO469" s="21" t="n">
        <v>3896444065.830085</v>
      </c>
      <c r="AP469" s="21" t="n">
        <v>318413669806.4482</v>
      </c>
      <c r="AQ469" s="25" t="n">
        <v>7347752634171.568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 t="n">
        <v>3662098554591.82</v>
      </c>
      <c r="J470" s="19" t="n">
        <v>3051748795.493184</v>
      </c>
      <c r="K470" s="19" t="n">
        <v>2027128396.121791</v>
      </c>
      <c r="L470" s="19" t="n">
        <v>74492425161.53984</v>
      </c>
      <c r="M470" s="24" t="n">
        <v>3731512102561.746</v>
      </c>
      <c r="N470" s="24" t="n">
        <v>450405883046.4333</v>
      </c>
      <c r="O470" s="19" t="n">
        <v>375338235.8720278</v>
      </c>
      <c r="P470" s="19" t="n">
        <v>249318946.9625026</v>
      </c>
      <c r="Q470" s="19" t="n">
        <v>9161912503.169487</v>
      </c>
      <c r="R470" s="24" t="n">
        <v>458943138366.7683</v>
      </c>
      <c r="S470" s="24" t="n">
        <v>1132671578440.346</v>
      </c>
      <c r="T470" s="19" t="n">
        <v>943892982.0336221</v>
      </c>
      <c r="U470" s="19" t="n">
        <v>626982230.5184897</v>
      </c>
      <c r="V470" s="19" t="n">
        <v>23040191718.42721</v>
      </c>
      <c r="W470" s="24" t="n">
        <v>1154140894946.221</v>
      </c>
      <c r="X470" s="24" t="n">
        <v>1046570241879.747</v>
      </c>
      <c r="Y470" s="19" t="n">
        <v>872141868.2331228</v>
      </c>
      <c r="Z470" s="19" t="n">
        <v>579321453.0478288</v>
      </c>
      <c r="AA470" s="19" t="n">
        <v>21288764968.31784</v>
      </c>
      <c r="AB470" s="24" t="n">
        <v>1066407543526.784</v>
      </c>
      <c r="AC470" s="24" t="n">
        <v>245465248885.1751</v>
      </c>
      <c r="AD470" s="19" t="n">
        <v>204554374.0709793</v>
      </c>
      <c r="AE470" s="19" t="n">
        <v>135875528.432277</v>
      </c>
      <c r="AF470" s="19" t="n">
        <v>4993121132.529365</v>
      </c>
      <c r="AG470" s="24" t="n">
        <v>250117940115.2012</v>
      </c>
      <c r="AH470" s="24" t="n">
        <v>810541127328.046</v>
      </c>
      <c r="AI470" s="19" t="n">
        <v>675450939.4400384</v>
      </c>
      <c r="AJ470" s="19" t="n">
        <v>448669229.1148314</v>
      </c>
      <c r="AK470" s="19" t="n">
        <v>16487588569.1625</v>
      </c>
      <c r="AL470" s="24" t="n">
        <v>825904595728.6536</v>
      </c>
      <c r="AM470" s="24" t="n">
        <v>7347752634171.568</v>
      </c>
      <c r="AN470" s="19" t="n">
        <v>6123127195.142974</v>
      </c>
      <c r="AO470" s="19" t="n">
        <v>4067295784.197721</v>
      </c>
      <c r="AP470" s="19" t="n">
        <v>149464004053.1462</v>
      </c>
      <c r="AQ470" s="24" t="n">
        <v>7487026215245.374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 t="n">
        <v>3731512102561.746</v>
      </c>
      <c r="J471" s="21" t="n">
        <v>3109593418.801455</v>
      </c>
      <c r="K471" s="21" t="n">
        <v>2065551767.876482</v>
      </c>
      <c r="L471" s="21" t="n">
        <v>117405437563.61</v>
      </c>
      <c r="M471" s="25" t="n">
        <v>3843742394938.678</v>
      </c>
      <c r="N471" s="25" t="n">
        <v>458943138366.7683</v>
      </c>
      <c r="O471" s="21" t="n">
        <v>382452615.3056403</v>
      </c>
      <c r="P471" s="21" t="n">
        <v>254044683.4293962</v>
      </c>
      <c r="Q471" s="21" t="n">
        <v>14439835245.28184</v>
      </c>
      <c r="R471" s="25" t="n">
        <v>472746476313.3151</v>
      </c>
      <c r="S471" s="25" t="n">
        <v>1154140894946.221</v>
      </c>
      <c r="T471" s="21" t="n">
        <v>961784079.1218512</v>
      </c>
      <c r="U471" s="21" t="n">
        <v>638866416.726372</v>
      </c>
      <c r="V471" s="21" t="n">
        <v>36313004770.42346</v>
      </c>
      <c r="W471" s="25" t="n">
        <v>1188853249220.797</v>
      </c>
      <c r="X471" s="25" t="n">
        <v>1066407543526.784</v>
      </c>
      <c r="Y471" s="21" t="n">
        <v>888672952.9389869</v>
      </c>
      <c r="Z471" s="21" t="n">
        <v>590302249.1328278</v>
      </c>
      <c r="AA471" s="21" t="n">
        <v>33552629826.10809</v>
      </c>
      <c r="AB471" s="25" t="n">
        <v>1098481198150.821</v>
      </c>
      <c r="AC471" s="25" t="n">
        <v>250117940115.2012</v>
      </c>
      <c r="AD471" s="21" t="n">
        <v>208431616.7626677</v>
      </c>
      <c r="AE471" s="21" t="n">
        <v>138450992.3009232</v>
      </c>
      <c r="AF471" s="21" t="n">
        <v>7869519217.577852</v>
      </c>
      <c r="AG471" s="25" t="n">
        <v>257640576723.7155</v>
      </c>
      <c r="AH471" s="25" t="n">
        <v>825904595728.6536</v>
      </c>
      <c r="AI471" s="21" t="n">
        <v>688253829.773878</v>
      </c>
      <c r="AJ471" s="21" t="n">
        <v>457173566.8855178</v>
      </c>
      <c r="AK471" s="21" t="n">
        <v>25985629359.40913</v>
      </c>
      <c r="AL471" s="25" t="n">
        <v>850744797691.4033</v>
      </c>
      <c r="AM471" s="25" t="n">
        <v>7487026215245.374</v>
      </c>
      <c r="AN471" s="21" t="n">
        <v>6239188512.704479</v>
      </c>
      <c r="AO471" s="21" t="n">
        <v>4144389676.35152</v>
      </c>
      <c r="AP471" s="21" t="n">
        <v>235566055982.4103</v>
      </c>
      <c r="AQ471" s="25" t="n">
        <v>7712208693038.729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 t="n">
        <v>3843742394938.678</v>
      </c>
      <c r="J472" s="19" t="n">
        <v>3203118662.448898</v>
      </c>
      <c r="K472" s="19" t="n">
        <v>2127676041.483774</v>
      </c>
      <c r="L472" s="19" t="n">
        <v>50134698411.04779</v>
      </c>
      <c r="M472" s="24" t="n">
        <v>3888546298645.793</v>
      </c>
      <c r="N472" s="24" t="n">
        <v>472746476313.3151</v>
      </c>
      <c r="O472" s="19" t="n">
        <v>393955396.9277626</v>
      </c>
      <c r="P472" s="19" t="n">
        <v>261685422.1740227</v>
      </c>
      <c r="Q472" s="19" t="n">
        <v>6166126545.333099</v>
      </c>
      <c r="R472" s="24" t="n">
        <v>478256962039.5465</v>
      </c>
      <c r="S472" s="24" t="n">
        <v>1188853249220.797</v>
      </c>
      <c r="T472" s="19" t="n">
        <v>990711041.0173308</v>
      </c>
      <c r="U472" s="19" t="n">
        <v>658081191.5330195</v>
      </c>
      <c r="V472" s="19" t="n">
        <v>15506449959.59199</v>
      </c>
      <c r="W472" s="24" t="n">
        <v>1202710906947.839</v>
      </c>
      <c r="X472" s="24" t="n">
        <v>1098481198150.821</v>
      </c>
      <c r="Y472" s="19" t="n">
        <v>915400998.4590172</v>
      </c>
      <c r="Z472" s="19" t="n">
        <v>608056390.6684954</v>
      </c>
      <c r="AA472" s="19" t="n">
        <v>14327709279.37704</v>
      </c>
      <c r="AB472" s="24" t="n">
        <v>1111285450041.07</v>
      </c>
      <c r="AC472" s="24" t="n">
        <v>257640576723.7155</v>
      </c>
      <c r="AD472" s="19" t="n">
        <v>214700480.6030962</v>
      </c>
      <c r="AE472" s="19" t="n">
        <v>142615093.8551273</v>
      </c>
      <c r="AF472" s="19" t="n">
        <v>3360457409.815042</v>
      </c>
      <c r="AG472" s="24" t="n">
        <v>260643718559.0723</v>
      </c>
      <c r="AH472" s="24" t="n">
        <v>850744797691.4033</v>
      </c>
      <c r="AI472" s="19" t="n">
        <v>708953998.0761695</v>
      </c>
      <c r="AJ472" s="19" t="n">
        <v>470923682.5673998</v>
      </c>
      <c r="AK472" s="19" t="n">
        <v>11096434015.24228</v>
      </c>
      <c r="AL472" s="24" t="n">
        <v>860661354026.0021</v>
      </c>
      <c r="AM472" s="24" t="n">
        <v>7712208693038.729</v>
      </c>
      <c r="AN472" s="19" t="n">
        <v>6426840577.532274</v>
      </c>
      <c r="AO472" s="19" t="n">
        <v>4269037822.281839</v>
      </c>
      <c r="AP472" s="19" t="n">
        <v>100591875620.4073</v>
      </c>
      <c r="AQ472" s="24" t="n">
        <v>7802104690259.322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 t="n">
        <v>3888546298645.793</v>
      </c>
      <c r="J473" s="21" t="n">
        <v>3240455248.871494</v>
      </c>
      <c r="K473" s="21" t="n">
        <v>2152476921.118189</v>
      </c>
      <c r="L473" s="21" t="n">
        <v>130473603633.5458</v>
      </c>
      <c r="M473" s="25" t="n">
        <v>4013626970109.349</v>
      </c>
      <c r="N473" s="25" t="n">
        <v>478256962039.5465</v>
      </c>
      <c r="O473" s="21" t="n">
        <v>398547468.3662888</v>
      </c>
      <c r="P473" s="21" t="n">
        <v>264735712.0352994</v>
      </c>
      <c r="Q473" s="21" t="n">
        <v>16047104626.69884</v>
      </c>
      <c r="R473" s="25" t="n">
        <v>493640783485.8438</v>
      </c>
      <c r="S473" s="25" t="n">
        <v>1202710906947.839</v>
      </c>
      <c r="T473" s="21" t="n">
        <v>1002259089.123199</v>
      </c>
      <c r="U473" s="21" t="n">
        <v>665751998.6026436</v>
      </c>
      <c r="V473" s="21" t="n">
        <v>40354933208.20268</v>
      </c>
      <c r="W473" s="25" t="n">
        <v>1241397829068.315</v>
      </c>
      <c r="X473" s="25" t="n">
        <v>1111285450041.07</v>
      </c>
      <c r="Y473" s="21" t="n">
        <v>926071208.3675585</v>
      </c>
      <c r="Z473" s="21" t="n">
        <v>615144092.4905218</v>
      </c>
      <c r="AA473" s="21" t="n">
        <v>37287306411.36507</v>
      </c>
      <c r="AB473" s="25" t="n">
        <v>1147031541151.577</v>
      </c>
      <c r="AC473" s="25" t="n">
        <v>260643718559.0723</v>
      </c>
      <c r="AD473" s="21" t="n">
        <v>217203098.7992269</v>
      </c>
      <c r="AE473" s="21" t="n">
        <v>144277461.4843108</v>
      </c>
      <c r="AF473" s="21" t="n">
        <v>8745459771.610033</v>
      </c>
      <c r="AG473" s="25" t="n">
        <v>269027697770.3988</v>
      </c>
      <c r="AH473" s="25" t="n">
        <v>860661354026.0021</v>
      </c>
      <c r="AI473" s="21" t="n">
        <v>717217795.0216684</v>
      </c>
      <c r="AJ473" s="21" t="n">
        <v>476412921.2205761</v>
      </c>
      <c r="AK473" s="21" t="n">
        <v>28878038151.94545</v>
      </c>
      <c r="AL473" s="25" t="n">
        <v>888345761461.7052</v>
      </c>
      <c r="AM473" s="25" t="n">
        <v>7802104690259.322</v>
      </c>
      <c r="AN473" s="21" t="n">
        <v>6501753908.549436</v>
      </c>
      <c r="AO473" s="21" t="n">
        <v>4318799106.951541</v>
      </c>
      <c r="AP473" s="21" t="n">
        <v>261786445803.3679</v>
      </c>
      <c r="AQ473" s="25" t="n">
        <v>8053070583047.189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 t="n">
        <v>4013626970109.349</v>
      </c>
      <c r="J474" s="19" t="n">
        <v>3344689141.757791</v>
      </c>
      <c r="K474" s="19" t="n">
        <v>2221714429.92631</v>
      </c>
      <c r="L474" s="19" t="n">
        <v>219468444658.4203</v>
      </c>
      <c r="M474" s="24" t="n">
        <v>4227529011196.085</v>
      </c>
      <c r="N474" s="24" t="n">
        <v>493640783485.8438</v>
      </c>
      <c r="O474" s="19" t="n">
        <v>411367319.5715365</v>
      </c>
      <c r="P474" s="19" t="n">
        <v>273251316.0884876</v>
      </c>
      <c r="Q474" s="19" t="n">
        <v>26992686609.50086</v>
      </c>
      <c r="R474" s="24" t="n">
        <v>519948851459.6846</v>
      </c>
      <c r="S474" s="24" t="n">
        <v>1241397829068.315</v>
      </c>
      <c r="T474" s="19" t="n">
        <v>1034498190.890263</v>
      </c>
      <c r="U474" s="19" t="n">
        <v>687166866.9410824</v>
      </c>
      <c r="V474" s="19" t="n">
        <v>67880660753.21891</v>
      </c>
      <c r="W474" s="24" t="n">
        <v>1307556824763.703</v>
      </c>
      <c r="X474" s="24" t="n">
        <v>1147031541151.577</v>
      </c>
      <c r="Y474" s="19" t="n">
        <v>955859617.6263142</v>
      </c>
      <c r="Z474" s="19" t="n">
        <v>634931084.9103755</v>
      </c>
      <c r="AA474" s="19" t="n">
        <v>62720634026.39257</v>
      </c>
      <c r="AB474" s="24" t="n">
        <v>1208161384475.433</v>
      </c>
      <c r="AC474" s="24" t="n">
        <v>269027697770.3988</v>
      </c>
      <c r="AD474" s="19" t="n">
        <v>224189748.141999</v>
      </c>
      <c r="AE474" s="19" t="n">
        <v>148918353.0601163</v>
      </c>
      <c r="AF474" s="19" t="n">
        <v>14710657178.51113</v>
      </c>
      <c r="AG474" s="24" t="n">
        <v>283365246847.7078</v>
      </c>
      <c r="AH474" s="24" t="n">
        <v>888345761461.7052</v>
      </c>
      <c r="AI474" s="19" t="n">
        <v>740288134.551421</v>
      </c>
      <c r="AJ474" s="19" t="n">
        <v>491737426.4478731</v>
      </c>
      <c r="AK474" s="19" t="n">
        <v>48575481488.15353</v>
      </c>
      <c r="AL474" s="24" t="n">
        <v>935689217388.8595</v>
      </c>
      <c r="AM474" s="24" t="n">
        <v>8053070583047.189</v>
      </c>
      <c r="AN474" s="19" t="n">
        <v>6710892152.539325</v>
      </c>
      <c r="AO474" s="19" t="n">
        <v>4457719477.374245</v>
      </c>
      <c r="AP474" s="19" t="n">
        <v>440348564714.1973</v>
      </c>
      <c r="AQ474" s="24" t="n">
        <v>8482250536131.474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 t="n">
        <v>4227529011196.085</v>
      </c>
      <c r="J475" s="21" t="n">
        <v>3522940842.663405</v>
      </c>
      <c r="K475" s="21" t="n">
        <v>2340118371.003112</v>
      </c>
      <c r="L475" s="21" t="n">
        <v>226950956321.5091</v>
      </c>
      <c r="M475" s="25" t="n">
        <v>4448616908303.928</v>
      </c>
      <c r="N475" s="25" t="n">
        <v>519948851459.6846</v>
      </c>
      <c r="O475" s="21" t="n">
        <v>433290709.5497372</v>
      </c>
      <c r="P475" s="21" t="n">
        <v>287813958.4755981</v>
      </c>
      <c r="Q475" s="21" t="n">
        <v>27912969672.00691</v>
      </c>
      <c r="R475" s="25" t="n">
        <v>547140716463.6662</v>
      </c>
      <c r="S475" s="25" t="n">
        <v>1307556824763.703</v>
      </c>
      <c r="T475" s="21" t="n">
        <v>1089630687.303086</v>
      </c>
      <c r="U475" s="21" t="n">
        <v>723788704.6206988</v>
      </c>
      <c r="V475" s="21" t="n">
        <v>70194969931.35455</v>
      </c>
      <c r="W475" s="25" t="n">
        <v>1375938375303.134</v>
      </c>
      <c r="X475" s="25" t="n">
        <v>1208161384475.433</v>
      </c>
      <c r="Y475" s="21" t="n">
        <v>1006801153.729527</v>
      </c>
      <c r="Z475" s="21" t="n">
        <v>668769071.3558486</v>
      </c>
      <c r="AA475" s="21" t="n">
        <v>64859018322.8195</v>
      </c>
      <c r="AB475" s="25" t="n">
        <v>1271344832573.167</v>
      </c>
      <c r="AC475" s="25" t="n">
        <v>283365246847.7078</v>
      </c>
      <c r="AD475" s="21" t="n">
        <v>236137705.7064232</v>
      </c>
      <c r="AE475" s="21" t="n">
        <v>156854800.5456599</v>
      </c>
      <c r="AF475" s="21" t="n">
        <v>15212199275.28603</v>
      </c>
      <c r="AG475" s="25" t="n">
        <v>298184453616.7417</v>
      </c>
      <c r="AH475" s="25" t="n">
        <v>935689217388.8595</v>
      </c>
      <c r="AI475" s="21" t="n">
        <v>779741014.4907163</v>
      </c>
      <c r="AJ475" s="21" t="n">
        <v>517944057.0040439</v>
      </c>
      <c r="AK475" s="21" t="n">
        <v>50231603885.79918</v>
      </c>
      <c r="AL475" s="25" t="n">
        <v>984623136203.1639</v>
      </c>
      <c r="AM475" s="25" t="n">
        <v>8482250536131.474</v>
      </c>
      <c r="AN475" s="21" t="n">
        <v>7068542113.442894</v>
      </c>
      <c r="AO475" s="21" t="n">
        <v>4695288963.004961</v>
      </c>
      <c r="AP475" s="21" t="n">
        <v>455361717408.7752</v>
      </c>
      <c r="AQ475" s="25" t="n">
        <v>8925848422463.801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 t="n">
        <v>4448616908303.928</v>
      </c>
      <c r="J476" s="19" t="n">
        <v>3707180756.91994</v>
      </c>
      <c r="K476" s="19" t="n">
        <v>2462499991.154816</v>
      </c>
      <c r="L476" s="19" t="n">
        <v>135253287165.5307</v>
      </c>
      <c r="M476" s="24" t="n">
        <v>4577700514721.383</v>
      </c>
      <c r="N476" s="24" t="n">
        <v>547140716463.6662</v>
      </c>
      <c r="O476" s="19" t="n">
        <v>455950597.0530552</v>
      </c>
      <c r="P476" s="19" t="n">
        <v>302865820.37155</v>
      </c>
      <c r="Q476" s="19" t="n">
        <v>16634963623.34076</v>
      </c>
      <c r="R476" s="24" t="n">
        <v>563016863669.5824</v>
      </c>
      <c r="S476" s="24" t="n">
        <v>1375938375303.134</v>
      </c>
      <c r="T476" s="19" t="n">
        <v>1146615312.752612</v>
      </c>
      <c r="U476" s="19" t="n">
        <v>761640821.597591</v>
      </c>
      <c r="V476" s="19" t="n">
        <v>41833269088.54932</v>
      </c>
      <c r="W476" s="24" t="n">
        <v>1415863388257.333</v>
      </c>
      <c r="X476" s="24" t="n">
        <v>1271344832573.167</v>
      </c>
      <c r="Y476" s="19" t="n">
        <v>1059454027.144306</v>
      </c>
      <c r="Z476" s="19" t="n">
        <v>703743815.9986999</v>
      </c>
      <c r="AA476" s="19" t="n">
        <v>38653264884.52135</v>
      </c>
      <c r="AB476" s="24" t="n">
        <v>1308234899614.545</v>
      </c>
      <c r="AC476" s="24" t="n">
        <v>298184453616.7417</v>
      </c>
      <c r="AD476" s="19" t="n">
        <v>248487044.6806181</v>
      </c>
      <c r="AE476" s="19" t="n">
        <v>165057866.1927714</v>
      </c>
      <c r="AF476" s="19" t="n">
        <v>9065835149.356197</v>
      </c>
      <c r="AG476" s="24" t="n">
        <v>306836743855.2245</v>
      </c>
      <c r="AH476" s="24" t="n">
        <v>984623136203.1639</v>
      </c>
      <c r="AI476" s="19" t="n">
        <v>820519280.1693033</v>
      </c>
      <c r="AJ476" s="19" t="n">
        <v>545031076.8871151</v>
      </c>
      <c r="AK476" s="19" t="n">
        <v>29935937064.42246</v>
      </c>
      <c r="AL476" s="24" t="n">
        <v>1013193522910.53</v>
      </c>
      <c r="AM476" s="24" t="n">
        <v>8925848422463.801</v>
      </c>
      <c r="AN476" s="19" t="n">
        <v>7438207018.719834</v>
      </c>
      <c r="AO476" s="19" t="n">
        <v>4940839392.202543</v>
      </c>
      <c r="AP476" s="19" t="n">
        <v>271376556975.7208</v>
      </c>
      <c r="AQ476" s="24" t="n">
        <v>9184845933028.598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 t="n">
        <v>4577700514721.383</v>
      </c>
      <c r="J477" s="21" t="n">
        <v>3814750428.934486</v>
      </c>
      <c r="K477" s="21" t="n">
        <v>2533953295.903955</v>
      </c>
      <c r="L477" s="21" t="n">
        <v>82761829339.52081</v>
      </c>
      <c r="M477" s="25" t="n">
        <v>4654113640336.064</v>
      </c>
      <c r="N477" s="25" t="n">
        <v>563016863669.5824</v>
      </c>
      <c r="O477" s="21" t="n">
        <v>469180719.7246521</v>
      </c>
      <c r="P477" s="21" t="n">
        <v>311653947.8187944</v>
      </c>
      <c r="Q477" s="21" t="n">
        <v>10178976417.62401</v>
      </c>
      <c r="R477" s="25" t="n">
        <v>572415005419.663</v>
      </c>
      <c r="S477" s="25" t="n">
        <v>1415863388257.333</v>
      </c>
      <c r="T477" s="21" t="n">
        <v>1179886156.881111</v>
      </c>
      <c r="U477" s="21" t="n">
        <v>783741026.2394096</v>
      </c>
      <c r="V477" s="21" t="n">
        <v>25597883419.89451</v>
      </c>
      <c r="W477" s="25" t="n">
        <v>1439497644494.107</v>
      </c>
      <c r="X477" s="25" t="n">
        <v>1308234899614.545</v>
      </c>
      <c r="Y477" s="21" t="n">
        <v>1090195749.678788</v>
      </c>
      <c r="Z477" s="21" t="n">
        <v>724164048.0923033</v>
      </c>
      <c r="AA477" s="21" t="n">
        <v>23652030784.82603</v>
      </c>
      <c r="AB477" s="25" t="n">
        <v>1330072570601.6</v>
      </c>
      <c r="AC477" s="25" t="n">
        <v>306836743855.2245</v>
      </c>
      <c r="AD477" s="21" t="n">
        <v>255697286.5460205</v>
      </c>
      <c r="AE477" s="21" t="n">
        <v>169847279.4137574</v>
      </c>
      <c r="AF477" s="21" t="n">
        <v>5547407513.526681</v>
      </c>
      <c r="AG477" s="25" t="n">
        <v>311958606802.7914</v>
      </c>
      <c r="AH477" s="25" t="n">
        <v>1013193522910.53</v>
      </c>
      <c r="AI477" s="21" t="n">
        <v>844327935.7587751</v>
      </c>
      <c r="AJ477" s="21" t="n">
        <v>560846009.5874006</v>
      </c>
      <c r="AK477" s="21" t="n">
        <v>18317875789.68189</v>
      </c>
      <c r="AL477" s="25" t="n">
        <v>1030106224754.866</v>
      </c>
      <c r="AM477" s="25" t="n">
        <v>9184845933028.598</v>
      </c>
      <c r="AN477" s="21" t="n">
        <v>7654038277.523831</v>
      </c>
      <c r="AO477" s="21" t="n">
        <v>5084205607.05562</v>
      </c>
      <c r="AP477" s="21" t="n">
        <v>166056003265.0739</v>
      </c>
      <c r="AQ477" s="25" t="n">
        <v>9338163692409.09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 t="n">
        <v>4654113640336.064</v>
      </c>
      <c r="J478" s="19" t="n">
        <v>3878428033.613387</v>
      </c>
      <c r="K478" s="19" t="n">
        <v>2576251233.674013</v>
      </c>
      <c r="L478" s="19" t="n">
        <v>191902362482.3412</v>
      </c>
      <c r="M478" s="24" t="n">
        <v>4839561323551.118</v>
      </c>
      <c r="N478" s="24" t="n">
        <v>572415005419.663</v>
      </c>
      <c r="O478" s="19" t="n">
        <v>477012504.5163859</v>
      </c>
      <c r="P478" s="19" t="n">
        <v>316856221.7959593</v>
      </c>
      <c r="Q478" s="19" t="n">
        <v>23602301178.97241</v>
      </c>
      <c r="R478" s="24" t="n">
        <v>595223437872.3231</v>
      </c>
      <c r="S478" s="24" t="n">
        <v>1439497644494.107</v>
      </c>
      <c r="T478" s="19" t="n">
        <v>1199581370.411756</v>
      </c>
      <c r="U478" s="19" t="n">
        <v>796823599.3118109</v>
      </c>
      <c r="V478" s="19" t="n">
        <v>59354588244.69903</v>
      </c>
      <c r="W478" s="24" t="n">
        <v>1496855827769.082</v>
      </c>
      <c r="X478" s="24" t="n">
        <v>1330072570601.6</v>
      </c>
      <c r="Y478" s="19" t="n">
        <v>1108393808.834667</v>
      </c>
      <c r="Z478" s="19" t="n">
        <v>736252134.2819875</v>
      </c>
      <c r="AA478" s="19" t="n">
        <v>54842680754.34809</v>
      </c>
      <c r="AB478" s="24" t="n">
        <v>1383070605412.832</v>
      </c>
      <c r="AC478" s="24" t="n">
        <v>311958606802.7914</v>
      </c>
      <c r="AD478" s="19" t="n">
        <v>259965505.6689929</v>
      </c>
      <c r="AE478" s="19" t="n">
        <v>172682449.9224916</v>
      </c>
      <c r="AF478" s="19" t="n">
        <v>12862941962.42115</v>
      </c>
      <c r="AG478" s="24" t="n">
        <v>324388900809.6211</v>
      </c>
      <c r="AH478" s="24" t="n">
        <v>1030106224754.866</v>
      </c>
      <c r="AI478" s="19" t="n">
        <v>858421853.9623882</v>
      </c>
      <c r="AJ478" s="19" t="n">
        <v>570207914.4222134</v>
      </c>
      <c r="AK478" s="19" t="n">
        <v>42474213870.71034</v>
      </c>
      <c r="AL478" s="24" t="n">
        <v>1071151808857.191</v>
      </c>
      <c r="AM478" s="24" t="n">
        <v>9338163692409.09</v>
      </c>
      <c r="AN478" s="19" t="n">
        <v>7781803077.007577</v>
      </c>
      <c r="AO478" s="19" t="n">
        <v>5169073553.408477</v>
      </c>
      <c r="AP478" s="19" t="n">
        <v>385039088493.4922</v>
      </c>
      <c r="AQ478" s="24" t="n">
        <v>9710251904272.168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 t="n">
        <v>4839561323551.118</v>
      </c>
      <c r="J479" s="21" t="n">
        <v>4032967769.625932</v>
      </c>
      <c r="K479" s="21" t="n">
        <v>2678904468.980547</v>
      </c>
      <c r="L479" s="21" t="n">
        <v>141394435328.3047</v>
      </c>
      <c r="M479" s="25" t="n">
        <v>4974243886640.816</v>
      </c>
      <c r="N479" s="25" t="n">
        <v>595223437872.3231</v>
      </c>
      <c r="O479" s="21" t="n">
        <v>496019531.5602693</v>
      </c>
      <c r="P479" s="21" t="n">
        <v>329481666.0341651</v>
      </c>
      <c r="Q479" s="21" t="n">
        <v>17390270783.95908</v>
      </c>
      <c r="R479" s="25" t="n">
        <v>611788207458.6877</v>
      </c>
      <c r="S479" s="25" t="n">
        <v>1496855827769.082</v>
      </c>
      <c r="T479" s="21" t="n">
        <v>1247379856.474235</v>
      </c>
      <c r="U479" s="21" t="n">
        <v>828573810.3816003</v>
      </c>
      <c r="V479" s="21" t="n">
        <v>43732700215.06648</v>
      </c>
      <c r="W479" s="25" t="n">
        <v>1538512574317.293</v>
      </c>
      <c r="X479" s="25" t="n">
        <v>1383070605412.832</v>
      </c>
      <c r="Y479" s="21" t="n">
        <v>1152558837.844026</v>
      </c>
      <c r="Z479" s="21" t="n">
        <v>765588816.4337525</v>
      </c>
      <c r="AA479" s="21" t="n">
        <v>40408308562.9813</v>
      </c>
      <c r="AB479" s="25" t="n">
        <v>1421560766321.535</v>
      </c>
      <c r="AC479" s="25" t="n">
        <v>324388900809.6211</v>
      </c>
      <c r="AD479" s="21" t="n">
        <v>270324084.0080176</v>
      </c>
      <c r="AE479" s="21" t="n">
        <v>179563150.0395849</v>
      </c>
      <c r="AF479" s="21" t="n">
        <v>9477467561.685984</v>
      </c>
      <c r="AG479" s="25" t="n">
        <v>333416481137.2595</v>
      </c>
      <c r="AH479" s="25" t="n">
        <v>1071151808857.191</v>
      </c>
      <c r="AI479" s="21" t="n">
        <v>892626507.3809929</v>
      </c>
      <c r="AJ479" s="21" t="n">
        <v>592928403.1881155</v>
      </c>
      <c r="AK479" s="21" t="n">
        <v>31295172235.38803</v>
      </c>
      <c r="AL479" s="25" t="n">
        <v>1100961426182.01</v>
      </c>
      <c r="AM479" s="25" t="n">
        <v>9710251904272.168</v>
      </c>
      <c r="AN479" s="21" t="n">
        <v>8091876586.893474</v>
      </c>
      <c r="AO479" s="21" t="n">
        <v>5375040315.057765</v>
      </c>
      <c r="AP479" s="21" t="n">
        <v>283698354687.3855</v>
      </c>
      <c r="AQ479" s="25" t="n">
        <v>9980483342057.602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 t="n">
        <v>4974243886640.816</v>
      </c>
      <c r="J480" s="19" t="n">
        <v>4145203238.867347</v>
      </c>
      <c r="K480" s="19" t="n">
        <v>2753457036.048755</v>
      </c>
      <c r="L480" s="19" t="n">
        <v>197987449917.3695</v>
      </c>
      <c r="M480" s="24" t="n">
        <v>5165332676283.27</v>
      </c>
      <c r="N480" s="24" t="n">
        <v>611788207458.6877</v>
      </c>
      <c r="O480" s="19" t="n">
        <v>509823506.2155731</v>
      </c>
      <c r="P480" s="19" t="n">
        <v>338650975.4623973</v>
      </c>
      <c r="Q480" s="19" t="n">
        <v>24350713363.60685</v>
      </c>
      <c r="R480" s="24" t="n">
        <v>635290446340.6166</v>
      </c>
      <c r="S480" s="24" t="n">
        <v>1538512574317.293</v>
      </c>
      <c r="T480" s="19" t="n">
        <v>1282093811.931077</v>
      </c>
      <c r="U480" s="19" t="n">
        <v>851632603.7371324</v>
      </c>
      <c r="V480" s="19" t="n">
        <v>61236680025.47287</v>
      </c>
      <c r="W480" s="24" t="n">
        <v>1597615527927.097</v>
      </c>
      <c r="X480" s="24" t="n">
        <v>1421560766321.535</v>
      </c>
      <c r="Y480" s="19" t="n">
        <v>1184633971.934613</v>
      </c>
      <c r="Z480" s="19" t="n">
        <v>786894769.0142741</v>
      </c>
      <c r="AA480" s="19" t="n">
        <v>56581703157.43217</v>
      </c>
      <c r="AB480" s="24" t="n">
        <v>1476170940738.018</v>
      </c>
      <c r="AC480" s="24" t="n">
        <v>333416481137.2595</v>
      </c>
      <c r="AD480" s="19" t="n">
        <v>277847067.6143829</v>
      </c>
      <c r="AE480" s="19" t="n">
        <v>184560302.3984367</v>
      </c>
      <c r="AF480" s="19" t="n">
        <v>13270816704.03737</v>
      </c>
      <c r="AG480" s="24" t="n">
        <v>346224890471.284</v>
      </c>
      <c r="AH480" s="24" t="n">
        <v>1100961426182.01</v>
      </c>
      <c r="AI480" s="19" t="n">
        <v>917467855.1516752</v>
      </c>
      <c r="AJ480" s="19" t="n">
        <v>609429303.1108921</v>
      </c>
      <c r="AK480" s="19" t="n">
        <v>43821040985.26006</v>
      </c>
      <c r="AL480" s="24" t="n">
        <v>1143255570009.008</v>
      </c>
      <c r="AM480" s="24" t="n">
        <v>9980483342057.602</v>
      </c>
      <c r="AN480" s="19" t="n">
        <v>8317069451.714667</v>
      </c>
      <c r="AO480" s="19" t="n">
        <v>5524624989.771888</v>
      </c>
      <c r="AP480" s="19" t="n">
        <v>397248404153.1788</v>
      </c>
      <c r="AQ480" s="24" t="n">
        <v>10363890051769.29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 t="n">
        <v>5165332676283.27</v>
      </c>
      <c r="J481" s="21" t="n">
        <v>4304443896.902725</v>
      </c>
      <c r="K481" s="21" t="n">
        <v>2859232865.369093</v>
      </c>
      <c r="L481" s="21" t="n">
        <v>82637701631.68964</v>
      </c>
      <c r="M481" s="25" t="n">
        <v>5240806701152.688</v>
      </c>
      <c r="N481" s="25" t="n">
        <v>635290446340.6166</v>
      </c>
      <c r="O481" s="21" t="n">
        <v>529408705.2838472</v>
      </c>
      <c r="P481" s="21" t="n">
        <v>351660471.2746437</v>
      </c>
      <c r="Q481" s="21" t="n">
        <v>10163709802.31511</v>
      </c>
      <c r="R481" s="25" t="n">
        <v>644573086966.3732</v>
      </c>
      <c r="S481" s="25" t="n">
        <v>1597615527927.097</v>
      </c>
      <c r="T481" s="21" t="n">
        <v>1331346273.272581</v>
      </c>
      <c r="U481" s="21" t="n">
        <v>884348619.9150363</v>
      </c>
      <c r="V481" s="21" t="n">
        <v>25559491245.39091</v>
      </c>
      <c r="W481" s="25" t="n">
        <v>1620959324279.301</v>
      </c>
      <c r="X481" s="25" t="n">
        <v>1476170940738.018</v>
      </c>
      <c r="Y481" s="21" t="n">
        <v>1230142450.615015</v>
      </c>
      <c r="Z481" s="21" t="n">
        <v>817123839.4848136</v>
      </c>
      <c r="AA481" s="21" t="n">
        <v>23616557035.75231</v>
      </c>
      <c r="AB481" s="25" t="n">
        <v>1497740231483.671</v>
      </c>
      <c r="AC481" s="25" t="n">
        <v>346224890471.284</v>
      </c>
      <c r="AD481" s="21" t="n">
        <v>288520742.0594034</v>
      </c>
      <c r="AE481" s="21" t="n">
        <v>191650305.5436542</v>
      </c>
      <c r="AF481" s="21" t="n">
        <v>5539087410.109988</v>
      </c>
      <c r="AG481" s="25" t="n">
        <v>351283806833.791</v>
      </c>
      <c r="AH481" s="25" t="n">
        <v>1143255570009.008</v>
      </c>
      <c r="AI481" s="21" t="n">
        <v>952712975.0075066</v>
      </c>
      <c r="AJ481" s="21" t="n">
        <v>632840923.1596928</v>
      </c>
      <c r="AK481" s="21" t="n">
        <v>18290402303.99102</v>
      </c>
      <c r="AL481" s="25" t="n">
        <v>1159960418414.832</v>
      </c>
      <c r="AM481" s="25" t="n">
        <v>10363890051769.29</v>
      </c>
      <c r="AN481" s="21" t="n">
        <v>8636575043.141079</v>
      </c>
      <c r="AO481" s="21" t="n">
        <v>5736857024.746934</v>
      </c>
      <c r="AP481" s="21" t="n">
        <v>165806949429.249</v>
      </c>
      <c r="AQ481" s="25" t="n">
        <v>10515323569130.65</v>
      </c>
    </row>
  </sheetData>
  <autoFilter ref="A1:AQ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33C00"/>
    <outlinePr summaryBelow="1" summaryRight="1"/>
    <pageSetUpPr/>
  </sheetPr>
  <dimension ref="A1:AF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3" customWidth="1" min="9" max="9"/>
    <col width="14" customWidth="1" min="10" max="10"/>
    <col width="16" customWidth="1" min="11" max="11"/>
    <col width="14" customWidth="1" min="12" max="12"/>
    <col width="15" customWidth="1" min="13" max="13"/>
    <col width="16" customWidth="1" min="14" max="14"/>
    <col width="16" customWidth="1" min="15" max="15"/>
    <col width="20" customWidth="1" min="16" max="16"/>
    <col width="20" customWidth="1" min="17" max="17"/>
    <col width="18" customWidth="1" min="18" max="18"/>
    <col width="11" customWidth="1" min="19" max="19"/>
    <col width="15" customWidth="1" min="20" max="20"/>
    <col width="9" customWidth="1" min="21" max="21"/>
    <col width="13" customWidth="1" min="22" max="22"/>
    <col width="15" customWidth="1" min="23" max="23"/>
    <col width="12" customWidth="1" min="24" max="24"/>
    <col width="12" customWidth="1" min="25" max="25"/>
    <col width="13" customWidth="1" min="26" max="26"/>
    <col width="16" customWidth="1" min="27" max="27"/>
    <col width="17" customWidth="1" min="28" max="28"/>
    <col width="17" customWidth="1" min="29" max="29"/>
    <col width="13" customWidth="1" min="30" max="30"/>
    <col width="12" customWidth="1" min="31" max="31"/>
    <col width="12" customWidth="1" min="32" max="32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m_pmt_start</t>
        </is>
      </c>
      <c r="J1" s="23" t="inlineStr">
        <is>
          <t>n_ap_date_idx</t>
        </is>
      </c>
      <c r="K1" s="23" t="inlineStr">
        <is>
          <t>o_ap_remaining</t>
        </is>
      </c>
      <c r="L1" s="23" t="inlineStr">
        <is>
          <t>p_ap_end_age</t>
        </is>
      </c>
      <c r="M1" s="23" t="inlineStr">
        <is>
          <t>r_annual_mort</t>
        </is>
      </c>
      <c r="N1" s="23" t="inlineStr">
        <is>
          <t>s_monthly_mort</t>
        </is>
      </c>
      <c r="O1" s="23" t="inlineStr">
        <is>
          <t>t_survivorship</t>
        </is>
      </c>
      <c r="P1" s="23" t="inlineStr">
        <is>
          <t>u_disc_factor</t>
        </is>
      </c>
      <c r="Q1" s="23" t="inlineStr">
        <is>
          <t>v_ap_annuity</t>
        </is>
      </c>
      <c r="R1" s="23" t="inlineStr">
        <is>
          <t>w_postap_annuity</t>
        </is>
      </c>
      <c r="S1" s="23" t="inlineStr">
        <is>
          <t>cib_start</t>
        </is>
      </c>
      <c r="T1" s="23" t="inlineStr">
        <is>
          <t>cib_cap_start</t>
        </is>
      </c>
      <c r="U1" s="23" t="inlineStr">
        <is>
          <t>cib_end</t>
        </is>
      </c>
      <c r="V1" s="23" t="inlineStr">
        <is>
          <t>cib_cap_end</t>
        </is>
      </c>
      <c r="W1" s="23" t="inlineStr">
        <is>
          <t>charge_4later</t>
        </is>
      </c>
      <c r="X1" s="23" t="inlineStr">
        <is>
          <t>charge_gib</t>
        </is>
      </c>
      <c r="Y1" s="23" t="inlineStr">
        <is>
          <t>charge_i4l</t>
        </is>
      </c>
      <c r="Z1" s="23" t="inlineStr">
        <is>
          <t>policy_load</t>
        </is>
      </c>
      <c r="AA1" s="23" t="inlineStr">
        <is>
          <t>oneoff_ap_load</t>
        </is>
      </c>
      <c r="AB1" s="23" t="inlineStr">
        <is>
          <t>current_payment</t>
        </is>
      </c>
      <c r="AC1" s="23" t="inlineStr">
        <is>
          <t>monthly_payment</t>
        </is>
      </c>
      <c r="AD1" s="23" t="inlineStr">
        <is>
          <t>min_payment</t>
        </is>
      </c>
      <c r="AE1" s="23" t="inlineStr">
        <is>
          <t>coi_factor</t>
        </is>
      </c>
      <c r="AF1" s="23" t="inlineStr">
        <is>
          <t>coi_credit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5" t="n">
        <v>216</v>
      </c>
      <c r="J2" s="15" t="n">
        <v>395</v>
      </c>
      <c r="K2" s="15" t="n">
        <v>180</v>
      </c>
      <c r="L2" s="15" t="n">
        <v>90</v>
      </c>
      <c r="M2" s="19" t="n">
        <v/>
      </c>
      <c r="N2" s="19" t="n">
        <v/>
      </c>
      <c r="O2" s="19" t="n">
        <v>1</v>
      </c>
      <c r="P2" s="19" t="n">
        <v>1</v>
      </c>
      <c r="Q2" s="20" t="n">
        <v>11.35784238775219</v>
      </c>
      <c r="R2" s="20" t="n">
        <v/>
      </c>
      <c r="S2" s="20" t="n">
        <v>0</v>
      </c>
      <c r="T2" s="20" t="n">
        <v>0</v>
      </c>
      <c r="U2" s="20" t="n">
        <v>0</v>
      </c>
      <c r="V2" s="15" t="n">
        <v>0</v>
      </c>
      <c r="W2" s="24" t="n">
        <v>0</v>
      </c>
      <c r="X2" s="24" t="n">
        <v>0</v>
      </c>
      <c r="Y2" s="24" t="n">
        <v>0</v>
      </c>
      <c r="Z2" s="20" t="n">
        <v>0</v>
      </c>
      <c r="AA2" s="20" t="n">
        <v>0</v>
      </c>
      <c r="AB2" s="24" t="n">
        <v>0</v>
      </c>
      <c r="AC2" s="24" t="n">
        <v>0</v>
      </c>
      <c r="AD2" s="24" t="n">
        <v>0</v>
      </c>
      <c r="AE2" s="19" t="n">
        <v>0</v>
      </c>
      <c r="AF2" s="20" t="n">
        <v>0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17" t="n">
        <v>216</v>
      </c>
      <c r="J3" s="17" t="n">
        <v>395</v>
      </c>
      <c r="K3" s="17" t="n">
        <v>179</v>
      </c>
      <c r="L3" s="17" t="n">
        <v>90</v>
      </c>
      <c r="M3" s="21" t="n">
        <v/>
      </c>
      <c r="N3" s="21" t="n">
        <v/>
      </c>
      <c r="O3" s="21" t="n">
        <v/>
      </c>
      <c r="P3" s="21" t="n">
        <v>0.9967369426185623</v>
      </c>
      <c r="Q3" s="22" t="n">
        <v>11.31141886323507</v>
      </c>
      <c r="R3" s="22" t="n">
        <v/>
      </c>
      <c r="S3" s="22" t="n">
        <v>0</v>
      </c>
      <c r="T3" s="22" t="n">
        <v>0</v>
      </c>
      <c r="U3" s="22" t="n">
        <v>0</v>
      </c>
      <c r="V3" s="17" t="n">
        <v>0</v>
      </c>
      <c r="W3" s="25" t="n">
        <v>0</v>
      </c>
      <c r="X3" s="25" t="n">
        <v>0</v>
      </c>
      <c r="Y3" s="25" t="n">
        <v>0</v>
      </c>
      <c r="Z3" s="22" t="n">
        <v>0</v>
      </c>
      <c r="AA3" s="22" t="n">
        <v>0</v>
      </c>
      <c r="AB3" s="25" t="n">
        <v>0</v>
      </c>
      <c r="AC3" s="25" t="n">
        <v>0</v>
      </c>
      <c r="AD3" s="25" t="n">
        <v>0</v>
      </c>
      <c r="AE3" s="21" t="n">
        <v>0</v>
      </c>
      <c r="AF3" s="22" t="n">
        <v>0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5" t="n">
        <v>216</v>
      </c>
      <c r="J4" s="15" t="n">
        <v>395</v>
      </c>
      <c r="K4" s="15" t="n">
        <v>178</v>
      </c>
      <c r="L4" s="15" t="n">
        <v>90</v>
      </c>
      <c r="M4" s="19" t="n">
        <v/>
      </c>
      <c r="N4" s="19" t="n">
        <v/>
      </c>
      <c r="O4" s="19" t="n">
        <v/>
      </c>
      <c r="P4" s="19" t="n">
        <v>0.9934845327805991</v>
      </c>
      <c r="Q4" s="20" t="n">
        <v>11.26484336017891</v>
      </c>
      <c r="R4" s="20" t="n">
        <v/>
      </c>
      <c r="S4" s="20" t="n">
        <v>0</v>
      </c>
      <c r="T4" s="20" t="n">
        <v>0</v>
      </c>
      <c r="U4" s="20" t="n">
        <v>0</v>
      </c>
      <c r="V4" s="15" t="n">
        <v>0</v>
      </c>
      <c r="W4" s="24" t="n">
        <v>0</v>
      </c>
      <c r="X4" s="24" t="n">
        <v>0</v>
      </c>
      <c r="Y4" s="24" t="n">
        <v>0</v>
      </c>
      <c r="Z4" s="20" t="n">
        <v>0</v>
      </c>
      <c r="AA4" s="20" t="n">
        <v>0</v>
      </c>
      <c r="AB4" s="24" t="n">
        <v>0</v>
      </c>
      <c r="AC4" s="24" t="n">
        <v>0</v>
      </c>
      <c r="AD4" s="24" t="n">
        <v>0</v>
      </c>
      <c r="AE4" s="19" t="n">
        <v>0</v>
      </c>
      <c r="AF4" s="20" t="n">
        <v>0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17" t="n">
        <v>216</v>
      </c>
      <c r="J5" s="17" t="n">
        <v>395</v>
      </c>
      <c r="K5" s="17" t="n">
        <v>177</v>
      </c>
      <c r="L5" s="17" t="n">
        <v>90</v>
      </c>
      <c r="M5" s="21" t="n">
        <v/>
      </c>
      <c r="N5" s="21" t="n">
        <v/>
      </c>
      <c r="O5" s="21" t="n">
        <v/>
      </c>
      <c r="P5" s="21" t="n">
        <v>0.9902427357425652</v>
      </c>
      <c r="Q5" s="22" t="n">
        <v>11.21811538104551</v>
      </c>
      <c r="R5" s="22" t="n">
        <v/>
      </c>
      <c r="S5" s="22" t="n">
        <v>0</v>
      </c>
      <c r="T5" s="22" t="n">
        <v>0</v>
      </c>
      <c r="U5" s="22" t="n">
        <v>0</v>
      </c>
      <c r="V5" s="17" t="n">
        <v>0</v>
      </c>
      <c r="W5" s="25" t="n">
        <v>0</v>
      </c>
      <c r="X5" s="25" t="n">
        <v>0</v>
      </c>
      <c r="Y5" s="25" t="n">
        <v>0</v>
      </c>
      <c r="Z5" s="22" t="n">
        <v>0</v>
      </c>
      <c r="AA5" s="22" t="n">
        <v>0</v>
      </c>
      <c r="AB5" s="25" t="n">
        <v>0</v>
      </c>
      <c r="AC5" s="25" t="n">
        <v>0</v>
      </c>
      <c r="AD5" s="25" t="n">
        <v>0</v>
      </c>
      <c r="AE5" s="21" t="n">
        <v>0</v>
      </c>
      <c r="AF5" s="22" t="n">
        <v>0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5" t="n">
        <v>216</v>
      </c>
      <c r="J6" s="15" t="n">
        <v>395</v>
      </c>
      <c r="K6" s="15" t="n">
        <v>176</v>
      </c>
      <c r="L6" s="15" t="n">
        <v>90</v>
      </c>
      <c r="M6" s="19" t="n">
        <v/>
      </c>
      <c r="N6" s="19" t="n">
        <v/>
      </c>
      <c r="O6" s="19" t="n">
        <v/>
      </c>
      <c r="P6" s="19" t="n">
        <v>0.9870115168742853</v>
      </c>
      <c r="Q6" s="20" t="n">
        <v>11.17123442666789</v>
      </c>
      <c r="R6" s="20" t="n">
        <v/>
      </c>
      <c r="S6" s="20" t="n">
        <v>0</v>
      </c>
      <c r="T6" s="20" t="n">
        <v>0</v>
      </c>
      <c r="U6" s="20" t="n">
        <v>0</v>
      </c>
      <c r="V6" s="15" t="n">
        <v>0</v>
      </c>
      <c r="W6" s="24" t="n">
        <v>0</v>
      </c>
      <c r="X6" s="24" t="n">
        <v>0</v>
      </c>
      <c r="Y6" s="24" t="n">
        <v>0</v>
      </c>
      <c r="Z6" s="20" t="n">
        <v>0</v>
      </c>
      <c r="AA6" s="20" t="n">
        <v>0</v>
      </c>
      <c r="AB6" s="24" t="n">
        <v>0</v>
      </c>
      <c r="AC6" s="24" t="n">
        <v>0</v>
      </c>
      <c r="AD6" s="24" t="n">
        <v>0</v>
      </c>
      <c r="AE6" s="19" t="n">
        <v>0</v>
      </c>
      <c r="AF6" s="20" t="n">
        <v>0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17" t="n">
        <v>216</v>
      </c>
      <c r="J7" s="17" t="n">
        <v>395</v>
      </c>
      <c r="K7" s="17" t="n">
        <v>175</v>
      </c>
      <c r="L7" s="17" t="n">
        <v>90</v>
      </c>
      <c r="M7" s="21" t="n">
        <v/>
      </c>
      <c r="N7" s="21" t="n">
        <v/>
      </c>
      <c r="O7" s="21" t="n">
        <v/>
      </c>
      <c r="P7" s="21" t="n">
        <v>0.9837908416585847</v>
      </c>
      <c r="Q7" s="22" t="n">
        <v>11.12419999624489</v>
      </c>
      <c r="R7" s="22" t="n">
        <v/>
      </c>
      <c r="S7" s="22" t="n">
        <v>0</v>
      </c>
      <c r="T7" s="22" t="n">
        <v>0</v>
      </c>
      <c r="U7" s="22" t="n">
        <v>0</v>
      </c>
      <c r="V7" s="17" t="n">
        <v>0</v>
      </c>
      <c r="W7" s="25" t="n">
        <v>0</v>
      </c>
      <c r="X7" s="25" t="n">
        <v>0</v>
      </c>
      <c r="Y7" s="25" t="n">
        <v>0</v>
      </c>
      <c r="Z7" s="22" t="n">
        <v>0</v>
      </c>
      <c r="AA7" s="22" t="n">
        <v>0</v>
      </c>
      <c r="AB7" s="25" t="n">
        <v>0</v>
      </c>
      <c r="AC7" s="25" t="n">
        <v>0</v>
      </c>
      <c r="AD7" s="25" t="n">
        <v>0</v>
      </c>
      <c r="AE7" s="21" t="n">
        <v>0</v>
      </c>
      <c r="AF7" s="22" t="n">
        <v>0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5" t="n">
        <v>216</v>
      </c>
      <c r="J8" s="15" t="n">
        <v>395</v>
      </c>
      <c r="K8" s="15" t="n">
        <v>174</v>
      </c>
      <c r="L8" s="15" t="n">
        <v>90</v>
      </c>
      <c r="M8" s="19" t="n">
        <v/>
      </c>
      <c r="N8" s="19" t="n">
        <v/>
      </c>
      <c r="O8" s="19" t="n">
        <v/>
      </c>
      <c r="P8" s="19" t="n">
        <v>0.9805806756909198</v>
      </c>
      <c r="Q8" s="20" t="n">
        <v>11.07701158733589</v>
      </c>
      <c r="R8" s="20" t="n">
        <v/>
      </c>
      <c r="S8" s="20" t="n">
        <v>0</v>
      </c>
      <c r="T8" s="20" t="n">
        <v>0</v>
      </c>
      <c r="U8" s="20" t="n">
        <v>0</v>
      </c>
      <c r="V8" s="15" t="n">
        <v>0</v>
      </c>
      <c r="W8" s="24" t="n">
        <v>0</v>
      </c>
      <c r="X8" s="24" t="n">
        <v>0</v>
      </c>
      <c r="Y8" s="24" t="n">
        <v>0</v>
      </c>
      <c r="Z8" s="20" t="n">
        <v>0</v>
      </c>
      <c r="AA8" s="20" t="n">
        <v>0</v>
      </c>
      <c r="AB8" s="24" t="n">
        <v>0</v>
      </c>
      <c r="AC8" s="24" t="n">
        <v>0</v>
      </c>
      <c r="AD8" s="24" t="n">
        <v>0</v>
      </c>
      <c r="AE8" s="19" t="n">
        <v>0</v>
      </c>
      <c r="AF8" s="20" t="n">
        <v>0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17" t="n">
        <v>216</v>
      </c>
      <c r="J9" s="17" t="n">
        <v>395</v>
      </c>
      <c r="K9" s="17" t="n">
        <v>173</v>
      </c>
      <c r="L9" s="17" t="n">
        <v>90</v>
      </c>
      <c r="M9" s="21" t="n">
        <v/>
      </c>
      <c r="N9" s="21" t="n">
        <v/>
      </c>
      <c r="O9" s="21" t="n">
        <v/>
      </c>
      <c r="P9" s="21" t="n">
        <v>0.9773809846790114</v>
      </c>
      <c r="Q9" s="22" t="n">
        <v>11.02966869585538</v>
      </c>
      <c r="R9" s="22" t="n">
        <v/>
      </c>
      <c r="S9" s="22" t="n">
        <v>0</v>
      </c>
      <c r="T9" s="22" t="n">
        <v>0</v>
      </c>
      <c r="U9" s="22" t="n">
        <v>0</v>
      </c>
      <c r="V9" s="17" t="n">
        <v>0</v>
      </c>
      <c r="W9" s="25" t="n">
        <v>0</v>
      </c>
      <c r="X9" s="25" t="n">
        <v>0</v>
      </c>
      <c r="Y9" s="25" t="n">
        <v>0</v>
      </c>
      <c r="Z9" s="22" t="n">
        <v>0</v>
      </c>
      <c r="AA9" s="22" t="n">
        <v>0</v>
      </c>
      <c r="AB9" s="25" t="n">
        <v>0</v>
      </c>
      <c r="AC9" s="25" t="n">
        <v>0</v>
      </c>
      <c r="AD9" s="25" t="n">
        <v>0</v>
      </c>
      <c r="AE9" s="21" t="n">
        <v>0</v>
      </c>
      <c r="AF9" s="22" t="n">
        <v>0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5" t="n">
        <v>216</v>
      </c>
      <c r="J10" s="15" t="n">
        <v>395</v>
      </c>
      <c r="K10" s="15" t="n">
        <v>172</v>
      </c>
      <c r="L10" s="15" t="n">
        <v>90</v>
      </c>
      <c r="M10" s="19" t="n">
        <v/>
      </c>
      <c r="N10" s="19" t="n">
        <v/>
      </c>
      <c r="O10" s="19" t="n">
        <v/>
      </c>
      <c r="P10" s="19" t="n">
        <v>0.9741917344424776</v>
      </c>
      <c r="Q10" s="20" t="n">
        <v>10.98217081606762</v>
      </c>
      <c r="R10" s="20" t="n">
        <v/>
      </c>
      <c r="S10" s="20" t="n">
        <v>0</v>
      </c>
      <c r="T10" s="20" t="n">
        <v>0</v>
      </c>
      <c r="U10" s="20" t="n">
        <v>0</v>
      </c>
      <c r="V10" s="15" t="n">
        <v>0</v>
      </c>
      <c r="W10" s="24" t="n">
        <v>0</v>
      </c>
      <c r="X10" s="24" t="n">
        <v>0</v>
      </c>
      <c r="Y10" s="24" t="n">
        <v>0</v>
      </c>
      <c r="Z10" s="20" t="n">
        <v>0</v>
      </c>
      <c r="AA10" s="20" t="n">
        <v>0</v>
      </c>
      <c r="AB10" s="24" t="n">
        <v>0</v>
      </c>
      <c r="AC10" s="24" t="n">
        <v>0</v>
      </c>
      <c r="AD10" s="24" t="n">
        <v>0</v>
      </c>
      <c r="AE10" s="19" t="n">
        <v>0</v>
      </c>
      <c r="AF10" s="20" t="n">
        <v>0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17" t="n">
        <v>216</v>
      </c>
      <c r="J11" s="17" t="n">
        <v>395</v>
      </c>
      <c r="K11" s="17" t="n">
        <v>171</v>
      </c>
      <c r="L11" s="17" t="n">
        <v>90</v>
      </c>
      <c r="M11" s="21" t="n">
        <v/>
      </c>
      <c r="N11" s="21" t="n">
        <v/>
      </c>
      <c r="O11" s="21" t="n">
        <v/>
      </c>
      <c r="P11" s="21" t="n">
        <v>0.9710128909124696</v>
      </c>
      <c r="Q11" s="22" t="n">
        <v>10.93451744058124</v>
      </c>
      <c r="R11" s="22" t="n">
        <v/>
      </c>
      <c r="S11" s="22" t="n">
        <v>0</v>
      </c>
      <c r="T11" s="22" t="n">
        <v>0</v>
      </c>
      <c r="U11" s="22" t="n">
        <v>0</v>
      </c>
      <c r="V11" s="17" t="n">
        <v>0</v>
      </c>
      <c r="W11" s="25" t="n">
        <v>0</v>
      </c>
      <c r="X11" s="25" t="n">
        <v>0</v>
      </c>
      <c r="Y11" s="25" t="n">
        <v>0</v>
      </c>
      <c r="Z11" s="22" t="n">
        <v>0</v>
      </c>
      <c r="AA11" s="22" t="n">
        <v>0</v>
      </c>
      <c r="AB11" s="25" t="n">
        <v>0</v>
      </c>
      <c r="AC11" s="25" t="n">
        <v>0</v>
      </c>
      <c r="AD11" s="25" t="n">
        <v>0</v>
      </c>
      <c r="AE11" s="21" t="n">
        <v>0</v>
      </c>
      <c r="AF11" s="22" t="n">
        <v>0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5" t="n">
        <v>216</v>
      </c>
      <c r="J12" s="15" t="n">
        <v>395</v>
      </c>
      <c r="K12" s="15" t="n">
        <v>170</v>
      </c>
      <c r="L12" s="15" t="n">
        <v>90</v>
      </c>
      <c r="M12" s="19" t="n">
        <v/>
      </c>
      <c r="N12" s="19" t="n">
        <v/>
      </c>
      <c r="O12" s="19" t="n">
        <v/>
      </c>
      <c r="P12" s="19" t="n">
        <v>0.9678444201313064</v>
      </c>
      <c r="Q12" s="20" t="n">
        <v>10.88670806034377</v>
      </c>
      <c r="R12" s="20" t="n">
        <v/>
      </c>
      <c r="S12" s="20" t="n">
        <v>0</v>
      </c>
      <c r="T12" s="20" t="n">
        <v>0</v>
      </c>
      <c r="U12" s="20" t="n">
        <v>0</v>
      </c>
      <c r="V12" s="15" t="n">
        <v>0</v>
      </c>
      <c r="W12" s="24" t="n">
        <v>0</v>
      </c>
      <c r="X12" s="24" t="n">
        <v>0</v>
      </c>
      <c r="Y12" s="24" t="n">
        <v>0</v>
      </c>
      <c r="Z12" s="20" t="n">
        <v>0</v>
      </c>
      <c r="AA12" s="20" t="n">
        <v>0</v>
      </c>
      <c r="AB12" s="24" t="n">
        <v>0</v>
      </c>
      <c r="AC12" s="24" t="n">
        <v>0</v>
      </c>
      <c r="AD12" s="24" t="n">
        <v>0</v>
      </c>
      <c r="AE12" s="19" t="n">
        <v>0</v>
      </c>
      <c r="AF12" s="20" t="n">
        <v>0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17" t="n">
        <v>216</v>
      </c>
      <c r="J13" s="17" t="n">
        <v>395</v>
      </c>
      <c r="K13" s="17" t="n">
        <v>169</v>
      </c>
      <c r="L13" s="17" t="n">
        <v>90</v>
      </c>
      <c r="M13" s="21" t="n">
        <v/>
      </c>
      <c r="N13" s="21" t="n">
        <v/>
      </c>
      <c r="O13" s="21" t="n">
        <v/>
      </c>
      <c r="P13" s="21" t="n">
        <v>0.9646862882521137</v>
      </c>
      <c r="Q13" s="22" t="n">
        <v>10.83874216463625</v>
      </c>
      <c r="R13" s="22" t="n">
        <v/>
      </c>
      <c r="S13" s="22" t="n">
        <v>0</v>
      </c>
      <c r="T13" s="22" t="n">
        <v>0</v>
      </c>
      <c r="U13" s="22" t="n">
        <v>0</v>
      </c>
      <c r="V13" s="17" t="n">
        <v>0</v>
      </c>
      <c r="W13" s="25" t="n">
        <v>0</v>
      </c>
      <c r="X13" s="25" t="n">
        <v>0</v>
      </c>
      <c r="Y13" s="25" t="n">
        <v>0</v>
      </c>
      <c r="Z13" s="22" t="n">
        <v>0</v>
      </c>
      <c r="AA13" s="22" t="n">
        <v>0</v>
      </c>
      <c r="AB13" s="25" t="n">
        <v>0</v>
      </c>
      <c r="AC13" s="25" t="n">
        <v>0</v>
      </c>
      <c r="AD13" s="25" t="n">
        <v>0</v>
      </c>
      <c r="AE13" s="21" t="n">
        <v>0</v>
      </c>
      <c r="AF13" s="22" t="n">
        <v>0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5" t="n">
        <v>216</v>
      </c>
      <c r="J14" s="15" t="n">
        <v>395</v>
      </c>
      <c r="K14" s="15" t="n">
        <v>168</v>
      </c>
      <c r="L14" s="15" t="n">
        <v>90</v>
      </c>
      <c r="M14" s="19" t="n">
        <v/>
      </c>
      <c r="N14" s="19" t="n">
        <v/>
      </c>
      <c r="O14" s="19" t="n">
        <v/>
      </c>
      <c r="P14" s="19" t="n">
        <v>0.9615384615384609</v>
      </c>
      <c r="Q14" s="20" t="n">
        <v>10.79061924106777</v>
      </c>
      <c r="R14" s="20" t="n">
        <v/>
      </c>
      <c r="S14" s="20" t="n">
        <v>0</v>
      </c>
      <c r="T14" s="20" t="n">
        <v>0</v>
      </c>
      <c r="U14" s="20" t="n">
        <v>0</v>
      </c>
      <c r="V14" s="15" t="n">
        <v>0</v>
      </c>
      <c r="W14" s="24" t="n">
        <v>0</v>
      </c>
      <c r="X14" s="24" t="n">
        <v>0</v>
      </c>
      <c r="Y14" s="24" t="n">
        <v>0</v>
      </c>
      <c r="Z14" s="20" t="n">
        <v>0</v>
      </c>
      <c r="AA14" s="20" t="n">
        <v>0</v>
      </c>
      <c r="AB14" s="24" t="n">
        <v>0</v>
      </c>
      <c r="AC14" s="24" t="n">
        <v>0</v>
      </c>
      <c r="AD14" s="24" t="n">
        <v>0</v>
      </c>
      <c r="AE14" s="19" t="n">
        <v>0</v>
      </c>
      <c r="AF14" s="20" t="n">
        <v>0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17" t="n">
        <v>216</v>
      </c>
      <c r="J15" s="17" t="n">
        <v>395</v>
      </c>
      <c r="K15" s="17" t="n">
        <v>167</v>
      </c>
      <c r="L15" s="17" t="n">
        <v>90</v>
      </c>
      <c r="M15" s="21" t="n">
        <v/>
      </c>
      <c r="N15" s="21" t="n">
        <v/>
      </c>
      <c r="O15" s="21" t="n">
        <v/>
      </c>
      <c r="P15" s="21" t="n">
        <v>0.9584009063640015</v>
      </c>
      <c r="Q15" s="22" t="n">
        <v>10.74233877556996</v>
      </c>
      <c r="R15" s="22" t="n">
        <v/>
      </c>
      <c r="S15" s="22" t="n">
        <v>0</v>
      </c>
      <c r="T15" s="22" t="n">
        <v>0</v>
      </c>
      <c r="U15" s="22" t="n">
        <v>0</v>
      </c>
      <c r="V15" s="17" t="n">
        <v>0</v>
      </c>
      <c r="W15" s="25" t="n">
        <v>0</v>
      </c>
      <c r="X15" s="25" t="n">
        <v>0</v>
      </c>
      <c r="Y15" s="25" t="n">
        <v>0</v>
      </c>
      <c r="Z15" s="22" t="n">
        <v>0</v>
      </c>
      <c r="AA15" s="22" t="n">
        <v>0</v>
      </c>
      <c r="AB15" s="25" t="n">
        <v>0</v>
      </c>
      <c r="AC15" s="25" t="n">
        <v>0</v>
      </c>
      <c r="AD15" s="25" t="n">
        <v>0</v>
      </c>
      <c r="AE15" s="21" t="n">
        <v>0</v>
      </c>
      <c r="AF15" s="22" t="n">
        <v>0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5" t="n">
        <v>216</v>
      </c>
      <c r="J16" s="15" t="n">
        <v>395</v>
      </c>
      <c r="K16" s="15" t="n">
        <v>166</v>
      </c>
      <c r="L16" s="15" t="n">
        <v>90</v>
      </c>
      <c r="M16" s="19" t="n">
        <v/>
      </c>
      <c r="N16" s="19" t="n">
        <v/>
      </c>
      <c r="O16" s="19" t="n">
        <v/>
      </c>
      <c r="P16" s="19" t="n">
        <v>0.9552735892121139</v>
      </c>
      <c r="Q16" s="20" t="n">
        <v>10.69390025239155</v>
      </c>
      <c r="R16" s="20" t="n">
        <v/>
      </c>
      <c r="S16" s="20" t="n">
        <v>0</v>
      </c>
      <c r="T16" s="20" t="n">
        <v>0</v>
      </c>
      <c r="U16" s="20" t="n">
        <v>0</v>
      </c>
      <c r="V16" s="15" t="n">
        <v>0</v>
      </c>
      <c r="W16" s="24" t="n">
        <v>0</v>
      </c>
      <c r="X16" s="24" t="n">
        <v>0</v>
      </c>
      <c r="Y16" s="24" t="n">
        <v>0</v>
      </c>
      <c r="Z16" s="20" t="n">
        <v>0</v>
      </c>
      <c r="AA16" s="20" t="n">
        <v>0</v>
      </c>
      <c r="AB16" s="24" t="n">
        <v>0</v>
      </c>
      <c r="AC16" s="24" t="n">
        <v>0</v>
      </c>
      <c r="AD16" s="24" t="n">
        <v>0</v>
      </c>
      <c r="AE16" s="19" t="n">
        <v>0</v>
      </c>
      <c r="AF16" s="20" t="n">
        <v>0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17" t="n">
        <v>216</v>
      </c>
      <c r="J17" s="17" t="n">
        <v>395</v>
      </c>
      <c r="K17" s="17" t="n">
        <v>165</v>
      </c>
      <c r="L17" s="17" t="n">
        <v>90</v>
      </c>
      <c r="M17" s="21" t="n">
        <v/>
      </c>
      <c r="N17" s="21" t="n">
        <v/>
      </c>
      <c r="O17" s="21" t="n">
        <v/>
      </c>
      <c r="P17" s="21" t="n">
        <v>0.9521564766755428</v>
      </c>
      <c r="Q17" s="22" t="n">
        <v>10.64530315409282</v>
      </c>
      <c r="R17" s="22" t="n">
        <v/>
      </c>
      <c r="S17" s="22" t="n">
        <v>0</v>
      </c>
      <c r="T17" s="22" t="n">
        <v>0</v>
      </c>
      <c r="U17" s="22" t="n">
        <v>0</v>
      </c>
      <c r="V17" s="17" t="n">
        <v>0</v>
      </c>
      <c r="W17" s="25" t="n">
        <v>0</v>
      </c>
      <c r="X17" s="25" t="n">
        <v>0</v>
      </c>
      <c r="Y17" s="25" t="n">
        <v>0</v>
      </c>
      <c r="Z17" s="22" t="n">
        <v>0</v>
      </c>
      <c r="AA17" s="22" t="n">
        <v>0</v>
      </c>
      <c r="AB17" s="25" t="n">
        <v>0</v>
      </c>
      <c r="AC17" s="25" t="n">
        <v>0</v>
      </c>
      <c r="AD17" s="25" t="n">
        <v>0</v>
      </c>
      <c r="AE17" s="21" t="n">
        <v>0</v>
      </c>
      <c r="AF17" s="22" t="n">
        <v>0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5" t="n">
        <v>216</v>
      </c>
      <c r="J18" s="15" t="n">
        <v>395</v>
      </c>
      <c r="K18" s="15" t="n">
        <v>164</v>
      </c>
      <c r="L18" s="15" t="n">
        <v>90</v>
      </c>
      <c r="M18" s="19" t="n">
        <v/>
      </c>
      <c r="N18" s="19" t="n">
        <v/>
      </c>
      <c r="O18" s="19" t="n">
        <v/>
      </c>
      <c r="P18" s="19" t="n">
        <v>0.949049535456043</v>
      </c>
      <c r="Q18" s="20" t="n">
        <v>10.5965469615401</v>
      </c>
      <c r="R18" s="20" t="n">
        <v/>
      </c>
      <c r="S18" s="20" t="n">
        <v>0</v>
      </c>
      <c r="T18" s="20" t="n">
        <v>0</v>
      </c>
      <c r="U18" s="20" t="n">
        <v>0</v>
      </c>
      <c r="V18" s="15" t="n">
        <v>0</v>
      </c>
      <c r="W18" s="24" t="n">
        <v>0</v>
      </c>
      <c r="X18" s="24" t="n">
        <v>0</v>
      </c>
      <c r="Y18" s="24" t="n">
        <v>0</v>
      </c>
      <c r="Z18" s="20" t="n">
        <v>0</v>
      </c>
      <c r="AA18" s="20" t="n">
        <v>0</v>
      </c>
      <c r="AB18" s="24" t="n">
        <v>0</v>
      </c>
      <c r="AC18" s="24" t="n">
        <v>0</v>
      </c>
      <c r="AD18" s="24" t="n">
        <v>0</v>
      </c>
      <c r="AE18" s="19" t="n">
        <v>0</v>
      </c>
      <c r="AF18" s="20" t="n">
        <v>0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17" t="n">
        <v>216</v>
      </c>
      <c r="J19" s="17" t="n">
        <v>395</v>
      </c>
      <c r="K19" s="17" t="n">
        <v>163</v>
      </c>
      <c r="L19" s="17" t="n">
        <v>90</v>
      </c>
      <c r="M19" s="21" t="n">
        <v/>
      </c>
      <c r="N19" s="21" t="n">
        <v/>
      </c>
      <c r="O19" s="21" t="n">
        <v/>
      </c>
      <c r="P19" s="21" t="n">
        <v>0.9459527323640231</v>
      </c>
      <c r="Q19" s="22" t="n">
        <v>10.54763115390018</v>
      </c>
      <c r="R19" s="22" t="n">
        <v/>
      </c>
      <c r="S19" s="22" t="n">
        <v>0</v>
      </c>
      <c r="T19" s="22" t="n">
        <v>0</v>
      </c>
      <c r="U19" s="22" t="n">
        <v>0</v>
      </c>
      <c r="V19" s="17" t="n">
        <v>0</v>
      </c>
      <c r="W19" s="25" t="n">
        <v>0</v>
      </c>
      <c r="X19" s="25" t="n">
        <v>0</v>
      </c>
      <c r="Y19" s="25" t="n">
        <v>0</v>
      </c>
      <c r="Z19" s="22" t="n">
        <v>0</v>
      </c>
      <c r="AA19" s="22" t="n">
        <v>0</v>
      </c>
      <c r="AB19" s="25" t="n">
        <v>0</v>
      </c>
      <c r="AC19" s="25" t="n">
        <v>0</v>
      </c>
      <c r="AD19" s="25" t="n">
        <v>0</v>
      </c>
      <c r="AE19" s="21" t="n">
        <v>0</v>
      </c>
      <c r="AF19" s="22" t="n">
        <v>0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5" t="n">
        <v>216</v>
      </c>
      <c r="J20" s="15" t="n">
        <v>395</v>
      </c>
      <c r="K20" s="15" t="n">
        <v>162</v>
      </c>
      <c r="L20" s="15" t="n">
        <v>90</v>
      </c>
      <c r="M20" s="19" t="n">
        <v/>
      </c>
      <c r="N20" s="19" t="n">
        <v/>
      </c>
      <c r="O20" s="19" t="n">
        <v/>
      </c>
      <c r="P20" s="19" t="n">
        <v>0.9428660343181915</v>
      </c>
      <c r="Q20" s="20" t="n">
        <v>10.49855520863481</v>
      </c>
      <c r="R20" s="20" t="n">
        <v/>
      </c>
      <c r="S20" s="20" t="n">
        <v>0</v>
      </c>
      <c r="T20" s="20" t="n">
        <v>0</v>
      </c>
      <c r="U20" s="20" t="n">
        <v>0</v>
      </c>
      <c r="V20" s="15" t="n">
        <v>0</v>
      </c>
      <c r="W20" s="24" t="n">
        <v>0</v>
      </c>
      <c r="X20" s="24" t="n">
        <v>0</v>
      </c>
      <c r="Y20" s="24" t="n">
        <v>0</v>
      </c>
      <c r="Z20" s="20" t="n">
        <v>0</v>
      </c>
      <c r="AA20" s="20" t="n">
        <v>0</v>
      </c>
      <c r="AB20" s="24" t="n">
        <v>0</v>
      </c>
      <c r="AC20" s="24" t="n">
        <v>0</v>
      </c>
      <c r="AD20" s="24" t="n">
        <v>0</v>
      </c>
      <c r="AE20" s="19" t="n">
        <v>0</v>
      </c>
      <c r="AF20" s="20" t="n">
        <v>0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17" t="n">
        <v>216</v>
      </c>
      <c r="J21" s="17" t="n">
        <v>395</v>
      </c>
      <c r="K21" s="17" t="n">
        <v>161</v>
      </c>
      <c r="L21" s="17" t="n">
        <v>90</v>
      </c>
      <c r="M21" s="21" t="n">
        <v/>
      </c>
      <c r="N21" s="21" t="n">
        <v/>
      </c>
      <c r="O21" s="21" t="n">
        <v/>
      </c>
      <c r="P21" s="21" t="n">
        <v>0.9397894083452026</v>
      </c>
      <c r="Q21" s="22" t="n">
        <v>10.44931860149508</v>
      </c>
      <c r="R21" s="22" t="n">
        <v/>
      </c>
      <c r="S21" s="22" t="n">
        <v>0</v>
      </c>
      <c r="T21" s="22" t="n">
        <v>0</v>
      </c>
      <c r="U21" s="22" t="n">
        <v>0</v>
      </c>
      <c r="V21" s="17" t="n">
        <v>0</v>
      </c>
      <c r="W21" s="25" t="n">
        <v>0</v>
      </c>
      <c r="X21" s="25" t="n">
        <v>0</v>
      </c>
      <c r="Y21" s="25" t="n">
        <v>0</v>
      </c>
      <c r="Z21" s="22" t="n">
        <v>0</v>
      </c>
      <c r="AA21" s="22" t="n">
        <v>0</v>
      </c>
      <c r="AB21" s="25" t="n">
        <v>0</v>
      </c>
      <c r="AC21" s="25" t="n">
        <v>0</v>
      </c>
      <c r="AD21" s="25" t="n">
        <v>0</v>
      </c>
      <c r="AE21" s="21" t="n">
        <v>0</v>
      </c>
      <c r="AF21" s="22" t="n">
        <v>0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5" t="n">
        <v>216</v>
      </c>
      <c r="J22" s="15" t="n">
        <v>395</v>
      </c>
      <c r="K22" s="15" t="n">
        <v>160</v>
      </c>
      <c r="L22" s="15" t="n">
        <v>90</v>
      </c>
      <c r="M22" s="19" t="n">
        <v/>
      </c>
      <c r="N22" s="19" t="n">
        <v/>
      </c>
      <c r="O22" s="19" t="n">
        <v/>
      </c>
      <c r="P22" s="19" t="n">
        <v>0.9367228215793049</v>
      </c>
      <c r="Q22" s="20" t="n">
        <v>10.39992080651582</v>
      </c>
      <c r="R22" s="20" t="n">
        <v/>
      </c>
      <c r="S22" s="20" t="n">
        <v>0</v>
      </c>
      <c r="T22" s="20" t="n">
        <v>0</v>
      </c>
      <c r="U22" s="20" t="n">
        <v>0</v>
      </c>
      <c r="V22" s="15" t="n">
        <v>0</v>
      </c>
      <c r="W22" s="24" t="n">
        <v>0</v>
      </c>
      <c r="X22" s="24" t="n">
        <v>0</v>
      </c>
      <c r="Y22" s="24" t="n">
        <v>0</v>
      </c>
      <c r="Z22" s="20" t="n">
        <v>0</v>
      </c>
      <c r="AA22" s="20" t="n">
        <v>0</v>
      </c>
      <c r="AB22" s="24" t="n">
        <v>0</v>
      </c>
      <c r="AC22" s="24" t="n">
        <v>0</v>
      </c>
      <c r="AD22" s="24" t="n">
        <v>0</v>
      </c>
      <c r="AE22" s="19" t="n">
        <v>0</v>
      </c>
      <c r="AF22" s="20" t="n">
        <v>0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17" t="n">
        <v>216</v>
      </c>
      <c r="J23" s="17" t="n">
        <v>395</v>
      </c>
      <c r="K23" s="17" t="n">
        <v>159</v>
      </c>
      <c r="L23" s="17" t="n">
        <v>90</v>
      </c>
      <c r="M23" s="21" t="n">
        <v/>
      </c>
      <c r="N23" s="21" t="n">
        <v/>
      </c>
      <c r="O23" s="21" t="n">
        <v/>
      </c>
      <c r="P23" s="21" t="n">
        <v>0.9336662412619894</v>
      </c>
      <c r="Q23" s="22" t="n">
        <v>10.35036129600998</v>
      </c>
      <c r="R23" s="22" t="n">
        <v/>
      </c>
      <c r="S23" s="22" t="n">
        <v>0</v>
      </c>
      <c r="T23" s="22" t="n">
        <v>0</v>
      </c>
      <c r="U23" s="22" t="n">
        <v>0</v>
      </c>
      <c r="V23" s="17" t="n">
        <v>0</v>
      </c>
      <c r="W23" s="25" t="n">
        <v>0</v>
      </c>
      <c r="X23" s="25" t="n">
        <v>0</v>
      </c>
      <c r="Y23" s="25" t="n">
        <v>0</v>
      </c>
      <c r="Z23" s="22" t="n">
        <v>0</v>
      </c>
      <c r="AA23" s="22" t="n">
        <v>0</v>
      </c>
      <c r="AB23" s="25" t="n">
        <v>0</v>
      </c>
      <c r="AC23" s="25" t="n">
        <v>0</v>
      </c>
      <c r="AD23" s="25" t="n">
        <v>0</v>
      </c>
      <c r="AE23" s="21" t="n">
        <v>0</v>
      </c>
      <c r="AF23" s="22" t="n">
        <v>0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5" t="n">
        <v>216</v>
      </c>
      <c r="J24" s="15" t="n">
        <v>395</v>
      </c>
      <c r="K24" s="15" t="n">
        <v>158</v>
      </c>
      <c r="L24" s="15" t="n">
        <v>90</v>
      </c>
      <c r="M24" s="19" t="n">
        <v/>
      </c>
      <c r="N24" s="19" t="n">
        <v/>
      </c>
      <c r="O24" s="19" t="n">
        <v/>
      </c>
      <c r="P24" s="19" t="n">
        <v>0.9306196347416402</v>
      </c>
      <c r="Q24" s="20" t="n">
        <v>10.30063954056301</v>
      </c>
      <c r="R24" s="20" t="n">
        <v/>
      </c>
      <c r="S24" s="20" t="n">
        <v>0</v>
      </c>
      <c r="T24" s="20" t="n">
        <v>0</v>
      </c>
      <c r="U24" s="20" t="n">
        <v>0</v>
      </c>
      <c r="V24" s="15" t="n">
        <v>0</v>
      </c>
      <c r="W24" s="24" t="n">
        <v>0</v>
      </c>
      <c r="X24" s="24" t="n">
        <v>0</v>
      </c>
      <c r="Y24" s="24" t="n">
        <v>0</v>
      </c>
      <c r="Z24" s="20" t="n">
        <v>0</v>
      </c>
      <c r="AA24" s="20" t="n">
        <v>0</v>
      </c>
      <c r="AB24" s="24" t="n">
        <v>0</v>
      </c>
      <c r="AC24" s="24" t="n">
        <v>0</v>
      </c>
      <c r="AD24" s="24" t="n">
        <v>0</v>
      </c>
      <c r="AE24" s="19" t="n">
        <v>0</v>
      </c>
      <c r="AF24" s="20" t="n">
        <v>0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17" t="n">
        <v>216</v>
      </c>
      <c r="J25" s="17" t="n">
        <v>395</v>
      </c>
      <c r="K25" s="17" t="n">
        <v>157</v>
      </c>
      <c r="L25" s="17" t="n">
        <v>90</v>
      </c>
      <c r="M25" s="21" t="n">
        <v/>
      </c>
      <c r="N25" s="21" t="n">
        <v/>
      </c>
      <c r="O25" s="21" t="n">
        <v/>
      </c>
      <c r="P25" s="21" t="n">
        <v>0.9275829694731856</v>
      </c>
      <c r="Q25" s="22" t="n">
        <v>10.25075500902719</v>
      </c>
      <c r="R25" s="22" t="n">
        <v/>
      </c>
      <c r="S25" s="22" t="n">
        <v>0</v>
      </c>
      <c r="T25" s="22" t="n">
        <v>0</v>
      </c>
      <c r="U25" s="22" t="n">
        <v>0</v>
      </c>
      <c r="V25" s="17" t="n">
        <v>0</v>
      </c>
      <c r="W25" s="25" t="n">
        <v>0</v>
      </c>
      <c r="X25" s="25" t="n">
        <v>0</v>
      </c>
      <c r="Y25" s="25" t="n">
        <v>0</v>
      </c>
      <c r="Z25" s="22" t="n">
        <v>0</v>
      </c>
      <c r="AA25" s="22" t="n">
        <v>0</v>
      </c>
      <c r="AB25" s="25" t="n">
        <v>0</v>
      </c>
      <c r="AC25" s="25" t="n">
        <v>0</v>
      </c>
      <c r="AD25" s="25" t="n">
        <v>0</v>
      </c>
      <c r="AE25" s="21" t="n">
        <v>0</v>
      </c>
      <c r="AF25" s="22" t="n">
        <v>0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5" t="n">
        <v>216</v>
      </c>
      <c r="J26" s="15" t="n">
        <v>395</v>
      </c>
      <c r="K26" s="15" t="n">
        <v>156</v>
      </c>
      <c r="L26" s="15" t="n">
        <v>90</v>
      </c>
      <c r="M26" s="19" t="n">
        <v/>
      </c>
      <c r="N26" s="19" t="n">
        <v/>
      </c>
      <c r="O26" s="19" t="n">
        <v/>
      </c>
      <c r="P26" s="19" t="n">
        <v>0.9245562130177503</v>
      </c>
      <c r="Q26" s="20" t="n">
        <v>10.20070716851597</v>
      </c>
      <c r="R26" s="20" t="n">
        <v/>
      </c>
      <c r="S26" s="20" t="n">
        <v>0</v>
      </c>
      <c r="T26" s="20" t="n">
        <v>0</v>
      </c>
      <c r="U26" s="20" t="n">
        <v>0</v>
      </c>
      <c r="V26" s="15" t="n">
        <v>0</v>
      </c>
      <c r="W26" s="24" t="n">
        <v>0</v>
      </c>
      <c r="X26" s="24" t="n">
        <v>0</v>
      </c>
      <c r="Y26" s="24" t="n">
        <v>0</v>
      </c>
      <c r="Z26" s="20" t="n">
        <v>0</v>
      </c>
      <c r="AA26" s="20" t="n">
        <v>0</v>
      </c>
      <c r="AB26" s="24" t="n">
        <v>0</v>
      </c>
      <c r="AC26" s="24" t="n">
        <v>0</v>
      </c>
      <c r="AD26" s="24" t="n">
        <v>0</v>
      </c>
      <c r="AE26" s="19" t="n">
        <v>0</v>
      </c>
      <c r="AF26" s="20" t="n">
        <v>0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17" t="n">
        <v>216</v>
      </c>
      <c r="J27" s="17" t="n">
        <v>395</v>
      </c>
      <c r="K27" s="17" t="n">
        <v>155</v>
      </c>
      <c r="L27" s="17" t="n">
        <v>90</v>
      </c>
      <c r="M27" s="21" t="n">
        <v/>
      </c>
      <c r="N27" s="21" t="n">
        <v/>
      </c>
      <c r="O27" s="21" t="n">
        <v/>
      </c>
      <c r="P27" s="21" t="n">
        <v>0.9215393330423086</v>
      </c>
      <c r="Q27" s="22" t="n">
        <v>10.15049548439825</v>
      </c>
      <c r="R27" s="22" t="n">
        <v/>
      </c>
      <c r="S27" s="22" t="n">
        <v>0</v>
      </c>
      <c r="T27" s="22" t="n">
        <v>0</v>
      </c>
      <c r="U27" s="22" t="n">
        <v>0</v>
      </c>
      <c r="V27" s="17" t="n">
        <v>0</v>
      </c>
      <c r="W27" s="25" t="n">
        <v>0</v>
      </c>
      <c r="X27" s="25" t="n">
        <v>0</v>
      </c>
      <c r="Y27" s="25" t="n">
        <v>0</v>
      </c>
      <c r="Z27" s="22" t="n">
        <v>0</v>
      </c>
      <c r="AA27" s="22" t="n">
        <v>0</v>
      </c>
      <c r="AB27" s="25" t="n">
        <v>0</v>
      </c>
      <c r="AC27" s="25" t="n">
        <v>0</v>
      </c>
      <c r="AD27" s="25" t="n">
        <v>0</v>
      </c>
      <c r="AE27" s="21" t="n">
        <v>0</v>
      </c>
      <c r="AF27" s="22" t="n">
        <v>0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5" t="n">
        <v>216</v>
      </c>
      <c r="J28" s="15" t="n">
        <v>395</v>
      </c>
      <c r="K28" s="15" t="n">
        <v>154</v>
      </c>
      <c r="L28" s="15" t="n">
        <v>90</v>
      </c>
      <c r="M28" s="19" t="n">
        <v/>
      </c>
      <c r="N28" s="19" t="n">
        <v/>
      </c>
      <c r="O28" s="19" t="n">
        <v/>
      </c>
      <c r="P28" s="19" t="n">
        <v>0.9185322973193397</v>
      </c>
      <c r="Q28" s="20" t="n">
        <v>10.1001194202927</v>
      </c>
      <c r="R28" s="20" t="n">
        <v/>
      </c>
      <c r="S28" s="20" t="n">
        <v>0</v>
      </c>
      <c r="T28" s="20" t="n">
        <v>0</v>
      </c>
      <c r="U28" s="20" t="n">
        <v>0</v>
      </c>
      <c r="V28" s="15" t="n">
        <v>0</v>
      </c>
      <c r="W28" s="24" t="n">
        <v>0</v>
      </c>
      <c r="X28" s="24" t="n">
        <v>0</v>
      </c>
      <c r="Y28" s="24" t="n">
        <v>0</v>
      </c>
      <c r="Z28" s="20" t="n">
        <v>0</v>
      </c>
      <c r="AA28" s="20" t="n">
        <v>0</v>
      </c>
      <c r="AB28" s="24" t="n">
        <v>0</v>
      </c>
      <c r="AC28" s="24" t="n">
        <v>0</v>
      </c>
      <c r="AD28" s="24" t="n">
        <v>0</v>
      </c>
      <c r="AE28" s="19" t="n">
        <v>0</v>
      </c>
      <c r="AF28" s="20" t="n">
        <v>0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17" t="n">
        <v>216</v>
      </c>
      <c r="J29" s="17" t="n">
        <v>395</v>
      </c>
      <c r="K29" s="17" t="n">
        <v>153</v>
      </c>
      <c r="L29" s="17" t="n">
        <v>90</v>
      </c>
      <c r="M29" s="21" t="n">
        <v/>
      </c>
      <c r="N29" s="21" t="n">
        <v/>
      </c>
      <c r="O29" s="21" t="n">
        <v/>
      </c>
      <c r="P29" s="21" t="n">
        <v>0.9155350737264829</v>
      </c>
      <c r="Q29" s="22" t="n">
        <v>10.04957843806202</v>
      </c>
      <c r="R29" s="22" t="n">
        <v/>
      </c>
      <c r="S29" s="22" t="n">
        <v>0</v>
      </c>
      <c r="T29" s="22" t="n">
        <v>0</v>
      </c>
      <c r="U29" s="22" t="n">
        <v>0</v>
      </c>
      <c r="V29" s="17" t="n">
        <v>0</v>
      </c>
      <c r="W29" s="25" t="n">
        <v>0</v>
      </c>
      <c r="X29" s="25" t="n">
        <v>0</v>
      </c>
      <c r="Y29" s="25" t="n">
        <v>0</v>
      </c>
      <c r="Z29" s="22" t="n">
        <v>0</v>
      </c>
      <c r="AA29" s="22" t="n">
        <v>0</v>
      </c>
      <c r="AB29" s="25" t="n">
        <v>0</v>
      </c>
      <c r="AC29" s="25" t="n">
        <v>0</v>
      </c>
      <c r="AD29" s="25" t="n">
        <v>0</v>
      </c>
      <c r="AE29" s="21" t="n">
        <v>0</v>
      </c>
      <c r="AF29" s="22" t="n">
        <v>0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5" t="n">
        <v>216</v>
      </c>
      <c r="J30" s="15" t="n">
        <v>395</v>
      </c>
      <c r="K30" s="15" t="n">
        <v>152</v>
      </c>
      <c r="L30" s="15" t="n">
        <v>90</v>
      </c>
      <c r="M30" s="19" t="n">
        <v/>
      </c>
      <c r="N30" s="19" t="n">
        <v/>
      </c>
      <c r="O30" s="19" t="n">
        <v/>
      </c>
      <c r="P30" s="19" t="n">
        <v>0.9125476302461946</v>
      </c>
      <c r="Q30" s="20" t="n">
        <v>9.998871997807187</v>
      </c>
      <c r="R30" s="20" t="n">
        <v/>
      </c>
      <c r="S30" s="20" t="n">
        <v>0</v>
      </c>
      <c r="T30" s="20" t="n">
        <v>0</v>
      </c>
      <c r="U30" s="20" t="n">
        <v>0</v>
      </c>
      <c r="V30" s="15" t="n">
        <v>0</v>
      </c>
      <c r="W30" s="24" t="n">
        <v>0</v>
      </c>
      <c r="X30" s="24" t="n">
        <v>0</v>
      </c>
      <c r="Y30" s="24" t="n">
        <v>0</v>
      </c>
      <c r="Z30" s="20" t="n">
        <v>0</v>
      </c>
      <c r="AA30" s="20" t="n">
        <v>0</v>
      </c>
      <c r="AB30" s="24" t="n">
        <v>0</v>
      </c>
      <c r="AC30" s="24" t="n">
        <v>0</v>
      </c>
      <c r="AD30" s="24" t="n">
        <v>0</v>
      </c>
      <c r="AE30" s="19" t="n">
        <v>0</v>
      </c>
      <c r="AF30" s="20" t="n">
        <v>0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17" t="n">
        <v>216</v>
      </c>
      <c r="J31" s="17" t="n">
        <v>395</v>
      </c>
      <c r="K31" s="17" t="n">
        <v>151</v>
      </c>
      <c r="L31" s="17" t="n">
        <v>90</v>
      </c>
      <c r="M31" s="21" t="n">
        <v/>
      </c>
      <c r="N31" s="21" t="n">
        <v/>
      </c>
      <c r="O31" s="21" t="n">
        <v/>
      </c>
      <c r="P31" s="21" t="n">
        <v>0.9095699349654063</v>
      </c>
      <c r="Q31" s="22" t="n">
        <v>9.947999557861673</v>
      </c>
      <c r="R31" s="22" t="n">
        <v/>
      </c>
      <c r="S31" s="22" t="n">
        <v>0</v>
      </c>
      <c r="T31" s="22" t="n">
        <v>0</v>
      </c>
      <c r="U31" s="22" t="n">
        <v>0</v>
      </c>
      <c r="V31" s="17" t="n">
        <v>0</v>
      </c>
      <c r="W31" s="25" t="n">
        <v>0</v>
      </c>
      <c r="X31" s="25" t="n">
        <v>0</v>
      </c>
      <c r="Y31" s="25" t="n">
        <v>0</v>
      </c>
      <c r="Z31" s="22" t="n">
        <v>0</v>
      </c>
      <c r="AA31" s="22" t="n">
        <v>0</v>
      </c>
      <c r="AB31" s="25" t="n">
        <v>0</v>
      </c>
      <c r="AC31" s="25" t="n">
        <v>0</v>
      </c>
      <c r="AD31" s="25" t="n">
        <v>0</v>
      </c>
      <c r="AE31" s="21" t="n">
        <v>0</v>
      </c>
      <c r="AF31" s="22" t="n">
        <v>0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5" t="n">
        <v>216</v>
      </c>
      <c r="J32" s="15" t="n">
        <v>395</v>
      </c>
      <c r="K32" s="15" t="n">
        <v>150</v>
      </c>
      <c r="L32" s="15" t="n">
        <v>90</v>
      </c>
      <c r="M32" s="19" t="n">
        <v/>
      </c>
      <c r="N32" s="19" t="n">
        <v/>
      </c>
      <c r="O32" s="19" t="n">
        <v/>
      </c>
      <c r="P32" s="19" t="n">
        <v>0.9066019560751836</v>
      </c>
      <c r="Q32" s="20" t="n">
        <v>9.896960574785693</v>
      </c>
      <c r="R32" s="20" t="n">
        <v/>
      </c>
      <c r="S32" s="20" t="n">
        <v>0</v>
      </c>
      <c r="T32" s="20" t="n">
        <v>0</v>
      </c>
      <c r="U32" s="20" t="n">
        <v>0</v>
      </c>
      <c r="V32" s="15" t="n">
        <v>0</v>
      </c>
      <c r="W32" s="24" t="n">
        <v>0</v>
      </c>
      <c r="X32" s="24" t="n">
        <v>0</v>
      </c>
      <c r="Y32" s="24" t="n">
        <v>0</v>
      </c>
      <c r="Z32" s="20" t="n">
        <v>0</v>
      </c>
      <c r="AA32" s="20" t="n">
        <v>0</v>
      </c>
      <c r="AB32" s="24" t="n">
        <v>0</v>
      </c>
      <c r="AC32" s="24" t="n">
        <v>0</v>
      </c>
      <c r="AD32" s="24" t="n">
        <v>0</v>
      </c>
      <c r="AE32" s="19" t="n">
        <v>0</v>
      </c>
      <c r="AF32" s="20" t="n">
        <v>0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17" t="n">
        <v>216</v>
      </c>
      <c r="J33" s="17" t="n">
        <v>395</v>
      </c>
      <c r="K33" s="17" t="n">
        <v>149</v>
      </c>
      <c r="L33" s="17" t="n">
        <v>90</v>
      </c>
      <c r="M33" s="21" t="n">
        <v/>
      </c>
      <c r="N33" s="21" t="n">
        <v/>
      </c>
      <c r="O33" s="21" t="n">
        <v/>
      </c>
      <c r="P33" s="21" t="n">
        <v>0.9036436618703866</v>
      </c>
      <c r="Q33" s="22" t="n">
        <v>9.845754503360373</v>
      </c>
      <c r="R33" s="22" t="n">
        <v/>
      </c>
      <c r="S33" s="22" t="n">
        <v>0</v>
      </c>
      <c r="T33" s="22" t="n">
        <v>0</v>
      </c>
      <c r="U33" s="22" t="n">
        <v>0</v>
      </c>
      <c r="V33" s="17" t="n">
        <v>0</v>
      </c>
      <c r="W33" s="25" t="n">
        <v>0</v>
      </c>
      <c r="X33" s="25" t="n">
        <v>0</v>
      </c>
      <c r="Y33" s="25" t="n">
        <v>0</v>
      </c>
      <c r="Z33" s="22" t="n">
        <v>0</v>
      </c>
      <c r="AA33" s="22" t="n">
        <v>0</v>
      </c>
      <c r="AB33" s="25" t="n">
        <v>0</v>
      </c>
      <c r="AC33" s="25" t="n">
        <v>0</v>
      </c>
      <c r="AD33" s="25" t="n">
        <v>0</v>
      </c>
      <c r="AE33" s="21" t="n">
        <v>0</v>
      </c>
      <c r="AF33" s="22" t="n">
        <v>0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5" t="n">
        <v>216</v>
      </c>
      <c r="J34" s="15" t="n">
        <v>395</v>
      </c>
      <c r="K34" s="15" t="n">
        <v>148</v>
      </c>
      <c r="L34" s="15" t="n">
        <v>90</v>
      </c>
      <c r="M34" s="19" t="n">
        <v/>
      </c>
      <c r="N34" s="19" t="n">
        <v/>
      </c>
      <c r="O34" s="19" t="n">
        <v/>
      </c>
      <c r="P34" s="19" t="n">
        <v>0.9006950207493311</v>
      </c>
      <c r="Q34" s="20" t="n">
        <v>9.794380796581938</v>
      </c>
      <c r="R34" s="20" t="n">
        <v/>
      </c>
      <c r="S34" s="20" t="n">
        <v>0</v>
      </c>
      <c r="T34" s="20" t="n">
        <v>0</v>
      </c>
      <c r="U34" s="20" t="n">
        <v>0</v>
      </c>
      <c r="V34" s="15" t="n">
        <v>0</v>
      </c>
      <c r="W34" s="24" t="n">
        <v>0</v>
      </c>
      <c r="X34" s="24" t="n">
        <v>0</v>
      </c>
      <c r="Y34" s="24" t="n">
        <v>0</v>
      </c>
      <c r="Z34" s="20" t="n">
        <v>0</v>
      </c>
      <c r="AA34" s="20" t="n">
        <v>0</v>
      </c>
      <c r="AB34" s="24" t="n">
        <v>0</v>
      </c>
      <c r="AC34" s="24" t="n">
        <v>0</v>
      </c>
      <c r="AD34" s="24" t="n">
        <v>0</v>
      </c>
      <c r="AE34" s="19" t="n">
        <v>0</v>
      </c>
      <c r="AF34" s="20" t="n">
        <v>0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17" t="n">
        <v>216</v>
      </c>
      <c r="J35" s="17" t="n">
        <v>395</v>
      </c>
      <c r="K35" s="17" t="n">
        <v>147</v>
      </c>
      <c r="L35" s="17" t="n">
        <v>90</v>
      </c>
      <c r="M35" s="21" t="n">
        <v/>
      </c>
      <c r="N35" s="21" t="n">
        <v/>
      </c>
      <c r="O35" s="21" t="n">
        <v/>
      </c>
      <c r="P35" s="21" t="n">
        <v>0.8977560012134508</v>
      </c>
      <c r="Q35" s="22" t="n">
        <v>9.742838905655864</v>
      </c>
      <c r="R35" s="22" t="n">
        <v/>
      </c>
      <c r="S35" s="22" t="n">
        <v>0</v>
      </c>
      <c r="T35" s="22" t="n">
        <v>0</v>
      </c>
      <c r="U35" s="22" t="n">
        <v>0</v>
      </c>
      <c r="V35" s="17" t="n">
        <v>0</v>
      </c>
      <c r="W35" s="25" t="n">
        <v>0</v>
      </c>
      <c r="X35" s="25" t="n">
        <v>0</v>
      </c>
      <c r="Y35" s="25" t="n">
        <v>0</v>
      </c>
      <c r="Z35" s="22" t="n">
        <v>0</v>
      </c>
      <c r="AA35" s="22" t="n">
        <v>0</v>
      </c>
      <c r="AB35" s="25" t="n">
        <v>0</v>
      </c>
      <c r="AC35" s="25" t="n">
        <v>0</v>
      </c>
      <c r="AD35" s="25" t="n">
        <v>0</v>
      </c>
      <c r="AE35" s="21" t="n">
        <v>0</v>
      </c>
      <c r="AF35" s="22" t="n">
        <v>0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5" t="n">
        <v>216</v>
      </c>
      <c r="J36" s="15" t="n">
        <v>395</v>
      </c>
      <c r="K36" s="15" t="n">
        <v>146</v>
      </c>
      <c r="L36" s="15" t="n">
        <v>90</v>
      </c>
      <c r="M36" s="19" t="n">
        <v/>
      </c>
      <c r="N36" s="19" t="n">
        <v/>
      </c>
      <c r="O36" s="19" t="n">
        <v/>
      </c>
      <c r="P36" s="19" t="n">
        <v>0.8948265718669612</v>
      </c>
      <c r="Q36" s="20" t="n">
        <v>9.691128279991014</v>
      </c>
      <c r="R36" s="20" t="n">
        <v/>
      </c>
      <c r="S36" s="20" t="n">
        <v>0</v>
      </c>
      <c r="T36" s="20" t="n">
        <v>0</v>
      </c>
      <c r="U36" s="20" t="n">
        <v>0</v>
      </c>
      <c r="V36" s="15" t="n">
        <v>0</v>
      </c>
      <c r="W36" s="24" t="n">
        <v>0</v>
      </c>
      <c r="X36" s="24" t="n">
        <v>0</v>
      </c>
      <c r="Y36" s="24" t="n">
        <v>0</v>
      </c>
      <c r="Z36" s="20" t="n">
        <v>0</v>
      </c>
      <c r="AA36" s="20" t="n">
        <v>0</v>
      </c>
      <c r="AB36" s="24" t="n">
        <v>0</v>
      </c>
      <c r="AC36" s="24" t="n">
        <v>0</v>
      </c>
      <c r="AD36" s="24" t="n">
        <v>0</v>
      </c>
      <c r="AE36" s="19" t="n">
        <v>0</v>
      </c>
      <c r="AF36" s="20" t="n">
        <v>0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17" t="n">
        <v>216</v>
      </c>
      <c r="J37" s="17" t="n">
        <v>395</v>
      </c>
      <c r="K37" s="17" t="n">
        <v>145</v>
      </c>
      <c r="L37" s="17" t="n">
        <v>90</v>
      </c>
      <c r="M37" s="21" t="n">
        <v/>
      </c>
      <c r="N37" s="21" t="n">
        <v/>
      </c>
      <c r="O37" s="21" t="n">
        <v/>
      </c>
      <c r="P37" s="21" t="n">
        <v>0.8919067014165242</v>
      </c>
      <c r="Q37" s="22" t="n">
        <v>9.639248367193764</v>
      </c>
      <c r="R37" s="22" t="n">
        <v/>
      </c>
      <c r="S37" s="22" t="n">
        <v>0</v>
      </c>
      <c r="T37" s="22" t="n">
        <v>0</v>
      </c>
      <c r="U37" s="22" t="n">
        <v>0</v>
      </c>
      <c r="V37" s="17" t="n">
        <v>0</v>
      </c>
      <c r="W37" s="25" t="n">
        <v>0</v>
      </c>
      <c r="X37" s="25" t="n">
        <v>0</v>
      </c>
      <c r="Y37" s="25" t="n">
        <v>0</v>
      </c>
      <c r="Z37" s="22" t="n">
        <v>0</v>
      </c>
      <c r="AA37" s="22" t="n">
        <v>0</v>
      </c>
      <c r="AB37" s="25" t="n">
        <v>0</v>
      </c>
      <c r="AC37" s="25" t="n">
        <v>0</v>
      </c>
      <c r="AD37" s="25" t="n">
        <v>0</v>
      </c>
      <c r="AE37" s="21" t="n">
        <v>0</v>
      </c>
      <c r="AF37" s="22" t="n">
        <v>0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5" t="n">
        <v>216</v>
      </c>
      <c r="J38" s="15" t="n">
        <v>395</v>
      </c>
      <c r="K38" s="15" t="n">
        <v>144</v>
      </c>
      <c r="L38" s="15" t="n">
        <v>90</v>
      </c>
      <c r="M38" s="19" t="n">
        <v/>
      </c>
      <c r="N38" s="19" t="n">
        <v/>
      </c>
      <c r="O38" s="19" t="n">
        <v/>
      </c>
      <c r="P38" s="19" t="n">
        <v>0.8889963586709132</v>
      </c>
      <c r="Q38" s="20" t="n">
        <v>9.587198613062091</v>
      </c>
      <c r="R38" s="20" t="n">
        <v/>
      </c>
      <c r="S38" s="20" t="n">
        <v>0</v>
      </c>
      <c r="T38" s="20" t="n">
        <v>0</v>
      </c>
      <c r="U38" s="20" t="n">
        <v>0</v>
      </c>
      <c r="V38" s="15" t="n">
        <v>0</v>
      </c>
      <c r="W38" s="24" t="n">
        <v>0</v>
      </c>
      <c r="X38" s="24" t="n">
        <v>0</v>
      </c>
      <c r="Y38" s="24" t="n">
        <v>0</v>
      </c>
      <c r="Z38" s="20" t="n">
        <v>0</v>
      </c>
      <c r="AA38" s="20" t="n">
        <v>0</v>
      </c>
      <c r="AB38" s="24" t="n">
        <v>0</v>
      </c>
      <c r="AC38" s="24" t="n">
        <v>0</v>
      </c>
      <c r="AD38" s="24" t="n">
        <v>0</v>
      </c>
      <c r="AE38" s="19" t="n">
        <v>0</v>
      </c>
      <c r="AF38" s="20" t="n">
        <v>0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17" t="n">
        <v>216</v>
      </c>
      <c r="J39" s="17" t="n">
        <v>395</v>
      </c>
      <c r="K39" s="17" t="n">
        <v>143</v>
      </c>
      <c r="L39" s="17" t="n">
        <v>90</v>
      </c>
      <c r="M39" s="21" t="n">
        <v/>
      </c>
      <c r="N39" s="21" t="n">
        <v/>
      </c>
      <c r="O39" s="21" t="n">
        <v/>
      </c>
      <c r="P39" s="21" t="n">
        <v>0.8860955125406809</v>
      </c>
      <c r="Q39" s="22" t="n">
        <v>9.534978461579666</v>
      </c>
      <c r="R39" s="22" t="n">
        <v/>
      </c>
      <c r="S39" s="22" t="n">
        <v>0</v>
      </c>
      <c r="T39" s="22" t="n">
        <v>0</v>
      </c>
      <c r="U39" s="22" t="n">
        <v>0</v>
      </c>
      <c r="V39" s="17" t="n">
        <v>0</v>
      </c>
      <c r="W39" s="25" t="n">
        <v>0</v>
      </c>
      <c r="X39" s="25" t="n">
        <v>0</v>
      </c>
      <c r="Y39" s="25" t="n">
        <v>0</v>
      </c>
      <c r="Z39" s="22" t="n">
        <v>0</v>
      </c>
      <c r="AA39" s="22" t="n">
        <v>0</v>
      </c>
      <c r="AB39" s="25" t="n">
        <v>0</v>
      </c>
      <c r="AC39" s="25" t="n">
        <v>0</v>
      </c>
      <c r="AD39" s="25" t="n">
        <v>0</v>
      </c>
      <c r="AE39" s="21" t="n">
        <v>0</v>
      </c>
      <c r="AF39" s="22" t="n">
        <v>0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5" t="n">
        <v>216</v>
      </c>
      <c r="J40" s="15" t="n">
        <v>395</v>
      </c>
      <c r="K40" s="15" t="n">
        <v>142</v>
      </c>
      <c r="L40" s="15" t="n">
        <v>90</v>
      </c>
      <c r="M40" s="19" t="n">
        <v/>
      </c>
      <c r="N40" s="19" t="n">
        <v/>
      </c>
      <c r="O40" s="19" t="n">
        <v/>
      </c>
      <c r="P40" s="19" t="n">
        <v>0.8832041320378262</v>
      </c>
      <c r="Q40" s="20" t="n">
        <v>9.482587354909898</v>
      </c>
      <c r="R40" s="20" t="n">
        <v/>
      </c>
      <c r="S40" s="20" t="n">
        <v>0</v>
      </c>
      <c r="T40" s="20" t="n">
        <v>0</v>
      </c>
      <c r="U40" s="20" t="n">
        <v>0</v>
      </c>
      <c r="V40" s="15" t="n">
        <v>0</v>
      </c>
      <c r="W40" s="24" t="n">
        <v>0</v>
      </c>
      <c r="X40" s="24" t="n">
        <v>0</v>
      </c>
      <c r="Y40" s="24" t="n">
        <v>0</v>
      </c>
      <c r="Z40" s="20" t="n">
        <v>0</v>
      </c>
      <c r="AA40" s="20" t="n">
        <v>0</v>
      </c>
      <c r="AB40" s="24" t="n">
        <v>0</v>
      </c>
      <c r="AC40" s="24" t="n">
        <v>0</v>
      </c>
      <c r="AD40" s="24" t="n">
        <v>0</v>
      </c>
      <c r="AE40" s="19" t="n">
        <v>0</v>
      </c>
      <c r="AF40" s="20" t="n">
        <v>0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17" t="n">
        <v>216</v>
      </c>
      <c r="J41" s="17" t="n">
        <v>395</v>
      </c>
      <c r="K41" s="17" t="n">
        <v>141</v>
      </c>
      <c r="L41" s="17" t="n">
        <v>90</v>
      </c>
      <c r="M41" s="21" t="n">
        <v/>
      </c>
      <c r="N41" s="21" t="n">
        <v/>
      </c>
      <c r="O41" s="21" t="n">
        <v/>
      </c>
      <c r="P41" s="21" t="n">
        <v>0.8803221862754639</v>
      </c>
      <c r="Q41" s="22" t="n">
        <v>9.430024733389994</v>
      </c>
      <c r="R41" s="22" t="n">
        <v/>
      </c>
      <c r="S41" s="22" t="n">
        <v>0</v>
      </c>
      <c r="T41" s="22" t="n">
        <v>0</v>
      </c>
      <c r="U41" s="22" t="n">
        <v>0</v>
      </c>
      <c r="V41" s="17" t="n">
        <v>0</v>
      </c>
      <c r="W41" s="25" t="n">
        <v>0</v>
      </c>
      <c r="X41" s="25" t="n">
        <v>0</v>
      </c>
      <c r="Y41" s="25" t="n">
        <v>0</v>
      </c>
      <c r="Z41" s="22" t="n">
        <v>0</v>
      </c>
      <c r="AA41" s="22" t="n">
        <v>0</v>
      </c>
      <c r="AB41" s="25" t="n">
        <v>0</v>
      </c>
      <c r="AC41" s="25" t="n">
        <v>0</v>
      </c>
      <c r="AD41" s="25" t="n">
        <v>0</v>
      </c>
      <c r="AE41" s="21" t="n">
        <v>0</v>
      </c>
      <c r="AF41" s="22" t="n">
        <v>0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5" t="n">
        <v>216</v>
      </c>
      <c r="J42" s="15" t="n">
        <v>395</v>
      </c>
      <c r="K42" s="15" t="n">
        <v>140</v>
      </c>
      <c r="L42" s="15" t="n">
        <v>90</v>
      </c>
      <c r="M42" s="19" t="n">
        <v/>
      </c>
      <c r="N42" s="19" t="n">
        <v/>
      </c>
      <c r="O42" s="19" t="n">
        <v/>
      </c>
      <c r="P42" s="19" t="n">
        <v>0.8774496444674944</v>
      </c>
      <c r="Q42" s="20" t="n">
        <v>9.377290035524963</v>
      </c>
      <c r="R42" s="20" t="n">
        <v/>
      </c>
      <c r="S42" s="20" t="n">
        <v>0</v>
      </c>
      <c r="T42" s="20" t="n">
        <v>0</v>
      </c>
      <c r="U42" s="20" t="n">
        <v>0</v>
      </c>
      <c r="V42" s="15" t="n">
        <v>0</v>
      </c>
      <c r="W42" s="24" t="n">
        <v>0</v>
      </c>
      <c r="X42" s="24" t="n">
        <v>0</v>
      </c>
      <c r="Y42" s="24" t="n">
        <v>0</v>
      </c>
      <c r="Z42" s="20" t="n">
        <v>0</v>
      </c>
      <c r="AA42" s="20" t="n">
        <v>0</v>
      </c>
      <c r="AB42" s="24" t="n">
        <v>0</v>
      </c>
      <c r="AC42" s="24" t="n">
        <v>0</v>
      </c>
      <c r="AD42" s="24" t="n">
        <v>0</v>
      </c>
      <c r="AE42" s="19" t="n">
        <v>0</v>
      </c>
      <c r="AF42" s="20" t="n">
        <v>0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17" t="n">
        <v>216</v>
      </c>
      <c r="J43" s="17" t="n">
        <v>395</v>
      </c>
      <c r="K43" s="17" t="n">
        <v>139</v>
      </c>
      <c r="L43" s="17" t="n">
        <v>90</v>
      </c>
      <c r="M43" s="21" t="n">
        <v/>
      </c>
      <c r="N43" s="21" t="n">
        <v/>
      </c>
      <c r="O43" s="21" t="n">
        <v/>
      </c>
      <c r="P43" s="21" t="n">
        <v>0.8745864759282749</v>
      </c>
      <c r="Q43" s="22" t="n">
        <v>9.324382697981628</v>
      </c>
      <c r="R43" s="22" t="n">
        <v/>
      </c>
      <c r="S43" s="22" t="n">
        <v>0</v>
      </c>
      <c r="T43" s="22" t="n">
        <v>0</v>
      </c>
      <c r="U43" s="22" t="n">
        <v>0</v>
      </c>
      <c r="V43" s="17" t="n">
        <v>0</v>
      </c>
      <c r="W43" s="25" t="n">
        <v>0</v>
      </c>
      <c r="X43" s="25" t="n">
        <v>0</v>
      </c>
      <c r="Y43" s="25" t="n">
        <v>0</v>
      </c>
      <c r="Z43" s="22" t="n">
        <v>0</v>
      </c>
      <c r="AA43" s="22" t="n">
        <v>0</v>
      </c>
      <c r="AB43" s="25" t="n">
        <v>0</v>
      </c>
      <c r="AC43" s="25" t="n">
        <v>0</v>
      </c>
      <c r="AD43" s="25" t="n">
        <v>0</v>
      </c>
      <c r="AE43" s="21" t="n">
        <v>0</v>
      </c>
      <c r="AF43" s="22" t="n">
        <v>0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5" t="n">
        <v>216</v>
      </c>
      <c r="J44" s="15" t="n">
        <v>395</v>
      </c>
      <c r="K44" s="15" t="n">
        <v>138</v>
      </c>
      <c r="L44" s="15" t="n">
        <v>90</v>
      </c>
      <c r="M44" s="19" t="n">
        <v/>
      </c>
      <c r="N44" s="19" t="n">
        <v/>
      </c>
      <c r="O44" s="19" t="n">
        <v/>
      </c>
      <c r="P44" s="19" t="n">
        <v>0.8717326500722915</v>
      </c>
      <c r="Q44" s="20" t="n">
        <v>9.271302155582607</v>
      </c>
      <c r="R44" s="20" t="n">
        <v/>
      </c>
      <c r="S44" s="20" t="n">
        <v>0</v>
      </c>
      <c r="T44" s="20" t="n">
        <v>0</v>
      </c>
      <c r="U44" s="20" t="n">
        <v>0</v>
      </c>
      <c r="V44" s="15" t="n">
        <v>0</v>
      </c>
      <c r="W44" s="24" t="n">
        <v>0</v>
      </c>
      <c r="X44" s="24" t="n">
        <v>0</v>
      </c>
      <c r="Y44" s="24" t="n">
        <v>0</v>
      </c>
      <c r="Z44" s="20" t="n">
        <v>0</v>
      </c>
      <c r="AA44" s="20" t="n">
        <v>0</v>
      </c>
      <c r="AB44" s="24" t="n">
        <v>0</v>
      </c>
      <c r="AC44" s="24" t="n">
        <v>0</v>
      </c>
      <c r="AD44" s="24" t="n">
        <v>0</v>
      </c>
      <c r="AE44" s="19" t="n">
        <v>0</v>
      </c>
      <c r="AF44" s="20" t="n">
        <v>0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17" t="n">
        <v>216</v>
      </c>
      <c r="J45" s="17" t="n">
        <v>395</v>
      </c>
      <c r="K45" s="17" t="n">
        <v>137</v>
      </c>
      <c r="L45" s="17" t="n">
        <v>90</v>
      </c>
      <c r="M45" s="21" t="n">
        <v/>
      </c>
      <c r="N45" s="21" t="n">
        <v/>
      </c>
      <c r="O45" s="21" t="n">
        <v/>
      </c>
      <c r="P45" s="21" t="n">
        <v>0.8688881364138329</v>
      </c>
      <c r="Q45" s="22" t="n">
        <v>9.218047841300274</v>
      </c>
      <c r="R45" s="22" t="n">
        <v/>
      </c>
      <c r="S45" s="22" t="n">
        <v>0</v>
      </c>
      <c r="T45" s="22" t="n">
        <v>0</v>
      </c>
      <c r="U45" s="22" t="n">
        <v>0</v>
      </c>
      <c r="V45" s="17" t="n">
        <v>0</v>
      </c>
      <c r="W45" s="25" t="n">
        <v>0</v>
      </c>
      <c r="X45" s="25" t="n">
        <v>0</v>
      </c>
      <c r="Y45" s="25" t="n">
        <v>0</v>
      </c>
      <c r="Z45" s="22" t="n">
        <v>0</v>
      </c>
      <c r="AA45" s="22" t="n">
        <v>0</v>
      </c>
      <c r="AB45" s="25" t="n">
        <v>0</v>
      </c>
      <c r="AC45" s="25" t="n">
        <v>0</v>
      </c>
      <c r="AD45" s="25" t="n">
        <v>0</v>
      </c>
      <c r="AE45" s="21" t="n">
        <v>0</v>
      </c>
      <c r="AF45" s="22" t="n">
        <v>0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5" t="n">
        <v>216</v>
      </c>
      <c r="J46" s="15" t="n">
        <v>395</v>
      </c>
      <c r="K46" s="15" t="n">
        <v>136</v>
      </c>
      <c r="L46" s="15" t="n">
        <v>90</v>
      </c>
      <c r="M46" s="19" t="n">
        <v/>
      </c>
      <c r="N46" s="19" t="n">
        <v/>
      </c>
      <c r="O46" s="19" t="n">
        <v/>
      </c>
      <c r="P46" s="19" t="n">
        <v>0.8660529045666641</v>
      </c>
      <c r="Q46" s="20" t="n">
        <v>9.164619186250702</v>
      </c>
      <c r="R46" s="20" t="n">
        <v/>
      </c>
      <c r="S46" s="20" t="n">
        <v>0</v>
      </c>
      <c r="T46" s="20" t="n">
        <v>0</v>
      </c>
      <c r="U46" s="20" t="n">
        <v>0</v>
      </c>
      <c r="V46" s="15" t="n">
        <v>0</v>
      </c>
      <c r="W46" s="24" t="n">
        <v>0</v>
      </c>
      <c r="X46" s="24" t="n">
        <v>0</v>
      </c>
      <c r="Y46" s="24" t="n">
        <v>0</v>
      </c>
      <c r="Z46" s="20" t="n">
        <v>0</v>
      </c>
      <c r="AA46" s="20" t="n">
        <v>0</v>
      </c>
      <c r="AB46" s="24" t="n">
        <v>0</v>
      </c>
      <c r="AC46" s="24" t="n">
        <v>0</v>
      </c>
      <c r="AD46" s="24" t="n">
        <v>0</v>
      </c>
      <c r="AE46" s="19" t="n">
        <v>0</v>
      </c>
      <c r="AF46" s="20" t="n">
        <v>0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17" t="n">
        <v>216</v>
      </c>
      <c r="J47" s="17" t="n">
        <v>395</v>
      </c>
      <c r="K47" s="17" t="n">
        <v>135</v>
      </c>
      <c r="L47" s="17" t="n">
        <v>90</v>
      </c>
      <c r="M47" s="21" t="n">
        <v/>
      </c>
      <c r="N47" s="21" t="n">
        <v/>
      </c>
      <c r="O47" s="21" t="n">
        <v/>
      </c>
      <c r="P47" s="21" t="n">
        <v>0.8632269242437023</v>
      </c>
      <c r="Q47" s="22" t="n">
        <v>9.111015619687585</v>
      </c>
      <c r="R47" s="22" t="n">
        <v/>
      </c>
      <c r="S47" s="22" t="n">
        <v>0</v>
      </c>
      <c r="T47" s="22" t="n">
        <v>0</v>
      </c>
      <c r="U47" s="22" t="n">
        <v>0</v>
      </c>
      <c r="V47" s="17" t="n">
        <v>0</v>
      </c>
      <c r="W47" s="25" t="n">
        <v>0</v>
      </c>
      <c r="X47" s="25" t="n">
        <v>0</v>
      </c>
      <c r="Y47" s="25" t="n">
        <v>0</v>
      </c>
      <c r="Z47" s="22" t="n">
        <v>0</v>
      </c>
      <c r="AA47" s="22" t="n">
        <v>0</v>
      </c>
      <c r="AB47" s="25" t="n">
        <v>0</v>
      </c>
      <c r="AC47" s="25" t="n">
        <v>0</v>
      </c>
      <c r="AD47" s="25" t="n">
        <v>0</v>
      </c>
      <c r="AE47" s="21" t="n">
        <v>0</v>
      </c>
      <c r="AF47" s="22" t="n">
        <v>0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5" t="n">
        <v>216</v>
      </c>
      <c r="J48" s="15" t="n">
        <v>395</v>
      </c>
      <c r="K48" s="15" t="n">
        <v>134</v>
      </c>
      <c r="L48" s="15" t="n">
        <v>90</v>
      </c>
      <c r="M48" s="19" t="n">
        <v/>
      </c>
      <c r="N48" s="19" t="n">
        <v/>
      </c>
      <c r="O48" s="19" t="n">
        <v/>
      </c>
      <c r="P48" s="19" t="n">
        <v>0.8604101652566931</v>
      </c>
      <c r="Q48" s="20" t="n">
        <v>9.05723656899614</v>
      </c>
      <c r="R48" s="20" t="n">
        <v/>
      </c>
      <c r="S48" s="20" t="n">
        <v>0</v>
      </c>
      <c r="T48" s="20" t="n">
        <v>0</v>
      </c>
      <c r="U48" s="20" t="n">
        <v>0</v>
      </c>
      <c r="V48" s="15" t="n">
        <v>0</v>
      </c>
      <c r="W48" s="24" t="n">
        <v>0</v>
      </c>
      <c r="X48" s="24" t="n">
        <v>0</v>
      </c>
      <c r="Y48" s="24" t="n">
        <v>0</v>
      </c>
      <c r="Z48" s="20" t="n">
        <v>0</v>
      </c>
      <c r="AA48" s="20" t="n">
        <v>0</v>
      </c>
      <c r="AB48" s="24" t="n">
        <v>0</v>
      </c>
      <c r="AC48" s="24" t="n">
        <v>0</v>
      </c>
      <c r="AD48" s="24" t="n">
        <v>0</v>
      </c>
      <c r="AE48" s="19" t="n">
        <v>0</v>
      </c>
      <c r="AF48" s="20" t="n">
        <v>0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17" t="n">
        <v>216</v>
      </c>
      <c r="J49" s="17" t="n">
        <v>395</v>
      </c>
      <c r="K49" s="17" t="n">
        <v>133</v>
      </c>
      <c r="L49" s="17" t="n">
        <v>90</v>
      </c>
      <c r="M49" s="21" t="n">
        <v/>
      </c>
      <c r="N49" s="21" t="n">
        <v/>
      </c>
      <c r="O49" s="21" t="n">
        <v/>
      </c>
      <c r="P49" s="21" t="n">
        <v>0.8576025975158882</v>
      </c>
      <c r="Q49" s="22" t="n">
        <v>9.003281459687001</v>
      </c>
      <c r="R49" s="22" t="n">
        <v/>
      </c>
      <c r="S49" s="22" t="n">
        <v>0</v>
      </c>
      <c r="T49" s="22" t="n">
        <v>0</v>
      </c>
      <c r="U49" s="22" t="n">
        <v>0</v>
      </c>
      <c r="V49" s="17" t="n">
        <v>0</v>
      </c>
      <c r="W49" s="25" t="n">
        <v>0</v>
      </c>
      <c r="X49" s="25" t="n">
        <v>0</v>
      </c>
      <c r="Y49" s="25" t="n">
        <v>0</v>
      </c>
      <c r="Z49" s="22" t="n">
        <v>0</v>
      </c>
      <c r="AA49" s="22" t="n">
        <v>0</v>
      </c>
      <c r="AB49" s="25" t="n">
        <v>0</v>
      </c>
      <c r="AC49" s="25" t="n">
        <v>0</v>
      </c>
      <c r="AD49" s="25" t="n">
        <v>0</v>
      </c>
      <c r="AE49" s="21" t="n">
        <v>0</v>
      </c>
      <c r="AF49" s="22" t="n">
        <v>0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5" t="n">
        <v>216</v>
      </c>
      <c r="J50" s="15" t="n">
        <v>395</v>
      </c>
      <c r="K50" s="15" t="n">
        <v>132</v>
      </c>
      <c r="L50" s="15" t="n">
        <v>90</v>
      </c>
      <c r="M50" s="19" t="n">
        <v/>
      </c>
      <c r="N50" s="19" t="n">
        <v/>
      </c>
      <c r="O50" s="19" t="n">
        <v/>
      </c>
      <c r="P50" s="19" t="n">
        <v>0.8548041910297238</v>
      </c>
      <c r="Q50" s="20" t="n">
        <v>8.94914971539006</v>
      </c>
      <c r="R50" s="20" t="n">
        <v/>
      </c>
      <c r="S50" s="20" t="n">
        <v>0</v>
      </c>
      <c r="T50" s="20" t="n">
        <v>0</v>
      </c>
      <c r="U50" s="20" t="n">
        <v>0</v>
      </c>
      <c r="V50" s="15" t="n">
        <v>0</v>
      </c>
      <c r="W50" s="24" t="n">
        <v>0</v>
      </c>
      <c r="X50" s="24" t="n">
        <v>0</v>
      </c>
      <c r="Y50" s="24" t="n">
        <v>0</v>
      </c>
      <c r="Z50" s="20" t="n">
        <v>0</v>
      </c>
      <c r="AA50" s="20" t="n">
        <v>0</v>
      </c>
      <c r="AB50" s="24" t="n">
        <v>0</v>
      </c>
      <c r="AC50" s="24" t="n">
        <v>0</v>
      </c>
      <c r="AD50" s="24" t="n">
        <v>0</v>
      </c>
      <c r="AE50" s="19" t="n">
        <v>0</v>
      </c>
      <c r="AF50" s="20" t="n">
        <v>0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17" t="n">
        <v>216</v>
      </c>
      <c r="J51" s="17" t="n">
        <v>395</v>
      </c>
      <c r="K51" s="17" t="n">
        <v>131</v>
      </c>
      <c r="L51" s="17" t="n">
        <v>90</v>
      </c>
      <c r="M51" s="21" t="n">
        <v/>
      </c>
      <c r="N51" s="21" t="n">
        <v/>
      </c>
      <c r="O51" s="21" t="n">
        <v/>
      </c>
      <c r="P51" s="21" t="n">
        <v>0.8520149159045004</v>
      </c>
      <c r="Q51" s="22" t="n">
        <v>8.894840757848339</v>
      </c>
      <c r="R51" s="22" t="n">
        <v/>
      </c>
      <c r="S51" s="22" t="n">
        <v>0</v>
      </c>
      <c r="T51" s="22" t="n">
        <v>0</v>
      </c>
      <c r="U51" s="22" t="n">
        <v>0</v>
      </c>
      <c r="V51" s="17" t="n">
        <v>0</v>
      </c>
      <c r="W51" s="25" t="n">
        <v>0</v>
      </c>
      <c r="X51" s="25" t="n">
        <v>0</v>
      </c>
      <c r="Y51" s="25" t="n">
        <v>0</v>
      </c>
      <c r="Z51" s="22" t="n">
        <v>0</v>
      </c>
      <c r="AA51" s="22" t="n">
        <v>0</v>
      </c>
      <c r="AB51" s="25" t="n">
        <v>0</v>
      </c>
      <c r="AC51" s="25" t="n">
        <v>0</v>
      </c>
      <c r="AD51" s="25" t="n">
        <v>0</v>
      </c>
      <c r="AE51" s="21" t="n">
        <v>0</v>
      </c>
      <c r="AF51" s="22" t="n">
        <v>0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5" t="n">
        <v>216</v>
      </c>
      <c r="J52" s="15" t="n">
        <v>395</v>
      </c>
      <c r="K52" s="15" t="n">
        <v>130</v>
      </c>
      <c r="L52" s="15" t="n">
        <v>90</v>
      </c>
      <c r="M52" s="19" t="n">
        <v/>
      </c>
      <c r="N52" s="19" t="n">
        <v/>
      </c>
      <c r="O52" s="19" t="n">
        <v/>
      </c>
      <c r="P52" s="19" t="n">
        <v>0.8492347423440632</v>
      </c>
      <c r="Q52" s="20" t="n">
        <v>8.840354006911783</v>
      </c>
      <c r="R52" s="20" t="n">
        <v/>
      </c>
      <c r="S52" s="20" t="n">
        <v>0</v>
      </c>
      <c r="T52" s="20" t="n">
        <v>0</v>
      </c>
      <c r="U52" s="20" t="n">
        <v>0</v>
      </c>
      <c r="V52" s="15" t="n">
        <v>0</v>
      </c>
      <c r="W52" s="24" t="n">
        <v>0</v>
      </c>
      <c r="X52" s="24" t="n">
        <v>0</v>
      </c>
      <c r="Y52" s="24" t="n">
        <v>0</v>
      </c>
      <c r="Z52" s="20" t="n">
        <v>0</v>
      </c>
      <c r="AA52" s="20" t="n">
        <v>0</v>
      </c>
      <c r="AB52" s="24" t="n">
        <v>0</v>
      </c>
      <c r="AC52" s="24" t="n">
        <v>0</v>
      </c>
      <c r="AD52" s="24" t="n">
        <v>0</v>
      </c>
      <c r="AE52" s="19" t="n">
        <v>0</v>
      </c>
      <c r="AF52" s="20" t="n">
        <v>0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17" t="n">
        <v>216</v>
      </c>
      <c r="J53" s="17" t="n">
        <v>395</v>
      </c>
      <c r="K53" s="17" t="n">
        <v>129</v>
      </c>
      <c r="L53" s="17" t="n">
        <v>90</v>
      </c>
      <c r="M53" s="21" t="n">
        <v/>
      </c>
      <c r="N53" s="21" t="n">
        <v/>
      </c>
      <c r="O53" s="21" t="n">
        <v/>
      </c>
      <c r="P53" s="21" t="n">
        <v>0.846463640649484</v>
      </c>
      <c r="Q53" s="22" t="n">
        <v>8.78568888053108</v>
      </c>
      <c r="R53" s="22" t="n">
        <v/>
      </c>
      <c r="S53" s="22" t="n">
        <v>0</v>
      </c>
      <c r="T53" s="22" t="n">
        <v>0</v>
      </c>
      <c r="U53" s="22" t="n">
        <v>0</v>
      </c>
      <c r="V53" s="17" t="n">
        <v>0</v>
      </c>
      <c r="W53" s="25" t="n">
        <v>0</v>
      </c>
      <c r="X53" s="25" t="n">
        <v>0</v>
      </c>
      <c r="Y53" s="25" t="n">
        <v>0</v>
      </c>
      <c r="Z53" s="22" t="n">
        <v>0</v>
      </c>
      <c r="AA53" s="22" t="n">
        <v>0</v>
      </c>
      <c r="AB53" s="25" t="n">
        <v>0</v>
      </c>
      <c r="AC53" s="25" t="n">
        <v>0</v>
      </c>
      <c r="AD53" s="25" t="n">
        <v>0</v>
      </c>
      <c r="AE53" s="21" t="n">
        <v>0</v>
      </c>
      <c r="AF53" s="22" t="n">
        <v>0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5" t="n">
        <v>216</v>
      </c>
      <c r="J54" s="15" t="n">
        <v>395</v>
      </c>
      <c r="K54" s="15" t="n">
        <v>128</v>
      </c>
      <c r="L54" s="15" t="n">
        <v>90</v>
      </c>
      <c r="M54" s="19" t="n">
        <v/>
      </c>
      <c r="N54" s="19" t="n">
        <v/>
      </c>
      <c r="O54" s="19" t="n">
        <v/>
      </c>
      <c r="P54" s="19" t="n">
        <v>0.8437015812187441</v>
      </c>
      <c r="Q54" s="20" t="n">
        <v>8.730844794751448</v>
      </c>
      <c r="R54" s="20" t="n">
        <v/>
      </c>
      <c r="S54" s="20" t="n">
        <v>0</v>
      </c>
      <c r="T54" s="20" t="n">
        <v>0</v>
      </c>
      <c r="U54" s="20" t="n">
        <v>0</v>
      </c>
      <c r="V54" s="15" t="n">
        <v>0</v>
      </c>
      <c r="W54" s="24" t="n">
        <v>0</v>
      </c>
      <c r="X54" s="24" t="n">
        <v>0</v>
      </c>
      <c r="Y54" s="24" t="n">
        <v>0</v>
      </c>
      <c r="Z54" s="20" t="n">
        <v>0</v>
      </c>
      <c r="AA54" s="20" t="n">
        <v>0</v>
      </c>
      <c r="AB54" s="24" t="n">
        <v>0</v>
      </c>
      <c r="AC54" s="24" t="n">
        <v>0</v>
      </c>
      <c r="AD54" s="24" t="n">
        <v>0</v>
      </c>
      <c r="AE54" s="19" t="n">
        <v>0</v>
      </c>
      <c r="AF54" s="20" t="n">
        <v>0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17" t="n">
        <v>216</v>
      </c>
      <c r="J55" s="17" t="n">
        <v>395</v>
      </c>
      <c r="K55" s="17" t="n">
        <v>127</v>
      </c>
      <c r="L55" s="17" t="n">
        <v>90</v>
      </c>
      <c r="M55" s="21" t="n">
        <v/>
      </c>
      <c r="N55" s="21" t="n">
        <v/>
      </c>
      <c r="O55" s="21" t="n">
        <v/>
      </c>
      <c r="P55" s="21" t="n">
        <v>0.8409485345464176</v>
      </c>
      <c r="Q55" s="22" t="n">
        <v>8.675821163706379</v>
      </c>
      <c r="R55" s="22" t="n">
        <v/>
      </c>
      <c r="S55" s="22" t="n">
        <v>0</v>
      </c>
      <c r="T55" s="22" t="n">
        <v>0</v>
      </c>
      <c r="U55" s="22" t="n">
        <v>0</v>
      </c>
      <c r="V55" s="17" t="n">
        <v>0</v>
      </c>
      <c r="W55" s="25" t="n">
        <v>0</v>
      </c>
      <c r="X55" s="25" t="n">
        <v>0</v>
      </c>
      <c r="Y55" s="25" t="n">
        <v>0</v>
      </c>
      <c r="Z55" s="22" t="n">
        <v>0</v>
      </c>
      <c r="AA55" s="22" t="n">
        <v>0</v>
      </c>
      <c r="AB55" s="25" t="n">
        <v>0</v>
      </c>
      <c r="AC55" s="25" t="n">
        <v>0</v>
      </c>
      <c r="AD55" s="25" t="n">
        <v>0</v>
      </c>
      <c r="AE55" s="21" t="n">
        <v>0</v>
      </c>
      <c r="AF55" s="22" t="n">
        <v>0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5" t="n">
        <v>216</v>
      </c>
      <c r="J56" s="15" t="n">
        <v>395</v>
      </c>
      <c r="K56" s="15" t="n">
        <v>126</v>
      </c>
      <c r="L56" s="15" t="n">
        <v>90</v>
      </c>
      <c r="M56" s="19" t="n">
        <v/>
      </c>
      <c r="N56" s="19" t="n">
        <v/>
      </c>
      <c r="O56" s="19" t="n">
        <v/>
      </c>
      <c r="P56" s="19" t="n">
        <v>0.8382044712233567</v>
      </c>
      <c r="Q56" s="20" t="n">
        <v>8.620617399611396</v>
      </c>
      <c r="R56" s="20" t="n">
        <v/>
      </c>
      <c r="S56" s="20" t="n">
        <v>0</v>
      </c>
      <c r="T56" s="20" t="n">
        <v>0</v>
      </c>
      <c r="U56" s="20" t="n">
        <v>0</v>
      </c>
      <c r="V56" s="15" t="n">
        <v>0</v>
      </c>
      <c r="W56" s="24" t="n">
        <v>0</v>
      </c>
      <c r="X56" s="24" t="n">
        <v>0</v>
      </c>
      <c r="Y56" s="24" t="n">
        <v>0</v>
      </c>
      <c r="Z56" s="20" t="n">
        <v>0</v>
      </c>
      <c r="AA56" s="20" t="n">
        <v>0</v>
      </c>
      <c r="AB56" s="24" t="n">
        <v>0</v>
      </c>
      <c r="AC56" s="24" t="n">
        <v>0</v>
      </c>
      <c r="AD56" s="24" t="n">
        <v>0</v>
      </c>
      <c r="AE56" s="19" t="n">
        <v>0</v>
      </c>
      <c r="AF56" s="20" t="n">
        <v>0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17" t="n">
        <v>216</v>
      </c>
      <c r="J57" s="17" t="n">
        <v>395</v>
      </c>
      <c r="K57" s="17" t="n">
        <v>125</v>
      </c>
      <c r="L57" s="17" t="n">
        <v>90</v>
      </c>
      <c r="M57" s="21" t="n">
        <v/>
      </c>
      <c r="N57" s="21" t="n">
        <v/>
      </c>
      <c r="O57" s="21" t="n">
        <v/>
      </c>
      <c r="P57" s="21" t="n">
        <v>0.8354693619363772</v>
      </c>
      <c r="Q57" s="22" t="n">
        <v>8.565232912757772</v>
      </c>
      <c r="R57" s="22" t="n">
        <v/>
      </c>
      <c r="S57" s="22" t="n">
        <v>0</v>
      </c>
      <c r="T57" s="22" t="n">
        <v>0</v>
      </c>
      <c r="U57" s="22" t="n">
        <v>0</v>
      </c>
      <c r="V57" s="17" t="n">
        <v>0</v>
      </c>
      <c r="W57" s="25" t="n">
        <v>0</v>
      </c>
      <c r="X57" s="25" t="n">
        <v>0</v>
      </c>
      <c r="Y57" s="25" t="n">
        <v>0</v>
      </c>
      <c r="Z57" s="22" t="n">
        <v>0</v>
      </c>
      <c r="AA57" s="22" t="n">
        <v>0</v>
      </c>
      <c r="AB57" s="25" t="n">
        <v>0</v>
      </c>
      <c r="AC57" s="25" t="n">
        <v>0</v>
      </c>
      <c r="AD57" s="25" t="n">
        <v>0</v>
      </c>
      <c r="AE57" s="21" t="n">
        <v>0</v>
      </c>
      <c r="AF57" s="22" t="n">
        <v>0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5" t="n">
        <v>216</v>
      </c>
      <c r="J58" s="15" t="n">
        <v>395</v>
      </c>
      <c r="K58" s="15" t="n">
        <v>124</v>
      </c>
      <c r="L58" s="15" t="n">
        <v>90</v>
      </c>
      <c r="M58" s="19" t="n">
        <v/>
      </c>
      <c r="N58" s="19" t="n">
        <v/>
      </c>
      <c r="O58" s="19" t="n">
        <v/>
      </c>
      <c r="P58" s="19" t="n">
        <v>0.8327431774679457</v>
      </c>
      <c r="Q58" s="20" t="n">
        <v>8.509667111506218</v>
      </c>
      <c r="R58" s="20" t="n">
        <v/>
      </c>
      <c r="S58" s="20" t="n">
        <v>0</v>
      </c>
      <c r="T58" s="20" t="n">
        <v>0</v>
      </c>
      <c r="U58" s="20" t="n">
        <v>0</v>
      </c>
      <c r="V58" s="15" t="n">
        <v>0</v>
      </c>
      <c r="W58" s="24" t="n">
        <v>0</v>
      </c>
      <c r="X58" s="24" t="n">
        <v>0</v>
      </c>
      <c r="Y58" s="24" t="n">
        <v>0</v>
      </c>
      <c r="Z58" s="20" t="n">
        <v>0</v>
      </c>
      <c r="AA58" s="20" t="n">
        <v>0</v>
      </c>
      <c r="AB58" s="24" t="n">
        <v>0</v>
      </c>
      <c r="AC58" s="24" t="n">
        <v>0</v>
      </c>
      <c r="AD58" s="24" t="n">
        <v>0</v>
      </c>
      <c r="AE58" s="19" t="n">
        <v>0</v>
      </c>
      <c r="AF58" s="20" t="n">
        <v>0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17" t="n">
        <v>216</v>
      </c>
      <c r="J59" s="17" t="n">
        <v>395</v>
      </c>
      <c r="K59" s="17" t="n">
        <v>123</v>
      </c>
      <c r="L59" s="17" t="n">
        <v>90</v>
      </c>
      <c r="M59" s="21" t="n">
        <v/>
      </c>
      <c r="N59" s="21" t="n">
        <v/>
      </c>
      <c r="O59" s="21" t="n">
        <v/>
      </c>
      <c r="P59" s="21" t="n">
        <v>0.830025888695867</v>
      </c>
      <c r="Q59" s="22" t="n">
        <v>8.453919402280574</v>
      </c>
      <c r="R59" s="22" t="n">
        <v/>
      </c>
      <c r="S59" s="22" t="n">
        <v>0</v>
      </c>
      <c r="T59" s="22" t="n">
        <v>0</v>
      </c>
      <c r="U59" s="22" t="n">
        <v>0</v>
      </c>
      <c r="V59" s="17" t="n">
        <v>0</v>
      </c>
      <c r="W59" s="25" t="n">
        <v>0</v>
      </c>
      <c r="X59" s="25" t="n">
        <v>0</v>
      </c>
      <c r="Y59" s="25" t="n">
        <v>0</v>
      </c>
      <c r="Z59" s="22" t="n">
        <v>0</v>
      </c>
      <c r="AA59" s="22" t="n">
        <v>0</v>
      </c>
      <c r="AB59" s="25" t="n">
        <v>0</v>
      </c>
      <c r="AC59" s="25" t="n">
        <v>0</v>
      </c>
      <c r="AD59" s="25" t="n">
        <v>0</v>
      </c>
      <c r="AE59" s="21" t="n">
        <v>0</v>
      </c>
      <c r="AF59" s="22" t="n">
        <v>0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5" t="n">
        <v>216</v>
      </c>
      <c r="J60" s="15" t="n">
        <v>395</v>
      </c>
      <c r="K60" s="15" t="n">
        <v>122</v>
      </c>
      <c r="L60" s="15" t="n">
        <v>90</v>
      </c>
      <c r="M60" s="19" t="n">
        <v/>
      </c>
      <c r="N60" s="19" t="n">
        <v/>
      </c>
      <c r="O60" s="19" t="n">
        <v/>
      </c>
      <c r="P60" s="19" t="n">
        <v>0.8273174665929736</v>
      </c>
      <c r="Q60" s="20" t="n">
        <v>8.397989189561473</v>
      </c>
      <c r="R60" s="20" t="n">
        <v/>
      </c>
      <c r="S60" s="20" t="n">
        <v>0</v>
      </c>
      <c r="T60" s="20" t="n">
        <v>0</v>
      </c>
      <c r="U60" s="20" t="n">
        <v>0</v>
      </c>
      <c r="V60" s="15" t="n">
        <v>0</v>
      </c>
      <c r="W60" s="24" t="n">
        <v>0</v>
      </c>
      <c r="X60" s="24" t="n">
        <v>0</v>
      </c>
      <c r="Y60" s="24" t="n">
        <v>0</v>
      </c>
      <c r="Z60" s="20" t="n">
        <v>0</v>
      </c>
      <c r="AA60" s="20" t="n">
        <v>0</v>
      </c>
      <c r="AB60" s="24" t="n">
        <v>0</v>
      </c>
      <c r="AC60" s="24" t="n">
        <v>0</v>
      </c>
      <c r="AD60" s="24" t="n">
        <v>0</v>
      </c>
      <c r="AE60" s="19" t="n">
        <v>0</v>
      </c>
      <c r="AF60" s="20" t="n">
        <v>0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17" t="n">
        <v>216</v>
      </c>
      <c r="J61" s="17" t="n">
        <v>395</v>
      </c>
      <c r="K61" s="17" t="n">
        <v>121</v>
      </c>
      <c r="L61" s="17" t="n">
        <v>90</v>
      </c>
      <c r="M61" s="21" t="n">
        <v/>
      </c>
      <c r="N61" s="21" t="n">
        <v/>
      </c>
      <c r="O61" s="21" t="n">
        <v/>
      </c>
      <c r="P61" s="21" t="n">
        <v>0.824617882226815</v>
      </c>
      <c r="Q61" s="22" t="n">
        <v>8.341875875879969</v>
      </c>
      <c r="R61" s="22" t="n">
        <v/>
      </c>
      <c r="S61" s="22" t="n">
        <v>0</v>
      </c>
      <c r="T61" s="22" t="n">
        <v>0</v>
      </c>
      <c r="U61" s="22" t="n">
        <v>0</v>
      </c>
      <c r="V61" s="17" t="n">
        <v>0</v>
      </c>
      <c r="W61" s="25" t="n">
        <v>0</v>
      </c>
      <c r="X61" s="25" t="n">
        <v>0</v>
      </c>
      <c r="Y61" s="25" t="n">
        <v>0</v>
      </c>
      <c r="Z61" s="22" t="n">
        <v>0</v>
      </c>
      <c r="AA61" s="22" t="n">
        <v>0</v>
      </c>
      <c r="AB61" s="25" t="n">
        <v>0</v>
      </c>
      <c r="AC61" s="25" t="n">
        <v>0</v>
      </c>
      <c r="AD61" s="25" t="n">
        <v>0</v>
      </c>
      <c r="AE61" s="21" t="n">
        <v>0</v>
      </c>
      <c r="AF61" s="22" t="n">
        <v>0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5" t="n">
        <v>216</v>
      </c>
      <c r="J62" s="15" t="n">
        <v>395</v>
      </c>
      <c r="K62" s="15" t="n">
        <v>120</v>
      </c>
      <c r="L62" s="15" t="n">
        <v>90</v>
      </c>
      <c r="M62" s="19" t="n">
        <v/>
      </c>
      <c r="N62" s="19" t="n">
        <v/>
      </c>
      <c r="O62" s="19" t="n">
        <v/>
      </c>
      <c r="P62" s="19" t="n">
        <v>0.8219271067593492</v>
      </c>
      <c r="Q62" s="20" t="n">
        <v>8.285578861811151</v>
      </c>
      <c r="R62" s="20" t="n">
        <v/>
      </c>
      <c r="S62" s="20" t="n">
        <v>0</v>
      </c>
      <c r="T62" s="20" t="n">
        <v>0</v>
      </c>
      <c r="U62" s="20" t="n">
        <v>0</v>
      </c>
      <c r="V62" s="15" t="n">
        <v>0</v>
      </c>
      <c r="W62" s="24" t="n">
        <v>0</v>
      </c>
      <c r="X62" s="24" t="n">
        <v>0</v>
      </c>
      <c r="Y62" s="24" t="n">
        <v>0</v>
      </c>
      <c r="Z62" s="20" t="n">
        <v>0</v>
      </c>
      <c r="AA62" s="20" t="n">
        <v>0</v>
      </c>
      <c r="AB62" s="24" t="n">
        <v>0</v>
      </c>
      <c r="AC62" s="24" t="n">
        <v>0</v>
      </c>
      <c r="AD62" s="24" t="n">
        <v>0</v>
      </c>
      <c r="AE62" s="19" t="n">
        <v>0</v>
      </c>
      <c r="AF62" s="20" t="n">
        <v>0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17" t="n">
        <v>216</v>
      </c>
      <c r="J63" s="17" t="n">
        <v>395</v>
      </c>
      <c r="K63" s="17" t="n">
        <v>119</v>
      </c>
      <c r="L63" s="17" t="n">
        <v>90</v>
      </c>
      <c r="M63" s="21" t="n">
        <v/>
      </c>
      <c r="N63" s="21" t="n">
        <v/>
      </c>
      <c r="O63" s="21" t="n">
        <v/>
      </c>
      <c r="P63" s="21" t="n">
        <v>0.8192451114466344</v>
      </c>
      <c r="Q63" s="22" t="n">
        <v>8.229097545967759</v>
      </c>
      <c r="R63" s="22" t="n">
        <v/>
      </c>
      <c r="S63" s="22" t="n">
        <v>0</v>
      </c>
      <c r="T63" s="22" t="n">
        <v>0</v>
      </c>
      <c r="U63" s="22" t="n">
        <v>0</v>
      </c>
      <c r="V63" s="17" t="n">
        <v>0</v>
      </c>
      <c r="W63" s="25" t="n">
        <v>0</v>
      </c>
      <c r="X63" s="25" t="n">
        <v>0</v>
      </c>
      <c r="Y63" s="25" t="n">
        <v>0</v>
      </c>
      <c r="Z63" s="22" t="n">
        <v>0</v>
      </c>
      <c r="AA63" s="22" t="n">
        <v>0</v>
      </c>
      <c r="AB63" s="25" t="n">
        <v>0</v>
      </c>
      <c r="AC63" s="25" t="n">
        <v>0</v>
      </c>
      <c r="AD63" s="25" t="n">
        <v>0</v>
      </c>
      <c r="AE63" s="21" t="n">
        <v>0</v>
      </c>
      <c r="AF63" s="22" t="n">
        <v>0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5" t="n">
        <v>216</v>
      </c>
      <c r="J64" s="15" t="n">
        <v>395</v>
      </c>
      <c r="K64" s="15" t="n">
        <v>118</v>
      </c>
      <c r="L64" s="15" t="n">
        <v>90</v>
      </c>
      <c r="M64" s="19" t="n">
        <v/>
      </c>
      <c r="N64" s="19" t="n">
        <v/>
      </c>
      <c r="O64" s="19" t="n">
        <v/>
      </c>
      <c r="P64" s="19" t="n">
        <v>0.8165718676385216</v>
      </c>
      <c r="Q64" s="20" t="n">
        <v>8.17243132499374</v>
      </c>
      <c r="R64" s="20" t="n">
        <v/>
      </c>
      <c r="S64" s="20" t="n">
        <v>0</v>
      </c>
      <c r="T64" s="20" t="n">
        <v>0</v>
      </c>
      <c r="U64" s="20" t="n">
        <v>0</v>
      </c>
      <c r="V64" s="15" t="n">
        <v>0</v>
      </c>
      <c r="W64" s="24" t="n">
        <v>0</v>
      </c>
      <c r="X64" s="24" t="n">
        <v>0</v>
      </c>
      <c r="Y64" s="24" t="n">
        <v>0</v>
      </c>
      <c r="Z64" s="20" t="n">
        <v>0</v>
      </c>
      <c r="AA64" s="20" t="n">
        <v>0</v>
      </c>
      <c r="AB64" s="24" t="n">
        <v>0</v>
      </c>
      <c r="AC64" s="24" t="n">
        <v>0</v>
      </c>
      <c r="AD64" s="24" t="n">
        <v>0</v>
      </c>
      <c r="AE64" s="19" t="n">
        <v>0</v>
      </c>
      <c r="AF64" s="20" t="n">
        <v>0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17" t="n">
        <v>216</v>
      </c>
      <c r="J65" s="17" t="n">
        <v>395</v>
      </c>
      <c r="K65" s="17" t="n">
        <v>117</v>
      </c>
      <c r="L65" s="17" t="n">
        <v>90</v>
      </c>
      <c r="M65" s="21" t="n">
        <v/>
      </c>
      <c r="N65" s="21" t="n">
        <v/>
      </c>
      <c r="O65" s="21" t="n">
        <v/>
      </c>
      <c r="P65" s="21" t="n">
        <v>0.8139073467783494</v>
      </c>
      <c r="Q65" s="22" t="n">
        <v>8.115579593557811</v>
      </c>
      <c r="R65" s="22" t="n">
        <v/>
      </c>
      <c r="S65" s="22" t="n">
        <v>0</v>
      </c>
      <c r="T65" s="22" t="n">
        <v>0</v>
      </c>
      <c r="U65" s="22" t="n">
        <v>0</v>
      </c>
      <c r="V65" s="17" t="n">
        <v>0</v>
      </c>
      <c r="W65" s="25" t="n">
        <v>0</v>
      </c>
      <c r="X65" s="25" t="n">
        <v>0</v>
      </c>
      <c r="Y65" s="25" t="n">
        <v>0</v>
      </c>
      <c r="Z65" s="22" t="n">
        <v>0</v>
      </c>
      <c r="AA65" s="22" t="n">
        <v>0</v>
      </c>
      <c r="AB65" s="25" t="n">
        <v>0</v>
      </c>
      <c r="AC65" s="25" t="n">
        <v>0</v>
      </c>
      <c r="AD65" s="25" t="n">
        <v>0</v>
      </c>
      <c r="AE65" s="21" t="n">
        <v>0</v>
      </c>
      <c r="AF65" s="22" t="n">
        <v>0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5" t="n">
        <v>216</v>
      </c>
      <c r="J66" s="15" t="n">
        <v>395</v>
      </c>
      <c r="K66" s="15" t="n">
        <v>116</v>
      </c>
      <c r="L66" s="15" t="n">
        <v>90</v>
      </c>
      <c r="M66" s="19" t="n">
        <v/>
      </c>
      <c r="N66" s="19" t="n">
        <v/>
      </c>
      <c r="O66" s="19" t="n">
        <v/>
      </c>
      <c r="P66" s="19" t="n">
        <v>0.8112515204026379</v>
      </c>
      <c r="Q66" s="20" t="n">
        <v>8.058541744346995</v>
      </c>
      <c r="R66" s="20" t="n">
        <v/>
      </c>
      <c r="S66" s="20" t="n">
        <v>0</v>
      </c>
      <c r="T66" s="20" t="n">
        <v>0</v>
      </c>
      <c r="U66" s="20" t="n">
        <v>0</v>
      </c>
      <c r="V66" s="15" t="n">
        <v>0</v>
      </c>
      <c r="W66" s="24" t="n">
        <v>0</v>
      </c>
      <c r="X66" s="24" t="n">
        <v>0</v>
      </c>
      <c r="Y66" s="24" t="n">
        <v>0</v>
      </c>
      <c r="Z66" s="20" t="n">
        <v>0</v>
      </c>
      <c r="AA66" s="20" t="n">
        <v>0</v>
      </c>
      <c r="AB66" s="24" t="n">
        <v>0</v>
      </c>
      <c r="AC66" s="24" t="n">
        <v>0</v>
      </c>
      <c r="AD66" s="24" t="n">
        <v>0</v>
      </c>
      <c r="AE66" s="19" t="n">
        <v>0</v>
      </c>
      <c r="AF66" s="20" t="n">
        <v>0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17" t="n">
        <v>216</v>
      </c>
      <c r="J67" s="17" t="n">
        <v>395</v>
      </c>
      <c r="K67" s="17" t="n">
        <v>115</v>
      </c>
      <c r="L67" s="17" t="n">
        <v>90</v>
      </c>
      <c r="M67" s="21" t="n">
        <v/>
      </c>
      <c r="N67" s="21" t="n">
        <v/>
      </c>
      <c r="O67" s="21" t="n">
        <v/>
      </c>
      <c r="P67" s="21" t="n">
        <v>0.8086043601407855</v>
      </c>
      <c r="Q67" s="22" t="n">
        <v>8.001317168060122</v>
      </c>
      <c r="R67" s="22" t="n">
        <v/>
      </c>
      <c r="S67" s="22" t="n">
        <v>0</v>
      </c>
      <c r="T67" s="22" t="n">
        <v>0</v>
      </c>
      <c r="U67" s="22" t="n">
        <v>0</v>
      </c>
      <c r="V67" s="17" t="n">
        <v>0</v>
      </c>
      <c r="W67" s="25" t="n">
        <v>0</v>
      </c>
      <c r="X67" s="25" t="n">
        <v>0</v>
      </c>
      <c r="Y67" s="25" t="n">
        <v>0</v>
      </c>
      <c r="Z67" s="22" t="n">
        <v>0</v>
      </c>
      <c r="AA67" s="22" t="n">
        <v>0</v>
      </c>
      <c r="AB67" s="25" t="n">
        <v>0</v>
      </c>
      <c r="AC67" s="25" t="n">
        <v>0</v>
      </c>
      <c r="AD67" s="25" t="n">
        <v>0</v>
      </c>
      <c r="AE67" s="21" t="n">
        <v>0</v>
      </c>
      <c r="AF67" s="22" t="n">
        <v>0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5" t="n">
        <v>216</v>
      </c>
      <c r="J68" s="15" t="n">
        <v>395</v>
      </c>
      <c r="K68" s="15" t="n">
        <v>114</v>
      </c>
      <c r="L68" s="15" t="n">
        <v>90</v>
      </c>
      <c r="M68" s="19" t="n">
        <v/>
      </c>
      <c r="N68" s="19" t="n">
        <v/>
      </c>
      <c r="O68" s="19" t="n">
        <v/>
      </c>
      <c r="P68" s="19" t="n">
        <v>0.8059658377147654</v>
      </c>
      <c r="Q68" s="20" t="n">
        <v>7.943905253401343</v>
      </c>
      <c r="R68" s="20" t="n">
        <v/>
      </c>
      <c r="S68" s="20" t="n">
        <v>0</v>
      </c>
      <c r="T68" s="20" t="n">
        <v>0</v>
      </c>
      <c r="U68" s="20" t="n">
        <v>0</v>
      </c>
      <c r="V68" s="15" t="n">
        <v>0</v>
      </c>
      <c r="W68" s="24" t="n">
        <v>0</v>
      </c>
      <c r="X68" s="24" t="n">
        <v>0</v>
      </c>
      <c r="Y68" s="24" t="n">
        <v>0</v>
      </c>
      <c r="Z68" s="20" t="n">
        <v>0</v>
      </c>
      <c r="AA68" s="20" t="n">
        <v>0</v>
      </c>
      <c r="AB68" s="24" t="n">
        <v>0</v>
      </c>
      <c r="AC68" s="24" t="n">
        <v>0</v>
      </c>
      <c r="AD68" s="24" t="n">
        <v>0</v>
      </c>
      <c r="AE68" s="19" t="n">
        <v>0</v>
      </c>
      <c r="AF68" s="20" t="n">
        <v>0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17" t="n">
        <v>216</v>
      </c>
      <c r="J69" s="17" t="n">
        <v>395</v>
      </c>
      <c r="K69" s="17" t="n">
        <v>113</v>
      </c>
      <c r="L69" s="17" t="n">
        <v>90</v>
      </c>
      <c r="M69" s="21" t="n">
        <v/>
      </c>
      <c r="N69" s="21" t="n">
        <v/>
      </c>
      <c r="O69" s="21" t="n">
        <v/>
      </c>
      <c r="P69" s="21" t="n">
        <v>0.8033359249388236</v>
      </c>
      <c r="Q69" s="22" t="n">
        <v>7.886305387073572</v>
      </c>
      <c r="R69" s="22" t="n">
        <v/>
      </c>
      <c r="S69" s="22" t="n">
        <v>0</v>
      </c>
      <c r="T69" s="22" t="n">
        <v>0</v>
      </c>
      <c r="U69" s="22" t="n">
        <v>0</v>
      </c>
      <c r="V69" s="17" t="n">
        <v>0</v>
      </c>
      <c r="W69" s="25" t="n">
        <v>0</v>
      </c>
      <c r="X69" s="25" t="n">
        <v>0</v>
      </c>
      <c r="Y69" s="25" t="n">
        <v>0</v>
      </c>
      <c r="Z69" s="22" t="n">
        <v>0</v>
      </c>
      <c r="AA69" s="22" t="n">
        <v>0</v>
      </c>
      <c r="AB69" s="25" t="n">
        <v>0</v>
      </c>
      <c r="AC69" s="25" t="n">
        <v>0</v>
      </c>
      <c r="AD69" s="25" t="n">
        <v>0</v>
      </c>
      <c r="AE69" s="21" t="n">
        <v>0</v>
      </c>
      <c r="AF69" s="22" t="n">
        <v>0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5" t="n">
        <v>216</v>
      </c>
      <c r="J70" s="15" t="n">
        <v>395</v>
      </c>
      <c r="K70" s="15" t="n">
        <v>112</v>
      </c>
      <c r="L70" s="15" t="n">
        <v>90</v>
      </c>
      <c r="M70" s="19" t="n">
        <v/>
      </c>
      <c r="N70" s="19" t="n">
        <v/>
      </c>
      <c r="O70" s="19" t="n">
        <v/>
      </c>
      <c r="P70" s="19" t="n">
        <v>0.8007145937191779</v>
      </c>
      <c r="Q70" s="20" t="n">
        <v>7.828516953771953</v>
      </c>
      <c r="R70" s="20" t="n">
        <v/>
      </c>
      <c r="S70" s="20" t="n">
        <v>0</v>
      </c>
      <c r="T70" s="20" t="n">
        <v>0</v>
      </c>
      <c r="U70" s="20" t="n">
        <v>0</v>
      </c>
      <c r="V70" s="15" t="n">
        <v>0</v>
      </c>
      <c r="W70" s="24" t="n">
        <v>0</v>
      </c>
      <c r="X70" s="24" t="n">
        <v>0</v>
      </c>
      <c r="Y70" s="24" t="n">
        <v>0</v>
      </c>
      <c r="Z70" s="20" t="n">
        <v>0</v>
      </c>
      <c r="AA70" s="20" t="n">
        <v>0</v>
      </c>
      <c r="AB70" s="24" t="n">
        <v>0</v>
      </c>
      <c r="AC70" s="24" t="n">
        <v>0</v>
      </c>
      <c r="AD70" s="24" t="n">
        <v>0</v>
      </c>
      <c r="AE70" s="19" t="n">
        <v>0</v>
      </c>
      <c r="AF70" s="20" t="n">
        <v>0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17" t="n">
        <v>216</v>
      </c>
      <c r="J71" s="17" t="n">
        <v>395</v>
      </c>
      <c r="K71" s="17" t="n">
        <v>111</v>
      </c>
      <c r="L71" s="17" t="n">
        <v>90</v>
      </c>
      <c r="M71" s="21" t="n">
        <v/>
      </c>
      <c r="N71" s="21" t="n">
        <v/>
      </c>
      <c r="O71" s="21" t="n">
        <v/>
      </c>
      <c r="P71" s="21" t="n">
        <v>0.7981018160537175</v>
      </c>
      <c r="Q71" s="22" t="n">
        <v>7.770539336177286</v>
      </c>
      <c r="R71" s="22" t="n">
        <v/>
      </c>
      <c r="S71" s="22" t="n">
        <v>0</v>
      </c>
      <c r="T71" s="22" t="n">
        <v>0</v>
      </c>
      <c r="U71" s="22" t="n">
        <v>0</v>
      </c>
      <c r="V71" s="17" t="n">
        <v>0</v>
      </c>
      <c r="W71" s="25" t="n">
        <v>0</v>
      </c>
      <c r="X71" s="25" t="n">
        <v>0</v>
      </c>
      <c r="Y71" s="25" t="n">
        <v>0</v>
      </c>
      <c r="Z71" s="22" t="n">
        <v>0</v>
      </c>
      <c r="AA71" s="22" t="n">
        <v>0</v>
      </c>
      <c r="AB71" s="25" t="n">
        <v>0</v>
      </c>
      <c r="AC71" s="25" t="n">
        <v>0</v>
      </c>
      <c r="AD71" s="25" t="n">
        <v>0</v>
      </c>
      <c r="AE71" s="21" t="n">
        <v>0</v>
      </c>
      <c r="AF71" s="22" t="n">
        <v>0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5" t="n">
        <v>216</v>
      </c>
      <c r="J72" s="15" t="n">
        <v>395</v>
      </c>
      <c r="K72" s="15" t="n">
        <v>110</v>
      </c>
      <c r="L72" s="15" t="n">
        <v>90</v>
      </c>
      <c r="M72" s="19" t="n">
        <v/>
      </c>
      <c r="N72" s="19" t="n">
        <v/>
      </c>
      <c r="O72" s="19" t="n">
        <v/>
      </c>
      <c r="P72" s="19" t="n">
        <v>0.7954975640317047</v>
      </c>
      <c r="Q72" s="20" t="n">
        <v>7.712371914949421</v>
      </c>
      <c r="R72" s="20" t="n">
        <v/>
      </c>
      <c r="S72" s="20" t="n">
        <v>0</v>
      </c>
      <c r="T72" s="20" t="n">
        <v>0</v>
      </c>
      <c r="U72" s="20" t="n">
        <v>0</v>
      </c>
      <c r="V72" s="15" t="n">
        <v>0</v>
      </c>
      <c r="W72" s="24" t="n">
        <v>0</v>
      </c>
      <c r="X72" s="24" t="n">
        <v>0</v>
      </c>
      <c r="Y72" s="24" t="n">
        <v>0</v>
      </c>
      <c r="Z72" s="20" t="n">
        <v>0</v>
      </c>
      <c r="AA72" s="20" t="n">
        <v>0</v>
      </c>
      <c r="AB72" s="24" t="n">
        <v>0</v>
      </c>
      <c r="AC72" s="24" t="n">
        <v>0</v>
      </c>
      <c r="AD72" s="24" t="n">
        <v>0</v>
      </c>
      <c r="AE72" s="19" t="n">
        <v>0</v>
      </c>
      <c r="AF72" s="20" t="n">
        <v>0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17" t="n">
        <v>216</v>
      </c>
      <c r="J73" s="17" t="n">
        <v>395</v>
      </c>
      <c r="K73" s="17" t="n">
        <v>109</v>
      </c>
      <c r="L73" s="17" t="n">
        <v>90</v>
      </c>
      <c r="M73" s="21" t="n">
        <v/>
      </c>
      <c r="N73" s="21" t="n">
        <v/>
      </c>
      <c r="O73" s="21" t="n">
        <v/>
      </c>
      <c r="P73" s="21" t="n">
        <v>0.7929018098334754</v>
      </c>
      <c r="Q73" s="22" t="n">
        <v>7.654014068720655</v>
      </c>
      <c r="R73" s="22" t="n">
        <v/>
      </c>
      <c r="S73" s="22" t="n">
        <v>0</v>
      </c>
      <c r="T73" s="22" t="n">
        <v>0</v>
      </c>
      <c r="U73" s="22" t="n">
        <v>0</v>
      </c>
      <c r="V73" s="17" t="n">
        <v>0</v>
      </c>
      <c r="W73" s="25" t="n">
        <v>0</v>
      </c>
      <c r="X73" s="25" t="n">
        <v>0</v>
      </c>
      <c r="Y73" s="25" t="n">
        <v>0</v>
      </c>
      <c r="Z73" s="22" t="n">
        <v>0</v>
      </c>
      <c r="AA73" s="22" t="n">
        <v>0</v>
      </c>
      <c r="AB73" s="25" t="n">
        <v>0</v>
      </c>
      <c r="AC73" s="25" t="n">
        <v>0</v>
      </c>
      <c r="AD73" s="25" t="n">
        <v>0</v>
      </c>
      <c r="AE73" s="21" t="n">
        <v>0</v>
      </c>
      <c r="AF73" s="22" t="n">
        <v>0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5" t="n">
        <v>216</v>
      </c>
      <c r="J74" s="15" t="n">
        <v>395</v>
      </c>
      <c r="K74" s="15" t="n">
        <v>108</v>
      </c>
      <c r="L74" s="15" t="n">
        <v>90</v>
      </c>
      <c r="M74" s="19" t="n">
        <v/>
      </c>
      <c r="N74" s="19" t="n">
        <v/>
      </c>
      <c r="O74" s="19" t="n">
        <v/>
      </c>
      <c r="P74" s="19" t="n">
        <v>0.7903145257301429</v>
      </c>
      <c r="Q74" s="20" t="n">
        <v>7.595465174089086</v>
      </c>
      <c r="R74" s="20" t="n">
        <v/>
      </c>
      <c r="S74" s="20" t="n">
        <v>0</v>
      </c>
      <c r="T74" s="20" t="n">
        <v>0</v>
      </c>
      <c r="U74" s="20" t="n">
        <v>0</v>
      </c>
      <c r="V74" s="15" t="n">
        <v>0</v>
      </c>
      <c r="W74" s="24" t="n">
        <v>0</v>
      </c>
      <c r="X74" s="24" t="n">
        <v>0</v>
      </c>
      <c r="Y74" s="24" t="n">
        <v>0</v>
      </c>
      <c r="Z74" s="20" t="n">
        <v>0</v>
      </c>
      <c r="AA74" s="20" t="n">
        <v>0</v>
      </c>
      <c r="AB74" s="24" t="n">
        <v>0</v>
      </c>
      <c r="AC74" s="24" t="n">
        <v>0</v>
      </c>
      <c r="AD74" s="24" t="n">
        <v>0</v>
      </c>
      <c r="AE74" s="19" t="n">
        <v>0</v>
      </c>
      <c r="AF74" s="20" t="n">
        <v>0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17" t="n">
        <v>216</v>
      </c>
      <c r="J75" s="17" t="n">
        <v>395</v>
      </c>
      <c r="K75" s="17" t="n">
        <v>107</v>
      </c>
      <c r="L75" s="17" t="n">
        <v>90</v>
      </c>
      <c r="M75" s="21" t="n">
        <v/>
      </c>
      <c r="N75" s="21" t="n">
        <v/>
      </c>
      <c r="O75" s="21" t="n">
        <v/>
      </c>
      <c r="P75" s="21" t="n">
        <v>0.7877356840833017</v>
      </c>
      <c r="Q75" s="22" t="n">
        <v>7.536724605611957</v>
      </c>
      <c r="R75" s="22" t="n">
        <v/>
      </c>
      <c r="S75" s="22" t="n">
        <v>0</v>
      </c>
      <c r="T75" s="22" t="n">
        <v>0</v>
      </c>
      <c r="U75" s="22" t="n">
        <v>0</v>
      </c>
      <c r="V75" s="17" t="n">
        <v>0</v>
      </c>
      <c r="W75" s="25" t="n">
        <v>0</v>
      </c>
      <c r="X75" s="25" t="n">
        <v>0</v>
      </c>
      <c r="Y75" s="25" t="n">
        <v>0</v>
      </c>
      <c r="Z75" s="22" t="n">
        <v>0</v>
      </c>
      <c r="AA75" s="22" t="n">
        <v>0</v>
      </c>
      <c r="AB75" s="25" t="n">
        <v>0</v>
      </c>
      <c r="AC75" s="25" t="n">
        <v>0</v>
      </c>
      <c r="AD75" s="25" t="n">
        <v>0</v>
      </c>
      <c r="AE75" s="21" t="n">
        <v>0</v>
      </c>
      <c r="AF75" s="22" t="n">
        <v>0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5" t="n">
        <v>216</v>
      </c>
      <c r="J76" s="15" t="n">
        <v>395</v>
      </c>
      <c r="K76" s="15" t="n">
        <v>106</v>
      </c>
      <c r="L76" s="15" t="n">
        <v>90</v>
      </c>
      <c r="M76" s="19" t="n">
        <v/>
      </c>
      <c r="N76" s="19" t="n">
        <v/>
      </c>
      <c r="O76" s="19" t="n">
        <v/>
      </c>
      <c r="P76" s="19" t="n">
        <v>0.7851652573447319</v>
      </c>
      <c r="Q76" s="20" t="n">
        <v>7.477791735798978</v>
      </c>
      <c r="R76" s="20" t="n">
        <v/>
      </c>
      <c r="S76" s="20" t="n">
        <v>0</v>
      </c>
      <c r="T76" s="20" t="n">
        <v>0</v>
      </c>
      <c r="U76" s="20" t="n">
        <v>0</v>
      </c>
      <c r="V76" s="15" t="n">
        <v>0</v>
      </c>
      <c r="W76" s="24" t="n">
        <v>0</v>
      </c>
      <c r="X76" s="24" t="n">
        <v>0</v>
      </c>
      <c r="Y76" s="24" t="n">
        <v>0</v>
      </c>
      <c r="Z76" s="20" t="n">
        <v>0</v>
      </c>
      <c r="AA76" s="20" t="n">
        <v>0</v>
      </c>
      <c r="AB76" s="24" t="n">
        <v>0</v>
      </c>
      <c r="AC76" s="24" t="n">
        <v>0</v>
      </c>
      <c r="AD76" s="24" t="n">
        <v>0</v>
      </c>
      <c r="AE76" s="19" t="n">
        <v>0</v>
      </c>
      <c r="AF76" s="20" t="n">
        <v>0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17" t="n">
        <v>216</v>
      </c>
      <c r="J77" s="17" t="n">
        <v>395</v>
      </c>
      <c r="K77" s="17" t="n">
        <v>105</v>
      </c>
      <c r="L77" s="17" t="n">
        <v>90</v>
      </c>
      <c r="M77" s="21" t="n">
        <v/>
      </c>
      <c r="N77" s="21" t="n">
        <v/>
      </c>
      <c r="O77" s="21" t="n">
        <v/>
      </c>
      <c r="P77" s="21" t="n">
        <v>0.7826032180561047</v>
      </c>
      <c r="Q77" s="22" t="n">
        <v>7.418665935105611</v>
      </c>
      <c r="R77" s="22" t="n">
        <v/>
      </c>
      <c r="S77" s="22" t="n">
        <v>0</v>
      </c>
      <c r="T77" s="22" t="n">
        <v>0</v>
      </c>
      <c r="U77" s="22" t="n">
        <v>0</v>
      </c>
      <c r="V77" s="17" t="n">
        <v>0</v>
      </c>
      <c r="W77" s="25" t="n">
        <v>0</v>
      </c>
      <c r="X77" s="25" t="n">
        <v>0</v>
      </c>
      <c r="Y77" s="25" t="n">
        <v>0</v>
      </c>
      <c r="Z77" s="22" t="n">
        <v>0</v>
      </c>
      <c r="AA77" s="22" t="n">
        <v>0</v>
      </c>
      <c r="AB77" s="25" t="n">
        <v>0</v>
      </c>
      <c r="AC77" s="25" t="n">
        <v>0</v>
      </c>
      <c r="AD77" s="25" t="n">
        <v>0</v>
      </c>
      <c r="AE77" s="21" t="n">
        <v>0</v>
      </c>
      <c r="AF77" s="22" t="n">
        <v>0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5" t="n">
        <v>216</v>
      </c>
      <c r="J78" s="15" t="n">
        <v>395</v>
      </c>
      <c r="K78" s="15" t="n">
        <v>104</v>
      </c>
      <c r="L78" s="15" t="n">
        <v>90</v>
      </c>
      <c r="M78" s="19" t="n">
        <v/>
      </c>
      <c r="N78" s="19" t="n">
        <v/>
      </c>
      <c r="O78" s="19" t="n">
        <v/>
      </c>
      <c r="P78" s="19" t="n">
        <v>0.7800495388486898</v>
      </c>
      <c r="Q78" s="20" t="n">
        <v>7.359346571926362</v>
      </c>
      <c r="R78" s="20" t="n">
        <v/>
      </c>
      <c r="S78" s="20" t="n">
        <v>0</v>
      </c>
      <c r="T78" s="20" t="n">
        <v>0</v>
      </c>
      <c r="U78" s="20" t="n">
        <v>0</v>
      </c>
      <c r="V78" s="15" t="n">
        <v>0</v>
      </c>
      <c r="W78" s="24" t="n">
        <v>0</v>
      </c>
      <c r="X78" s="24" t="n">
        <v>0</v>
      </c>
      <c r="Y78" s="24" t="n">
        <v>0</v>
      </c>
      <c r="Z78" s="20" t="n">
        <v>0</v>
      </c>
      <c r="AA78" s="20" t="n">
        <v>0</v>
      </c>
      <c r="AB78" s="24" t="n">
        <v>0</v>
      </c>
      <c r="AC78" s="24" t="n">
        <v>0</v>
      </c>
      <c r="AD78" s="24" t="n">
        <v>0</v>
      </c>
      <c r="AE78" s="19" t="n">
        <v>0</v>
      </c>
      <c r="AF78" s="20" t="n">
        <v>0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17" t="n">
        <v>216</v>
      </c>
      <c r="J79" s="17" t="n">
        <v>395</v>
      </c>
      <c r="K79" s="17" t="n">
        <v>103</v>
      </c>
      <c r="L79" s="17" t="n">
        <v>90</v>
      </c>
      <c r="M79" s="21" t="n">
        <v/>
      </c>
      <c r="N79" s="21" t="n">
        <v/>
      </c>
      <c r="O79" s="21" t="n">
        <v/>
      </c>
      <c r="P79" s="21" t="n">
        <v>0.7775041924430625</v>
      </c>
      <c r="Q79" s="22" t="n">
        <v>7.299833012588016</v>
      </c>
      <c r="R79" s="22" t="n">
        <v/>
      </c>
      <c r="S79" s="22" t="n">
        <v>0</v>
      </c>
      <c r="T79" s="22" t="n">
        <v>0</v>
      </c>
      <c r="U79" s="22" t="n">
        <v>0</v>
      </c>
      <c r="V79" s="17" t="n">
        <v>0</v>
      </c>
      <c r="W79" s="25" t="n">
        <v>0</v>
      </c>
      <c r="X79" s="25" t="n">
        <v>0</v>
      </c>
      <c r="Y79" s="25" t="n">
        <v>0</v>
      </c>
      <c r="Z79" s="22" t="n">
        <v>0</v>
      </c>
      <c r="AA79" s="22" t="n">
        <v>0</v>
      </c>
      <c r="AB79" s="25" t="n">
        <v>0</v>
      </c>
      <c r="AC79" s="25" t="n">
        <v>0</v>
      </c>
      <c r="AD79" s="25" t="n">
        <v>0</v>
      </c>
      <c r="AE79" s="21" t="n">
        <v>0</v>
      </c>
      <c r="AF79" s="22" t="n">
        <v>0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5" t="n">
        <v>216</v>
      </c>
      <c r="J80" s="15" t="n">
        <v>395</v>
      </c>
      <c r="K80" s="15" t="n">
        <v>102</v>
      </c>
      <c r="L80" s="15" t="n">
        <v>90</v>
      </c>
      <c r="M80" s="19" t="n">
        <v/>
      </c>
      <c r="N80" s="19" t="n">
        <v/>
      </c>
      <c r="O80" s="19" t="n">
        <v/>
      </c>
      <c r="P80" s="19" t="n">
        <v>0.7749671516488124</v>
      </c>
      <c r="Q80" s="20" t="n">
        <v>7.240124621342883</v>
      </c>
      <c r="R80" s="20" t="n">
        <v/>
      </c>
      <c r="S80" s="20" t="n">
        <v>0</v>
      </c>
      <c r="T80" s="20" t="n">
        <v>0</v>
      </c>
      <c r="U80" s="20" t="n">
        <v>0</v>
      </c>
      <c r="V80" s="15" t="n">
        <v>0</v>
      </c>
      <c r="W80" s="24" t="n">
        <v>0</v>
      </c>
      <c r="X80" s="24" t="n">
        <v>0</v>
      </c>
      <c r="Y80" s="24" t="n">
        <v>0</v>
      </c>
      <c r="Z80" s="20" t="n">
        <v>0</v>
      </c>
      <c r="AA80" s="20" t="n">
        <v>0</v>
      </c>
      <c r="AB80" s="24" t="n">
        <v>0</v>
      </c>
      <c r="AC80" s="24" t="n">
        <v>0</v>
      </c>
      <c r="AD80" s="24" t="n">
        <v>0</v>
      </c>
      <c r="AE80" s="19" t="n">
        <v>0</v>
      </c>
      <c r="AF80" s="20" t="n">
        <v>0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17" t="n">
        <v>216</v>
      </c>
      <c r="J81" s="17" t="n">
        <v>395</v>
      </c>
      <c r="K81" s="17" t="n">
        <v>101</v>
      </c>
      <c r="L81" s="17" t="n">
        <v>90</v>
      </c>
      <c r="M81" s="21" t="n">
        <v/>
      </c>
      <c r="N81" s="21" t="n">
        <v/>
      </c>
      <c r="O81" s="21" t="n">
        <v/>
      </c>
      <c r="P81" s="21" t="n">
        <v>0.7724383893642529</v>
      </c>
      <c r="Q81" s="22" t="n">
        <v>7.180220760362002</v>
      </c>
      <c r="R81" s="22" t="n">
        <v/>
      </c>
      <c r="S81" s="22" t="n">
        <v>0</v>
      </c>
      <c r="T81" s="22" t="n">
        <v>0</v>
      </c>
      <c r="U81" s="22" t="n">
        <v>0</v>
      </c>
      <c r="V81" s="17" t="n">
        <v>0</v>
      </c>
      <c r="W81" s="25" t="n">
        <v>0</v>
      </c>
      <c r="X81" s="25" t="n">
        <v>0</v>
      </c>
      <c r="Y81" s="25" t="n">
        <v>0</v>
      </c>
      <c r="Z81" s="22" t="n">
        <v>0</v>
      </c>
      <c r="AA81" s="22" t="n">
        <v>0</v>
      </c>
      <c r="AB81" s="25" t="n">
        <v>0</v>
      </c>
      <c r="AC81" s="25" t="n">
        <v>0</v>
      </c>
      <c r="AD81" s="25" t="n">
        <v>0</v>
      </c>
      <c r="AE81" s="21" t="n">
        <v>0</v>
      </c>
      <c r="AF81" s="22" t="n">
        <v>0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5" t="n">
        <v>216</v>
      </c>
      <c r="J82" s="15" t="n">
        <v>395</v>
      </c>
      <c r="K82" s="15" t="n">
        <v>100</v>
      </c>
      <c r="L82" s="15" t="n">
        <v>90</v>
      </c>
      <c r="M82" s="19" t="n">
        <v/>
      </c>
      <c r="N82" s="19" t="n">
        <v/>
      </c>
      <c r="O82" s="19" t="n">
        <v/>
      </c>
      <c r="P82" s="19" t="n">
        <v>0.769917878576132</v>
      </c>
      <c r="Q82" s="20" t="n">
        <v>7.120120789728319</v>
      </c>
      <c r="R82" s="20" t="n">
        <v/>
      </c>
      <c r="S82" s="20" t="n">
        <v>0</v>
      </c>
      <c r="T82" s="20" t="n">
        <v>0</v>
      </c>
      <c r="U82" s="20" t="n">
        <v>0</v>
      </c>
      <c r="V82" s="15" t="n">
        <v>0</v>
      </c>
      <c r="W82" s="24" t="n">
        <v>0</v>
      </c>
      <c r="X82" s="24" t="n">
        <v>0</v>
      </c>
      <c r="Y82" s="24" t="n">
        <v>0</v>
      </c>
      <c r="Z82" s="20" t="n">
        <v>0</v>
      </c>
      <c r="AA82" s="20" t="n">
        <v>0</v>
      </c>
      <c r="AB82" s="24" t="n">
        <v>0</v>
      </c>
      <c r="AC82" s="24" t="n">
        <v>0</v>
      </c>
      <c r="AD82" s="24" t="n">
        <v>0</v>
      </c>
      <c r="AE82" s="19" t="n">
        <v>0</v>
      </c>
      <c r="AF82" s="20" t="n">
        <v>0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17" t="n">
        <v>216</v>
      </c>
      <c r="J83" s="17" t="n">
        <v>395</v>
      </c>
      <c r="K83" s="17" t="n">
        <v>99</v>
      </c>
      <c r="L83" s="17" t="n">
        <v>90</v>
      </c>
      <c r="M83" s="21" t="n">
        <v/>
      </c>
      <c r="N83" s="21" t="n">
        <v/>
      </c>
      <c r="O83" s="21" t="n">
        <v/>
      </c>
      <c r="P83" s="21" t="n">
        <v>0.7674055923593434</v>
      </c>
      <c r="Q83" s="22" t="n">
        <v>7.059824067429865</v>
      </c>
      <c r="R83" s="22" t="n">
        <v/>
      </c>
      <c r="S83" s="22" t="n">
        <v>0</v>
      </c>
      <c r="T83" s="22" t="n">
        <v>0</v>
      </c>
      <c r="U83" s="22" t="n">
        <v>0</v>
      </c>
      <c r="V83" s="17" t="n">
        <v>0</v>
      </c>
      <c r="W83" s="25" t="n">
        <v>0</v>
      </c>
      <c r="X83" s="25" t="n">
        <v>0</v>
      </c>
      <c r="Y83" s="25" t="n">
        <v>0</v>
      </c>
      <c r="Z83" s="22" t="n">
        <v>0</v>
      </c>
      <c r="AA83" s="22" t="n">
        <v>0</v>
      </c>
      <c r="AB83" s="25" t="n">
        <v>0</v>
      </c>
      <c r="AC83" s="25" t="n">
        <v>0</v>
      </c>
      <c r="AD83" s="25" t="n">
        <v>0</v>
      </c>
      <c r="AE83" s="21" t="n">
        <v>0</v>
      </c>
      <c r="AF83" s="22" t="n">
        <v>0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5" t="n">
        <v>216</v>
      </c>
      <c r="J84" s="15" t="n">
        <v>395</v>
      </c>
      <c r="K84" s="15" t="n">
        <v>98</v>
      </c>
      <c r="L84" s="15" t="n">
        <v>90</v>
      </c>
      <c r="M84" s="19" t="n">
        <v/>
      </c>
      <c r="N84" s="19" t="n">
        <v/>
      </c>
      <c r="O84" s="19" t="n">
        <v/>
      </c>
      <c r="P84" s="19" t="n">
        <v>0.7649015038766386</v>
      </c>
      <c r="Q84" s="20" t="n">
        <v>6.999329949352887</v>
      </c>
      <c r="R84" s="20" t="n">
        <v/>
      </c>
      <c r="S84" s="20" t="n">
        <v>0</v>
      </c>
      <c r="T84" s="20" t="n">
        <v>0</v>
      </c>
      <c r="U84" s="20" t="n">
        <v>0</v>
      </c>
      <c r="V84" s="15" t="n">
        <v>0</v>
      </c>
      <c r="W84" s="24" t="n">
        <v>0</v>
      </c>
      <c r="X84" s="24" t="n">
        <v>0</v>
      </c>
      <c r="Y84" s="24" t="n">
        <v>0</v>
      </c>
      <c r="Z84" s="20" t="n">
        <v>0</v>
      </c>
      <c r="AA84" s="20" t="n">
        <v>0</v>
      </c>
      <c r="AB84" s="24" t="n">
        <v>0</v>
      </c>
      <c r="AC84" s="24" t="n">
        <v>0</v>
      </c>
      <c r="AD84" s="24" t="n">
        <v>0</v>
      </c>
      <c r="AE84" s="19" t="n">
        <v>0</v>
      </c>
      <c r="AF84" s="20" t="n">
        <v>0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17" t="n">
        <v>216</v>
      </c>
      <c r="J85" s="17" t="n">
        <v>395</v>
      </c>
      <c r="K85" s="17" t="n">
        <v>97</v>
      </c>
      <c r="L85" s="17" t="n">
        <v>90</v>
      </c>
      <c r="M85" s="21" t="n">
        <v/>
      </c>
      <c r="N85" s="21" t="n">
        <v/>
      </c>
      <c r="O85" s="21" t="n">
        <v/>
      </c>
      <c r="P85" s="21" t="n">
        <v>0.7624055863783411</v>
      </c>
      <c r="Q85" s="22" t="n">
        <v>6.93863778927497</v>
      </c>
      <c r="R85" s="22" t="n">
        <v/>
      </c>
      <c r="S85" s="22" t="n">
        <v>0</v>
      </c>
      <c r="T85" s="22" t="n">
        <v>0</v>
      </c>
      <c r="U85" s="22" t="n">
        <v>0</v>
      </c>
      <c r="V85" s="17" t="n">
        <v>0</v>
      </c>
      <c r="W85" s="25" t="n">
        <v>0</v>
      </c>
      <c r="X85" s="25" t="n">
        <v>0</v>
      </c>
      <c r="Y85" s="25" t="n">
        <v>0</v>
      </c>
      <c r="Z85" s="22" t="n">
        <v>0</v>
      </c>
      <c r="AA85" s="22" t="n">
        <v>0</v>
      </c>
      <c r="AB85" s="25" t="n">
        <v>0</v>
      </c>
      <c r="AC85" s="25" t="n">
        <v>0</v>
      </c>
      <c r="AD85" s="25" t="n">
        <v>0</v>
      </c>
      <c r="AE85" s="21" t="n">
        <v>0</v>
      </c>
      <c r="AF85" s="22" t="n">
        <v>0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5" t="n">
        <v>216</v>
      </c>
      <c r="J86" s="15" t="n">
        <v>395</v>
      </c>
      <c r="K86" s="15" t="n">
        <v>96</v>
      </c>
      <c r="L86" s="15" t="n">
        <v>90</v>
      </c>
      <c r="M86" s="19" t="n">
        <v/>
      </c>
      <c r="N86" s="19" t="n">
        <v/>
      </c>
      <c r="O86" s="19" t="n">
        <v/>
      </c>
      <c r="P86" s="19" t="n">
        <v>0.7599178132020599</v>
      </c>
      <c r="Q86" s="20" t="n">
        <v>6.877746938858139</v>
      </c>
      <c r="R86" s="20" t="n">
        <v/>
      </c>
      <c r="S86" s="20" t="n">
        <v>0</v>
      </c>
      <c r="T86" s="20" t="n">
        <v>0</v>
      </c>
      <c r="U86" s="20" t="n">
        <v>0</v>
      </c>
      <c r="V86" s="15" t="n">
        <v>0</v>
      </c>
      <c r="W86" s="24" t="n">
        <v>0</v>
      </c>
      <c r="X86" s="24" t="n">
        <v>0</v>
      </c>
      <c r="Y86" s="24" t="n">
        <v>0</v>
      </c>
      <c r="Z86" s="20" t="n">
        <v>0</v>
      </c>
      <c r="AA86" s="20" t="n">
        <v>0</v>
      </c>
      <c r="AB86" s="24" t="n">
        <v>0</v>
      </c>
      <c r="AC86" s="24" t="n">
        <v>0</v>
      </c>
      <c r="AD86" s="24" t="n">
        <v>0</v>
      </c>
      <c r="AE86" s="19" t="n">
        <v>0</v>
      </c>
      <c r="AF86" s="20" t="n">
        <v>0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17" t="n">
        <v>216</v>
      </c>
      <c r="J87" s="17" t="n">
        <v>395</v>
      </c>
      <c r="K87" s="17" t="n">
        <v>95</v>
      </c>
      <c r="L87" s="17" t="n">
        <v>90</v>
      </c>
      <c r="M87" s="21" t="n">
        <v/>
      </c>
      <c r="N87" s="21" t="n">
        <v/>
      </c>
      <c r="O87" s="21" t="n">
        <v/>
      </c>
      <c r="P87" s="21" t="n">
        <v>0.7574381577724049</v>
      </c>
      <c r="Q87" s="22" t="n">
        <v>6.816656747641925</v>
      </c>
      <c r="R87" s="22" t="n">
        <v/>
      </c>
      <c r="S87" s="22" t="n">
        <v>0</v>
      </c>
      <c r="T87" s="22" t="n">
        <v>0</v>
      </c>
      <c r="U87" s="22" t="n">
        <v>0</v>
      </c>
      <c r="V87" s="17" t="n">
        <v>0</v>
      </c>
      <c r="W87" s="25" t="n">
        <v>0</v>
      </c>
      <c r="X87" s="25" t="n">
        <v>0</v>
      </c>
      <c r="Y87" s="25" t="n">
        <v>0</v>
      </c>
      <c r="Z87" s="22" t="n">
        <v>0</v>
      </c>
      <c r="AA87" s="22" t="n">
        <v>0</v>
      </c>
      <c r="AB87" s="25" t="n">
        <v>0</v>
      </c>
      <c r="AC87" s="25" t="n">
        <v>0</v>
      </c>
      <c r="AD87" s="25" t="n">
        <v>0</v>
      </c>
      <c r="AE87" s="21" t="n">
        <v>0</v>
      </c>
      <c r="AF87" s="22" t="n">
        <v>0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5" t="n">
        <v>216</v>
      </c>
      <c r="J88" s="15" t="n">
        <v>395</v>
      </c>
      <c r="K88" s="15" t="n">
        <v>94</v>
      </c>
      <c r="L88" s="15" t="n">
        <v>90</v>
      </c>
      <c r="M88" s="19" t="n">
        <v/>
      </c>
      <c r="N88" s="19" t="n">
        <v/>
      </c>
      <c r="O88" s="19" t="n">
        <v/>
      </c>
      <c r="P88" s="19" t="n">
        <v>0.7549665936007031</v>
      </c>
      <c r="Q88" s="20" t="n">
        <v>6.755366563036426</v>
      </c>
      <c r="R88" s="20" t="n">
        <v/>
      </c>
      <c r="S88" s="20" t="n">
        <v>0</v>
      </c>
      <c r="T88" s="20" t="n">
        <v>0</v>
      </c>
      <c r="U88" s="20" t="n">
        <v>0</v>
      </c>
      <c r="V88" s="15" t="n">
        <v>0</v>
      </c>
      <c r="W88" s="24" t="n">
        <v>0</v>
      </c>
      <c r="X88" s="24" t="n">
        <v>0</v>
      </c>
      <c r="Y88" s="24" t="n">
        <v>0</v>
      </c>
      <c r="Z88" s="20" t="n">
        <v>0</v>
      </c>
      <c r="AA88" s="20" t="n">
        <v>0</v>
      </c>
      <c r="AB88" s="24" t="n">
        <v>0</v>
      </c>
      <c r="AC88" s="24" t="n">
        <v>0</v>
      </c>
      <c r="AD88" s="24" t="n">
        <v>0</v>
      </c>
      <c r="AE88" s="19" t="n">
        <v>0</v>
      </c>
      <c r="AF88" s="20" t="n">
        <v>0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17" t="n">
        <v>216</v>
      </c>
      <c r="J89" s="17" t="n">
        <v>395</v>
      </c>
      <c r="K89" s="17" t="n">
        <v>93</v>
      </c>
      <c r="L89" s="17" t="n">
        <v>90</v>
      </c>
      <c r="M89" s="21" t="n">
        <v/>
      </c>
      <c r="N89" s="21" t="n">
        <v/>
      </c>
      <c r="O89" s="21" t="n">
        <v/>
      </c>
      <c r="P89" s="21" t="n">
        <v>0.7525030942847154</v>
      </c>
      <c r="Q89" s="22" t="n">
        <v>6.693875730315326</v>
      </c>
      <c r="R89" s="22" t="n">
        <v/>
      </c>
      <c r="S89" s="22" t="n">
        <v>0</v>
      </c>
      <c r="T89" s="22" t="n">
        <v>0</v>
      </c>
      <c r="U89" s="22" t="n">
        <v>0</v>
      </c>
      <c r="V89" s="17" t="n">
        <v>0</v>
      </c>
      <c r="W89" s="25" t="n">
        <v>0</v>
      </c>
      <c r="X89" s="25" t="n">
        <v>0</v>
      </c>
      <c r="Y89" s="25" t="n">
        <v>0</v>
      </c>
      <c r="Z89" s="22" t="n">
        <v>0</v>
      </c>
      <c r="AA89" s="22" t="n">
        <v>0</v>
      </c>
      <c r="AB89" s="25" t="n">
        <v>0</v>
      </c>
      <c r="AC89" s="25" t="n">
        <v>0</v>
      </c>
      <c r="AD89" s="25" t="n">
        <v>0</v>
      </c>
      <c r="AE89" s="21" t="n">
        <v>0</v>
      </c>
      <c r="AF89" s="22" t="n">
        <v>0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5" t="n">
        <v>216</v>
      </c>
      <c r="J90" s="15" t="n">
        <v>395</v>
      </c>
      <c r="K90" s="15" t="n">
        <v>92</v>
      </c>
      <c r="L90" s="15" t="n">
        <v>90</v>
      </c>
      <c r="M90" s="19" t="n">
        <v/>
      </c>
      <c r="N90" s="19" t="n">
        <v/>
      </c>
      <c r="O90" s="19" t="n">
        <v/>
      </c>
      <c r="P90" s="19" t="n">
        <v>0.7500476335083549</v>
      </c>
      <c r="Q90" s="20" t="n">
        <v>6.632183592608904</v>
      </c>
      <c r="R90" s="20" t="n">
        <v/>
      </c>
      <c r="S90" s="20" t="n">
        <v>0</v>
      </c>
      <c r="T90" s="20" t="n">
        <v>0</v>
      </c>
      <c r="U90" s="20" t="n">
        <v>0</v>
      </c>
      <c r="V90" s="15" t="n">
        <v>0</v>
      </c>
      <c r="W90" s="24" t="n">
        <v>0</v>
      </c>
      <c r="X90" s="24" t="n">
        <v>0</v>
      </c>
      <c r="Y90" s="24" t="n">
        <v>0</v>
      </c>
      <c r="Z90" s="20" t="n">
        <v>0</v>
      </c>
      <c r="AA90" s="20" t="n">
        <v>0</v>
      </c>
      <c r="AB90" s="24" t="n">
        <v>0</v>
      </c>
      <c r="AC90" s="24" t="n">
        <v>0</v>
      </c>
      <c r="AD90" s="24" t="n">
        <v>0</v>
      </c>
      <c r="AE90" s="19" t="n">
        <v>0</v>
      </c>
      <c r="AF90" s="20" t="n">
        <v>0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17" t="n">
        <v>216</v>
      </c>
      <c r="J91" s="17" t="n">
        <v>395</v>
      </c>
      <c r="K91" s="17" t="n">
        <v>91</v>
      </c>
      <c r="L91" s="17" t="n">
        <v>90</v>
      </c>
      <c r="M91" s="21" t="n">
        <v/>
      </c>
      <c r="N91" s="21" t="n">
        <v/>
      </c>
      <c r="O91" s="21" t="n">
        <v/>
      </c>
      <c r="P91" s="21" t="n">
        <v>0.7476001850414056</v>
      </c>
      <c r="Q91" s="22" t="n">
        <v>6.570289490897025</v>
      </c>
      <c r="R91" s="22" t="n">
        <v/>
      </c>
      <c r="S91" s="22" t="n">
        <v>0</v>
      </c>
      <c r="T91" s="22" t="n">
        <v>0</v>
      </c>
      <c r="U91" s="22" t="n">
        <v>0</v>
      </c>
      <c r="V91" s="17" t="n">
        <v>0</v>
      </c>
      <c r="W91" s="25" t="n">
        <v>0</v>
      </c>
      <c r="X91" s="25" t="n">
        <v>0</v>
      </c>
      <c r="Y91" s="25" t="n">
        <v>0</v>
      </c>
      <c r="Z91" s="22" t="n">
        <v>0</v>
      </c>
      <c r="AA91" s="22" t="n">
        <v>0</v>
      </c>
      <c r="AB91" s="25" t="n">
        <v>0</v>
      </c>
      <c r="AC91" s="25" t="n">
        <v>0</v>
      </c>
      <c r="AD91" s="25" t="n">
        <v>0</v>
      </c>
      <c r="AE91" s="21" t="n">
        <v>0</v>
      </c>
      <c r="AF91" s="22" t="n">
        <v>0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5" t="n">
        <v>216</v>
      </c>
      <c r="J92" s="15" t="n">
        <v>395</v>
      </c>
      <c r="K92" s="15" t="n">
        <v>90</v>
      </c>
      <c r="L92" s="15" t="n">
        <v>90</v>
      </c>
      <c r="M92" s="19" t="n">
        <v/>
      </c>
      <c r="N92" s="19" t="n">
        <v/>
      </c>
      <c r="O92" s="19" t="n">
        <v/>
      </c>
      <c r="P92" s="19" t="n">
        <v>0.7451607227392421</v>
      </c>
      <c r="Q92" s="20" t="n">
        <v>6.508192764002088</v>
      </c>
      <c r="R92" s="20" t="n">
        <v/>
      </c>
      <c r="S92" s="20" t="n">
        <v>0</v>
      </c>
      <c r="T92" s="20" t="n">
        <v>0</v>
      </c>
      <c r="U92" s="20" t="n">
        <v>0</v>
      </c>
      <c r="V92" s="15" t="n">
        <v>0</v>
      </c>
      <c r="W92" s="24" t="n">
        <v>0</v>
      </c>
      <c r="X92" s="24" t="n">
        <v>0</v>
      </c>
      <c r="Y92" s="24" t="n">
        <v>0</v>
      </c>
      <c r="Z92" s="20" t="n">
        <v>0</v>
      </c>
      <c r="AA92" s="20" t="n">
        <v>0</v>
      </c>
      <c r="AB92" s="24" t="n">
        <v>0</v>
      </c>
      <c r="AC92" s="24" t="n">
        <v>0</v>
      </c>
      <c r="AD92" s="24" t="n">
        <v>0</v>
      </c>
      <c r="AE92" s="19" t="n">
        <v>0</v>
      </c>
      <c r="AF92" s="20" t="n">
        <v>0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17" t="n">
        <v>216</v>
      </c>
      <c r="J93" s="17" t="n">
        <v>395</v>
      </c>
      <c r="K93" s="17" t="n">
        <v>89</v>
      </c>
      <c r="L93" s="17" t="n">
        <v>90</v>
      </c>
      <c r="M93" s="21" t="n">
        <v/>
      </c>
      <c r="N93" s="21" t="n">
        <v/>
      </c>
      <c r="O93" s="21" t="n">
        <v/>
      </c>
      <c r="P93" s="21" t="n">
        <v>0.7427292205425503</v>
      </c>
      <c r="Q93" s="22" t="n">
        <v>6.445892748581971</v>
      </c>
      <c r="R93" s="22" t="n">
        <v/>
      </c>
      <c r="S93" s="22" t="n">
        <v>0</v>
      </c>
      <c r="T93" s="22" t="n">
        <v>0</v>
      </c>
      <c r="U93" s="22" t="n">
        <v>0</v>
      </c>
      <c r="V93" s="17" t="n">
        <v>0</v>
      </c>
      <c r="W93" s="25" t="n">
        <v>0</v>
      </c>
      <c r="X93" s="25" t="n">
        <v>0</v>
      </c>
      <c r="Y93" s="25" t="n">
        <v>0</v>
      </c>
      <c r="Z93" s="22" t="n">
        <v>0</v>
      </c>
      <c r="AA93" s="22" t="n">
        <v>0</v>
      </c>
      <c r="AB93" s="25" t="n">
        <v>0</v>
      </c>
      <c r="AC93" s="25" t="n">
        <v>0</v>
      </c>
      <c r="AD93" s="25" t="n">
        <v>0</v>
      </c>
      <c r="AE93" s="21" t="n">
        <v>0</v>
      </c>
      <c r="AF93" s="22" t="n">
        <v>0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5" t="n">
        <v>216</v>
      </c>
      <c r="J94" s="15" t="n">
        <v>395</v>
      </c>
      <c r="K94" s="15" t="n">
        <v>88</v>
      </c>
      <c r="L94" s="15" t="n">
        <v>90</v>
      </c>
      <c r="M94" s="19" t="n">
        <v/>
      </c>
      <c r="N94" s="19" t="n">
        <v/>
      </c>
      <c r="O94" s="19" t="n">
        <v/>
      </c>
      <c r="P94" s="19" t="n">
        <v>0.7403056524770495</v>
      </c>
      <c r="Q94" s="20" t="n">
        <v>6.38338877912294</v>
      </c>
      <c r="R94" s="20" t="n">
        <v/>
      </c>
      <c r="S94" s="20" t="n">
        <v>0</v>
      </c>
      <c r="T94" s="20" t="n">
        <v>0</v>
      </c>
      <c r="U94" s="20" t="n">
        <v>0</v>
      </c>
      <c r="V94" s="15" t="n">
        <v>0</v>
      </c>
      <c r="W94" s="24" t="n">
        <v>0</v>
      </c>
      <c r="X94" s="24" t="n">
        <v>0</v>
      </c>
      <c r="Y94" s="24" t="n">
        <v>0</v>
      </c>
      <c r="Z94" s="20" t="n">
        <v>0</v>
      </c>
      <c r="AA94" s="20" t="n">
        <v>0</v>
      </c>
      <c r="AB94" s="24" t="n">
        <v>0</v>
      </c>
      <c r="AC94" s="24" t="n">
        <v>0</v>
      </c>
      <c r="AD94" s="24" t="n">
        <v>0</v>
      </c>
      <c r="AE94" s="19" t="n">
        <v>0</v>
      </c>
      <c r="AF94" s="20" t="n">
        <v>0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17" t="n">
        <v>216</v>
      </c>
      <c r="J95" s="17" t="n">
        <v>395</v>
      </c>
      <c r="K95" s="17" t="n">
        <v>87</v>
      </c>
      <c r="L95" s="17" t="n">
        <v>90</v>
      </c>
      <c r="M95" s="21" t="n">
        <v/>
      </c>
      <c r="N95" s="21" t="n">
        <v/>
      </c>
      <c r="O95" s="21" t="n">
        <v/>
      </c>
      <c r="P95" s="21" t="n">
        <v>0.7378899926532142</v>
      </c>
      <c r="Q95" s="22" t="n">
        <v>6.320680187932548</v>
      </c>
      <c r="R95" s="22" t="n">
        <v/>
      </c>
      <c r="S95" s="22" t="n">
        <v>0</v>
      </c>
      <c r="T95" s="22" t="n">
        <v>0</v>
      </c>
      <c r="U95" s="22" t="n">
        <v>0</v>
      </c>
      <c r="V95" s="17" t="n">
        <v>0</v>
      </c>
      <c r="W95" s="25" t="n">
        <v>0</v>
      </c>
      <c r="X95" s="25" t="n">
        <v>0</v>
      </c>
      <c r="Y95" s="25" t="n">
        <v>0</v>
      </c>
      <c r="Z95" s="22" t="n">
        <v>0</v>
      </c>
      <c r="AA95" s="22" t="n">
        <v>0</v>
      </c>
      <c r="AB95" s="25" t="n">
        <v>0</v>
      </c>
      <c r="AC95" s="25" t="n">
        <v>0</v>
      </c>
      <c r="AD95" s="25" t="n">
        <v>0</v>
      </c>
      <c r="AE95" s="21" t="n">
        <v>0</v>
      </c>
      <c r="AF95" s="22" t="n">
        <v>0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5" t="n">
        <v>216</v>
      </c>
      <c r="J96" s="15" t="n">
        <v>395</v>
      </c>
      <c r="K96" s="15" t="n">
        <v>86</v>
      </c>
      <c r="L96" s="15" t="n">
        <v>90</v>
      </c>
      <c r="M96" s="19" t="n">
        <v/>
      </c>
      <c r="N96" s="19" t="n">
        <v/>
      </c>
      <c r="O96" s="19" t="n">
        <v/>
      </c>
      <c r="P96" s="19" t="n">
        <v>0.7354822152659981</v>
      </c>
      <c r="Q96" s="20" t="n">
        <v>6.257766305132489</v>
      </c>
      <c r="R96" s="20" t="n">
        <v/>
      </c>
      <c r="S96" s="20" t="n">
        <v>0</v>
      </c>
      <c r="T96" s="20" t="n">
        <v>0</v>
      </c>
      <c r="U96" s="20" t="n">
        <v>0</v>
      </c>
      <c r="V96" s="15" t="n">
        <v>0</v>
      </c>
      <c r="W96" s="24" t="n">
        <v>0</v>
      </c>
      <c r="X96" s="24" t="n">
        <v>0</v>
      </c>
      <c r="Y96" s="24" t="n">
        <v>0</v>
      </c>
      <c r="Z96" s="20" t="n">
        <v>0</v>
      </c>
      <c r="AA96" s="20" t="n">
        <v>0</v>
      </c>
      <c r="AB96" s="24" t="n">
        <v>0</v>
      </c>
      <c r="AC96" s="24" t="n">
        <v>0</v>
      </c>
      <c r="AD96" s="24" t="n">
        <v>0</v>
      </c>
      <c r="AE96" s="19" t="n">
        <v>0</v>
      </c>
      <c r="AF96" s="20" t="n">
        <v>0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17" t="n">
        <v>216</v>
      </c>
      <c r="J97" s="17" t="n">
        <v>395</v>
      </c>
      <c r="K97" s="17" t="n">
        <v>85</v>
      </c>
      <c r="L97" s="17" t="n">
        <v>90</v>
      </c>
      <c r="M97" s="21" t="n">
        <v/>
      </c>
      <c r="N97" s="21" t="n">
        <v/>
      </c>
      <c r="O97" s="21" t="n">
        <v/>
      </c>
      <c r="P97" s="21" t="n">
        <v>0.7330822945945582</v>
      </c>
      <c r="Q97" s="22" t="n">
        <v>6.194646458651456</v>
      </c>
      <c r="R97" s="22" t="n">
        <v/>
      </c>
      <c r="S97" s="22" t="n">
        <v>0</v>
      </c>
      <c r="T97" s="22" t="n">
        <v>0</v>
      </c>
      <c r="U97" s="22" t="n">
        <v>0</v>
      </c>
      <c r="V97" s="17" t="n">
        <v>0</v>
      </c>
      <c r="W97" s="25" t="n">
        <v>0</v>
      </c>
      <c r="X97" s="25" t="n">
        <v>0</v>
      </c>
      <c r="Y97" s="25" t="n">
        <v>0</v>
      </c>
      <c r="Z97" s="22" t="n">
        <v>0</v>
      </c>
      <c r="AA97" s="22" t="n">
        <v>0</v>
      </c>
      <c r="AB97" s="25" t="n">
        <v>0</v>
      </c>
      <c r="AC97" s="25" t="n">
        <v>0</v>
      </c>
      <c r="AD97" s="25" t="n">
        <v>0</v>
      </c>
      <c r="AE97" s="21" t="n">
        <v>0</v>
      </c>
      <c r="AF97" s="22" t="n">
        <v>0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5" t="n">
        <v>216</v>
      </c>
      <c r="J98" s="15" t="n">
        <v>395</v>
      </c>
      <c r="K98" s="15" t="n">
        <v>84</v>
      </c>
      <c r="L98" s="15" t="n">
        <v>90</v>
      </c>
      <c r="M98" s="19" t="n">
        <v/>
      </c>
      <c r="N98" s="19" t="n">
        <v/>
      </c>
      <c r="O98" s="19" t="n">
        <v/>
      </c>
      <c r="P98" s="19" t="n">
        <v>0.7306902050019801</v>
      </c>
      <c r="Q98" s="20" t="n">
        <v>6.131319974217952</v>
      </c>
      <c r="R98" s="20" t="n">
        <v/>
      </c>
      <c r="S98" s="20" t="n">
        <v>0</v>
      </c>
      <c r="T98" s="20" t="n">
        <v>0</v>
      </c>
      <c r="U98" s="20" t="n">
        <v>0</v>
      </c>
      <c r="V98" s="15" t="n">
        <v>0</v>
      </c>
      <c r="W98" s="24" t="n">
        <v>0</v>
      </c>
      <c r="X98" s="24" t="n">
        <v>0</v>
      </c>
      <c r="Y98" s="24" t="n">
        <v>0</v>
      </c>
      <c r="Z98" s="20" t="n">
        <v>0</v>
      </c>
      <c r="AA98" s="20" t="n">
        <v>0</v>
      </c>
      <c r="AB98" s="24" t="n">
        <v>0</v>
      </c>
      <c r="AC98" s="24" t="n">
        <v>0</v>
      </c>
      <c r="AD98" s="24" t="n">
        <v>0</v>
      </c>
      <c r="AE98" s="19" t="n">
        <v>0</v>
      </c>
      <c r="AF98" s="20" t="n">
        <v>0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17" t="n">
        <v>216</v>
      </c>
      <c r="J99" s="17" t="n">
        <v>395</v>
      </c>
      <c r="K99" s="17" t="n">
        <v>83</v>
      </c>
      <c r="L99" s="17" t="n">
        <v>90</v>
      </c>
      <c r="M99" s="21" t="n">
        <v/>
      </c>
      <c r="N99" s="21" t="n">
        <v/>
      </c>
      <c r="O99" s="21" t="n">
        <v/>
      </c>
      <c r="P99" s="21" t="n">
        <v>0.7283059209350041</v>
      </c>
      <c r="Q99" s="22" t="n">
        <v>6.067786175353089</v>
      </c>
      <c r="R99" s="22" t="n">
        <v/>
      </c>
      <c r="S99" s="22" t="n">
        <v>0</v>
      </c>
      <c r="T99" s="22" t="n">
        <v>0</v>
      </c>
      <c r="U99" s="22" t="n">
        <v>0</v>
      </c>
      <c r="V99" s="17" t="n">
        <v>0</v>
      </c>
      <c r="W99" s="25" t="n">
        <v>0</v>
      </c>
      <c r="X99" s="25" t="n">
        <v>0</v>
      </c>
      <c r="Y99" s="25" t="n">
        <v>0</v>
      </c>
      <c r="Z99" s="22" t="n">
        <v>0</v>
      </c>
      <c r="AA99" s="22" t="n">
        <v>0</v>
      </c>
      <c r="AB99" s="25" t="n">
        <v>0</v>
      </c>
      <c r="AC99" s="25" t="n">
        <v>0</v>
      </c>
      <c r="AD99" s="25" t="n">
        <v>0</v>
      </c>
      <c r="AE99" s="21" t="n">
        <v>0</v>
      </c>
      <c r="AF99" s="22" t="n">
        <v>0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5" t="n">
        <v>216</v>
      </c>
      <c r="J100" s="15" t="n">
        <v>395</v>
      </c>
      <c r="K100" s="15" t="n">
        <v>82</v>
      </c>
      <c r="L100" s="15" t="n">
        <v>90</v>
      </c>
      <c r="M100" s="19" t="n">
        <v/>
      </c>
      <c r="N100" s="19" t="n">
        <v/>
      </c>
      <c r="O100" s="19" t="n">
        <v/>
      </c>
      <c r="P100" s="19" t="n">
        <v>0.7259294169237523</v>
      </c>
      <c r="Q100" s="20" t="n">
        <v>6.004044383363371</v>
      </c>
      <c r="R100" s="20" t="n">
        <v/>
      </c>
      <c r="S100" s="20" t="n">
        <v>0</v>
      </c>
      <c r="T100" s="20" t="n">
        <v>0</v>
      </c>
      <c r="U100" s="20" t="n">
        <v>0</v>
      </c>
      <c r="V100" s="15" t="n">
        <v>0</v>
      </c>
      <c r="W100" s="24" t="n">
        <v>0</v>
      </c>
      <c r="X100" s="24" t="n">
        <v>0</v>
      </c>
      <c r="Y100" s="24" t="n">
        <v>0</v>
      </c>
      <c r="Z100" s="20" t="n">
        <v>0</v>
      </c>
      <c r="AA100" s="20" t="n">
        <v>0</v>
      </c>
      <c r="AB100" s="24" t="n">
        <v>0</v>
      </c>
      <c r="AC100" s="24" t="n">
        <v>0</v>
      </c>
      <c r="AD100" s="24" t="n">
        <v>0</v>
      </c>
      <c r="AE100" s="19" t="n">
        <v>0</v>
      </c>
      <c r="AF100" s="20" t="n">
        <v>0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17" t="n">
        <v>216</v>
      </c>
      <c r="J101" s="17" t="n">
        <v>395</v>
      </c>
      <c r="K101" s="17" t="n">
        <v>81</v>
      </c>
      <c r="L101" s="17" t="n">
        <v>90</v>
      </c>
      <c r="M101" s="21" t="n">
        <v/>
      </c>
      <c r="N101" s="21" t="n">
        <v/>
      </c>
      <c r="O101" s="21" t="n">
        <v/>
      </c>
      <c r="P101" s="21" t="n">
        <v>0.7235606675814565</v>
      </c>
      <c r="Q101" s="22" t="n">
        <v>5.940093917333424</v>
      </c>
      <c r="R101" s="22" t="n">
        <v/>
      </c>
      <c r="S101" s="22" t="n">
        <v>0</v>
      </c>
      <c r="T101" s="22" t="n">
        <v>0</v>
      </c>
      <c r="U101" s="22" t="n">
        <v>0</v>
      </c>
      <c r="V101" s="17" t="n">
        <v>0</v>
      </c>
      <c r="W101" s="25" t="n">
        <v>0</v>
      </c>
      <c r="X101" s="25" t="n">
        <v>0</v>
      </c>
      <c r="Y101" s="25" t="n">
        <v>0</v>
      </c>
      <c r="Z101" s="22" t="n">
        <v>0</v>
      </c>
      <c r="AA101" s="22" t="n">
        <v>0</v>
      </c>
      <c r="AB101" s="25" t="n">
        <v>0</v>
      </c>
      <c r="AC101" s="25" t="n">
        <v>0</v>
      </c>
      <c r="AD101" s="25" t="n">
        <v>0</v>
      </c>
      <c r="AE101" s="21" t="n">
        <v>0</v>
      </c>
      <c r="AF101" s="22" t="n">
        <v>0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5" t="n">
        <v>216</v>
      </c>
      <c r="J102" s="15" t="n">
        <v>395</v>
      </c>
      <c r="K102" s="15" t="n">
        <v>80</v>
      </c>
      <c r="L102" s="15" t="n">
        <v>90</v>
      </c>
      <c r="M102" s="19" t="n">
        <v/>
      </c>
      <c r="N102" s="19" t="n">
        <v/>
      </c>
      <c r="O102" s="19" t="n">
        <v/>
      </c>
      <c r="P102" s="19" t="n">
        <v>0.7211996476041869</v>
      </c>
      <c r="Q102" s="20" t="n">
        <v>5.875934094118747</v>
      </c>
      <c r="R102" s="20" t="n">
        <v/>
      </c>
      <c r="S102" s="20" t="n">
        <v>0</v>
      </c>
      <c r="T102" s="20" t="n">
        <v>0</v>
      </c>
      <c r="U102" s="20" t="n">
        <v>0</v>
      </c>
      <c r="V102" s="15" t="n">
        <v>0</v>
      </c>
      <c r="W102" s="24" t="n">
        <v>0</v>
      </c>
      <c r="X102" s="24" t="n">
        <v>0</v>
      </c>
      <c r="Y102" s="24" t="n">
        <v>0</v>
      </c>
      <c r="Z102" s="20" t="n">
        <v>0</v>
      </c>
      <c r="AA102" s="20" t="n">
        <v>0</v>
      </c>
      <c r="AB102" s="24" t="n">
        <v>0</v>
      </c>
      <c r="AC102" s="24" t="n">
        <v>0</v>
      </c>
      <c r="AD102" s="24" t="n">
        <v>0</v>
      </c>
      <c r="AE102" s="19" t="n">
        <v>0</v>
      </c>
      <c r="AF102" s="20" t="n">
        <v>0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17" t="n">
        <v>216</v>
      </c>
      <c r="J103" s="17" t="n">
        <v>395</v>
      </c>
      <c r="K103" s="17" t="n">
        <v>79</v>
      </c>
      <c r="L103" s="17" t="n">
        <v>90</v>
      </c>
      <c r="M103" s="21" t="n">
        <v/>
      </c>
      <c r="N103" s="21" t="n">
        <v/>
      </c>
      <c r="O103" s="21" t="n">
        <v/>
      </c>
      <c r="P103" s="21" t="n">
        <v>0.7188463317705818</v>
      </c>
      <c r="Q103" s="22" t="n">
        <v>5.811564228338393</v>
      </c>
      <c r="R103" s="22" t="n">
        <v/>
      </c>
      <c r="S103" s="22" t="n">
        <v>0</v>
      </c>
      <c r="T103" s="22" t="n">
        <v>0</v>
      </c>
      <c r="U103" s="22" t="n">
        <v>0</v>
      </c>
      <c r="V103" s="17" t="n">
        <v>0</v>
      </c>
      <c r="W103" s="25" t="n">
        <v>0</v>
      </c>
      <c r="X103" s="25" t="n">
        <v>0</v>
      </c>
      <c r="Y103" s="25" t="n">
        <v>0</v>
      </c>
      <c r="Z103" s="22" t="n">
        <v>0</v>
      </c>
      <c r="AA103" s="22" t="n">
        <v>0</v>
      </c>
      <c r="AB103" s="25" t="n">
        <v>0</v>
      </c>
      <c r="AC103" s="25" t="n">
        <v>0</v>
      </c>
      <c r="AD103" s="25" t="n">
        <v>0</v>
      </c>
      <c r="AE103" s="21" t="n">
        <v>0</v>
      </c>
      <c r="AF103" s="22" t="n">
        <v>0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5" t="n">
        <v>216</v>
      </c>
      <c r="J104" s="15" t="n">
        <v>395</v>
      </c>
      <c r="K104" s="15" t="n">
        <v>78</v>
      </c>
      <c r="L104" s="15" t="n">
        <v>90</v>
      </c>
      <c r="M104" s="19" t="n">
        <v/>
      </c>
      <c r="N104" s="19" t="n">
        <v/>
      </c>
      <c r="O104" s="19" t="n">
        <v/>
      </c>
      <c r="P104" s="19" t="n">
        <v>0.7165006949415783</v>
      </c>
      <c r="Q104" s="20" t="n">
        <v>5.746983632367659</v>
      </c>
      <c r="R104" s="20" t="n">
        <v/>
      </c>
      <c r="S104" s="20" t="n">
        <v>0</v>
      </c>
      <c r="T104" s="20" t="n">
        <v>0</v>
      </c>
      <c r="U104" s="20" t="n">
        <v>0</v>
      </c>
      <c r="V104" s="15" t="n">
        <v>0</v>
      </c>
      <c r="W104" s="24" t="n">
        <v>0</v>
      </c>
      <c r="X104" s="24" t="n">
        <v>0</v>
      </c>
      <c r="Y104" s="24" t="n">
        <v>0</v>
      </c>
      <c r="Z104" s="20" t="n">
        <v>0</v>
      </c>
      <c r="AA104" s="20" t="n">
        <v>0</v>
      </c>
      <c r="AB104" s="24" t="n">
        <v>0</v>
      </c>
      <c r="AC104" s="24" t="n">
        <v>0</v>
      </c>
      <c r="AD104" s="24" t="n">
        <v>0</v>
      </c>
      <c r="AE104" s="19" t="n">
        <v>0</v>
      </c>
      <c r="AF104" s="20" t="n">
        <v>0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17" t="n">
        <v>216</v>
      </c>
      <c r="J105" s="17" t="n">
        <v>395</v>
      </c>
      <c r="K105" s="17" t="n">
        <v>77</v>
      </c>
      <c r="L105" s="17" t="n">
        <v>90</v>
      </c>
      <c r="M105" s="21" t="n">
        <v/>
      </c>
      <c r="N105" s="21" t="n">
        <v/>
      </c>
      <c r="O105" s="21" t="n">
        <v/>
      </c>
      <c r="P105" s="21" t="n">
        <v>0.7141627120601439</v>
      </c>
      <c r="Q105" s="22" t="n">
        <v>5.682191616330737</v>
      </c>
      <c r="R105" s="22" t="n">
        <v/>
      </c>
      <c r="S105" s="22" t="n">
        <v>0</v>
      </c>
      <c r="T105" s="22" t="n">
        <v>0</v>
      </c>
      <c r="U105" s="22" t="n">
        <v>0</v>
      </c>
      <c r="V105" s="17" t="n">
        <v>0</v>
      </c>
      <c r="W105" s="25" t="n">
        <v>0</v>
      </c>
      <c r="X105" s="25" t="n">
        <v>0</v>
      </c>
      <c r="Y105" s="25" t="n">
        <v>0</v>
      </c>
      <c r="Z105" s="22" t="n">
        <v>0</v>
      </c>
      <c r="AA105" s="22" t="n">
        <v>0</v>
      </c>
      <c r="AB105" s="25" t="n">
        <v>0</v>
      </c>
      <c r="AC105" s="25" t="n">
        <v>0</v>
      </c>
      <c r="AD105" s="25" t="n">
        <v>0</v>
      </c>
      <c r="AE105" s="21" t="n">
        <v>0</v>
      </c>
      <c r="AF105" s="22" t="n">
        <v>0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5" t="n">
        <v>216</v>
      </c>
      <c r="J106" s="15" t="n">
        <v>395</v>
      </c>
      <c r="K106" s="15" t="n">
        <v>76</v>
      </c>
      <c r="L106" s="15" t="n">
        <v>90</v>
      </c>
      <c r="M106" s="19" t="n">
        <v/>
      </c>
      <c r="N106" s="19" t="n">
        <v/>
      </c>
      <c r="O106" s="19" t="n">
        <v/>
      </c>
      <c r="P106" s="19" t="n">
        <v>0.7118323581510085</v>
      </c>
      <c r="Q106" s="20" t="n">
        <v>5.617187488093347</v>
      </c>
      <c r="R106" s="20" t="n">
        <v/>
      </c>
      <c r="S106" s="20" t="n">
        <v>0</v>
      </c>
      <c r="T106" s="20" t="n">
        <v>0</v>
      </c>
      <c r="U106" s="20" t="n">
        <v>0</v>
      </c>
      <c r="V106" s="15" t="n">
        <v>0</v>
      </c>
      <c r="W106" s="24" t="n">
        <v>0</v>
      </c>
      <c r="X106" s="24" t="n">
        <v>0</v>
      </c>
      <c r="Y106" s="24" t="n">
        <v>0</v>
      </c>
      <c r="Z106" s="20" t="n">
        <v>0</v>
      </c>
      <c r="AA106" s="20" t="n">
        <v>0</v>
      </c>
      <c r="AB106" s="24" t="n">
        <v>0</v>
      </c>
      <c r="AC106" s="24" t="n">
        <v>0</v>
      </c>
      <c r="AD106" s="24" t="n">
        <v>0</v>
      </c>
      <c r="AE106" s="19" t="n">
        <v>0</v>
      </c>
      <c r="AF106" s="20" t="n">
        <v>0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17" t="n">
        <v>216</v>
      </c>
      <c r="J107" s="17" t="n">
        <v>395</v>
      </c>
      <c r="K107" s="17" t="n">
        <v>75</v>
      </c>
      <c r="L107" s="17" t="n">
        <v>90</v>
      </c>
      <c r="M107" s="21" t="n">
        <v/>
      </c>
      <c r="N107" s="21" t="n">
        <v/>
      </c>
      <c r="O107" s="21" t="n">
        <v/>
      </c>
      <c r="P107" s="21" t="n">
        <v>0.7095096083203977</v>
      </c>
      <c r="Q107" s="22" t="n">
        <v>5.551970553255337</v>
      </c>
      <c r="R107" s="22" t="n">
        <v/>
      </c>
      <c r="S107" s="22" t="n">
        <v>0</v>
      </c>
      <c r="T107" s="22" t="n">
        <v>0</v>
      </c>
      <c r="U107" s="22" t="n">
        <v>0</v>
      </c>
      <c r="V107" s="17" t="n">
        <v>0</v>
      </c>
      <c r="W107" s="25" t="n">
        <v>0</v>
      </c>
      <c r="X107" s="25" t="n">
        <v>0</v>
      </c>
      <c r="Y107" s="25" t="n">
        <v>0</v>
      </c>
      <c r="Z107" s="22" t="n">
        <v>0</v>
      </c>
      <c r="AA107" s="22" t="n">
        <v>0</v>
      </c>
      <c r="AB107" s="25" t="n">
        <v>0</v>
      </c>
      <c r="AC107" s="25" t="n">
        <v>0</v>
      </c>
      <c r="AD107" s="25" t="n">
        <v>0</v>
      </c>
      <c r="AE107" s="21" t="n">
        <v>0</v>
      </c>
      <c r="AF107" s="22" t="n">
        <v>0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5" t="n">
        <v>216</v>
      </c>
      <c r="J108" s="15" t="n">
        <v>395</v>
      </c>
      <c r="K108" s="15" t="n">
        <v>74</v>
      </c>
      <c r="L108" s="15" t="n">
        <v>90</v>
      </c>
      <c r="M108" s="19" t="n">
        <v/>
      </c>
      <c r="N108" s="19" t="n">
        <v/>
      </c>
      <c r="O108" s="19" t="n">
        <v/>
      </c>
      <c r="P108" s="19" t="n">
        <v>0.7071944377557668</v>
      </c>
      <c r="Q108" s="20" t="n">
        <v>5.486540115143274</v>
      </c>
      <c r="R108" s="20" t="n">
        <v/>
      </c>
      <c r="S108" s="20" t="n">
        <v>0</v>
      </c>
      <c r="T108" s="20" t="n">
        <v>0</v>
      </c>
      <c r="U108" s="20" t="n">
        <v>0</v>
      </c>
      <c r="V108" s="15" t="n">
        <v>0</v>
      </c>
      <c r="W108" s="24" t="n">
        <v>0</v>
      </c>
      <c r="X108" s="24" t="n">
        <v>0</v>
      </c>
      <c r="Y108" s="24" t="n">
        <v>0</v>
      </c>
      <c r="Z108" s="20" t="n">
        <v>0</v>
      </c>
      <c r="AA108" s="20" t="n">
        <v>0</v>
      </c>
      <c r="AB108" s="24" t="n">
        <v>0</v>
      </c>
      <c r="AC108" s="24" t="n">
        <v>0</v>
      </c>
      <c r="AD108" s="24" t="n">
        <v>0</v>
      </c>
      <c r="AE108" s="19" t="n">
        <v>0</v>
      </c>
      <c r="AF108" s="20" t="n">
        <v>0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17" t="n">
        <v>216</v>
      </c>
      <c r="J109" s="17" t="n">
        <v>395</v>
      </c>
      <c r="K109" s="17" t="n">
        <v>73</v>
      </c>
      <c r="L109" s="17" t="n">
        <v>90</v>
      </c>
      <c r="M109" s="21" t="n">
        <v/>
      </c>
      <c r="N109" s="21" t="n">
        <v/>
      </c>
      <c r="O109" s="21" t="n">
        <v/>
      </c>
      <c r="P109" s="21" t="n">
        <v>0.7048868217255362</v>
      </c>
      <c r="Q109" s="22" t="n">
        <v>5.420895474803</v>
      </c>
      <c r="R109" s="22" t="n">
        <v/>
      </c>
      <c r="S109" s="22" t="n">
        <v>0</v>
      </c>
      <c r="T109" s="22" t="n">
        <v>0</v>
      </c>
      <c r="U109" s="22" t="n">
        <v>0</v>
      </c>
      <c r="V109" s="17" t="n">
        <v>0</v>
      </c>
      <c r="W109" s="25" t="n">
        <v>0</v>
      </c>
      <c r="X109" s="25" t="n">
        <v>0</v>
      </c>
      <c r="Y109" s="25" t="n">
        <v>0</v>
      </c>
      <c r="Z109" s="22" t="n">
        <v>0</v>
      </c>
      <c r="AA109" s="22" t="n">
        <v>0</v>
      </c>
      <c r="AB109" s="25" t="n">
        <v>0</v>
      </c>
      <c r="AC109" s="25" t="n">
        <v>0</v>
      </c>
      <c r="AD109" s="25" t="n">
        <v>0</v>
      </c>
      <c r="AE109" s="21" t="n">
        <v>0</v>
      </c>
      <c r="AF109" s="22" t="n">
        <v>0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5" t="n">
        <v>216</v>
      </c>
      <c r="J110" s="15" t="n">
        <v>395</v>
      </c>
      <c r="K110" s="15" t="n">
        <v>72</v>
      </c>
      <c r="L110" s="15" t="n">
        <v>90</v>
      </c>
      <c r="M110" s="19" t="n">
        <v/>
      </c>
      <c r="N110" s="19" t="n">
        <v/>
      </c>
      <c r="O110" s="19" t="n">
        <v/>
      </c>
      <c r="P110" s="19" t="n">
        <v>0.7025867355788266</v>
      </c>
      <c r="Q110" s="20" t="n">
        <v>5.355035930992155</v>
      </c>
      <c r="R110" s="20" t="n">
        <v/>
      </c>
      <c r="S110" s="20" t="n">
        <v>0</v>
      </c>
      <c r="T110" s="20" t="n">
        <v>0</v>
      </c>
      <c r="U110" s="20" t="n">
        <v>0</v>
      </c>
      <c r="V110" s="15" t="n">
        <v>0</v>
      </c>
      <c r="W110" s="24" t="n">
        <v>0</v>
      </c>
      <c r="X110" s="24" t="n">
        <v>0</v>
      </c>
      <c r="Y110" s="24" t="n">
        <v>0</v>
      </c>
      <c r="Z110" s="20" t="n">
        <v>0</v>
      </c>
      <c r="AA110" s="20" t="n">
        <v>0</v>
      </c>
      <c r="AB110" s="24" t="n">
        <v>0</v>
      </c>
      <c r="AC110" s="24" t="n">
        <v>0</v>
      </c>
      <c r="AD110" s="24" t="n">
        <v>0</v>
      </c>
      <c r="AE110" s="19" t="n">
        <v>0</v>
      </c>
      <c r="AF110" s="20" t="n">
        <v>0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17" t="n">
        <v>216</v>
      </c>
      <c r="J111" s="17" t="n">
        <v>395</v>
      </c>
      <c r="K111" s="17" t="n">
        <v>71</v>
      </c>
      <c r="L111" s="17" t="n">
        <v>90</v>
      </c>
      <c r="M111" s="21" t="n">
        <v/>
      </c>
      <c r="N111" s="21" t="n">
        <v/>
      </c>
      <c r="O111" s="21" t="n">
        <v/>
      </c>
      <c r="P111" s="21" t="n">
        <v>0.7002941547451959</v>
      </c>
      <c r="Q111" s="22" t="n">
        <v>5.288960780172699</v>
      </c>
      <c r="R111" s="22" t="n">
        <v/>
      </c>
      <c r="S111" s="22" t="n">
        <v>0</v>
      </c>
      <c r="T111" s="22" t="n">
        <v>0</v>
      </c>
      <c r="U111" s="22" t="n">
        <v>0</v>
      </c>
      <c r="V111" s="17" t="n">
        <v>0</v>
      </c>
      <c r="W111" s="25" t="n">
        <v>0</v>
      </c>
      <c r="X111" s="25" t="n">
        <v>0</v>
      </c>
      <c r="Y111" s="25" t="n">
        <v>0</v>
      </c>
      <c r="Z111" s="22" t="n">
        <v>0</v>
      </c>
      <c r="AA111" s="22" t="n">
        <v>0</v>
      </c>
      <c r="AB111" s="25" t="n">
        <v>0</v>
      </c>
      <c r="AC111" s="25" t="n">
        <v>0</v>
      </c>
      <c r="AD111" s="25" t="n">
        <v>0</v>
      </c>
      <c r="AE111" s="21" t="n">
        <v>0</v>
      </c>
      <c r="AF111" s="22" t="n">
        <v>0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5" t="n">
        <v>216</v>
      </c>
      <c r="J112" s="15" t="n">
        <v>395</v>
      </c>
      <c r="K112" s="15" t="n">
        <v>70</v>
      </c>
      <c r="L112" s="15" t="n">
        <v>90</v>
      </c>
      <c r="M112" s="19" t="n">
        <v/>
      </c>
      <c r="N112" s="19" t="n">
        <v/>
      </c>
      <c r="O112" s="19" t="n">
        <v/>
      </c>
      <c r="P112" s="19" t="n">
        <v>0.6980090547343769</v>
      </c>
      <c r="Q112" s="20" t="n">
        <v>5.22266931650339</v>
      </c>
      <c r="R112" s="20" t="n">
        <v/>
      </c>
      <c r="S112" s="20" t="n">
        <v>0</v>
      </c>
      <c r="T112" s="20" t="n">
        <v>0</v>
      </c>
      <c r="U112" s="20" t="n">
        <v>0</v>
      </c>
      <c r="V112" s="15" t="n">
        <v>0</v>
      </c>
      <c r="W112" s="24" t="n">
        <v>0</v>
      </c>
      <c r="X112" s="24" t="n">
        <v>0</v>
      </c>
      <c r="Y112" s="24" t="n">
        <v>0</v>
      </c>
      <c r="Z112" s="20" t="n">
        <v>0</v>
      </c>
      <c r="AA112" s="20" t="n">
        <v>0</v>
      </c>
      <c r="AB112" s="24" t="n">
        <v>0</v>
      </c>
      <c r="AC112" s="24" t="n">
        <v>0</v>
      </c>
      <c r="AD112" s="24" t="n">
        <v>0</v>
      </c>
      <c r="AE112" s="19" t="n">
        <v>0</v>
      </c>
      <c r="AF112" s="20" t="n">
        <v>0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17" t="n">
        <v>216</v>
      </c>
      <c r="J113" s="17" t="n">
        <v>395</v>
      </c>
      <c r="K113" s="17" t="n">
        <v>69</v>
      </c>
      <c r="L113" s="17" t="n">
        <v>90</v>
      </c>
      <c r="M113" s="21" t="n">
        <v/>
      </c>
      <c r="N113" s="21" t="n">
        <v/>
      </c>
      <c r="O113" s="21" t="n">
        <v/>
      </c>
      <c r="P113" s="21" t="n">
        <v>0.6957314111360156</v>
      </c>
      <c r="Q113" s="22" t="n">
        <v>5.156160831832247</v>
      </c>
      <c r="R113" s="22" t="n">
        <v/>
      </c>
      <c r="S113" s="22" t="n">
        <v>0</v>
      </c>
      <c r="T113" s="22" t="n">
        <v>0</v>
      </c>
      <c r="U113" s="22" t="n">
        <v>0</v>
      </c>
      <c r="V113" s="17" t="n">
        <v>0</v>
      </c>
      <c r="W113" s="25" t="n">
        <v>0</v>
      </c>
      <c r="X113" s="25" t="n">
        <v>0</v>
      </c>
      <c r="Y113" s="25" t="n">
        <v>0</v>
      </c>
      <c r="Z113" s="22" t="n">
        <v>0</v>
      </c>
      <c r="AA113" s="22" t="n">
        <v>0</v>
      </c>
      <c r="AB113" s="25" t="n">
        <v>0</v>
      </c>
      <c r="AC113" s="25" t="n">
        <v>0</v>
      </c>
      <c r="AD113" s="25" t="n">
        <v>0</v>
      </c>
      <c r="AE113" s="21" t="n">
        <v>0</v>
      </c>
      <c r="AF113" s="22" t="n">
        <v>0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5" t="n">
        <v>216</v>
      </c>
      <c r="J114" s="15" t="n">
        <v>395</v>
      </c>
      <c r="K114" s="15" t="n">
        <v>68</v>
      </c>
      <c r="L114" s="15" t="n">
        <v>90</v>
      </c>
      <c r="M114" s="19" t="n">
        <v/>
      </c>
      <c r="N114" s="19" t="n">
        <v/>
      </c>
      <c r="O114" s="19" t="n">
        <v/>
      </c>
      <c r="P114" s="19" t="n">
        <v>0.6934611996194101</v>
      </c>
      <c r="Q114" s="20" t="n">
        <v>5.089434615688981</v>
      </c>
      <c r="R114" s="20" t="n">
        <v/>
      </c>
      <c r="S114" s="20" t="n">
        <v>0</v>
      </c>
      <c r="T114" s="20" t="n">
        <v>0</v>
      </c>
      <c r="U114" s="20" t="n">
        <v>0</v>
      </c>
      <c r="V114" s="15" t="n">
        <v>0</v>
      </c>
      <c r="W114" s="24" t="n">
        <v>0</v>
      </c>
      <c r="X114" s="24" t="n">
        <v>0</v>
      </c>
      <c r="Y114" s="24" t="n">
        <v>0</v>
      </c>
      <c r="Z114" s="20" t="n">
        <v>0</v>
      </c>
      <c r="AA114" s="20" t="n">
        <v>0</v>
      </c>
      <c r="AB114" s="24" t="n">
        <v>0</v>
      </c>
      <c r="AC114" s="24" t="n">
        <v>0</v>
      </c>
      <c r="AD114" s="24" t="n">
        <v>0</v>
      </c>
      <c r="AE114" s="19" t="n">
        <v>0</v>
      </c>
      <c r="AF114" s="20" t="n">
        <v>0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17" t="n">
        <v>216</v>
      </c>
      <c r="J115" s="17" t="n">
        <v>395</v>
      </c>
      <c r="K115" s="17" t="n">
        <v>67</v>
      </c>
      <c r="L115" s="17" t="n">
        <v>90</v>
      </c>
      <c r="M115" s="21" t="n">
        <v/>
      </c>
      <c r="N115" s="21" t="n">
        <v/>
      </c>
      <c r="O115" s="21" t="n">
        <v/>
      </c>
      <c r="P115" s="21" t="n">
        <v>0.6911983959332514</v>
      </c>
      <c r="Q115" s="22" t="n">
        <v>5.022489955277413</v>
      </c>
      <c r="R115" s="22" t="n">
        <v/>
      </c>
      <c r="S115" s="22" t="n">
        <v>0</v>
      </c>
      <c r="T115" s="22" t="n">
        <v>0</v>
      </c>
      <c r="U115" s="22" t="n">
        <v>0</v>
      </c>
      <c r="V115" s="17" t="n">
        <v>0</v>
      </c>
      <c r="W115" s="25" t="n">
        <v>0</v>
      </c>
      <c r="X115" s="25" t="n">
        <v>0</v>
      </c>
      <c r="Y115" s="25" t="n">
        <v>0</v>
      </c>
      <c r="Z115" s="22" t="n">
        <v>0</v>
      </c>
      <c r="AA115" s="22" t="n">
        <v>0</v>
      </c>
      <c r="AB115" s="25" t="n">
        <v>0</v>
      </c>
      <c r="AC115" s="25" t="n">
        <v>0</v>
      </c>
      <c r="AD115" s="25" t="n">
        <v>0</v>
      </c>
      <c r="AE115" s="21" t="n">
        <v>0</v>
      </c>
      <c r="AF115" s="22" t="n">
        <v>0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5" t="n">
        <v>216</v>
      </c>
      <c r="J116" s="15" t="n">
        <v>395</v>
      </c>
      <c r="K116" s="15" t="n">
        <v>66</v>
      </c>
      <c r="L116" s="15" t="n">
        <v>90</v>
      </c>
      <c r="M116" s="19" t="n">
        <v/>
      </c>
      <c r="N116" s="19" t="n">
        <v/>
      </c>
      <c r="O116" s="19" t="n">
        <v/>
      </c>
      <c r="P116" s="19" t="n">
        <v>0.6889429759053635</v>
      </c>
      <c r="Q116" s="20" t="n">
        <v>4.955326135467849</v>
      </c>
      <c r="R116" s="20" t="n">
        <v/>
      </c>
      <c r="S116" s="20" t="n">
        <v>0</v>
      </c>
      <c r="T116" s="20" t="n">
        <v>0</v>
      </c>
      <c r="U116" s="20" t="n">
        <v>0</v>
      </c>
      <c r="V116" s="15" t="n">
        <v>0</v>
      </c>
      <c r="W116" s="24" t="n">
        <v>0</v>
      </c>
      <c r="X116" s="24" t="n">
        <v>0</v>
      </c>
      <c r="Y116" s="24" t="n">
        <v>0</v>
      </c>
      <c r="Z116" s="20" t="n">
        <v>0</v>
      </c>
      <c r="AA116" s="20" t="n">
        <v>0</v>
      </c>
      <c r="AB116" s="24" t="n">
        <v>0</v>
      </c>
      <c r="AC116" s="24" t="n">
        <v>0</v>
      </c>
      <c r="AD116" s="24" t="n">
        <v>0</v>
      </c>
      <c r="AE116" s="19" t="n">
        <v>0</v>
      </c>
      <c r="AF116" s="20" t="n">
        <v>0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17" t="n">
        <v>216</v>
      </c>
      <c r="J117" s="17" t="n">
        <v>395</v>
      </c>
      <c r="K117" s="17" t="n">
        <v>65</v>
      </c>
      <c r="L117" s="17" t="n">
        <v>90</v>
      </c>
      <c r="M117" s="21" t="n">
        <v/>
      </c>
      <c r="N117" s="21" t="n">
        <v/>
      </c>
      <c r="O117" s="21" t="n">
        <v/>
      </c>
      <c r="P117" s="21" t="n">
        <v>0.6866949154424458</v>
      </c>
      <c r="Q117" s="22" t="n">
        <v>4.887942438789449</v>
      </c>
      <c r="R117" s="22" t="n">
        <v/>
      </c>
      <c r="S117" s="22" t="n">
        <v>0</v>
      </c>
      <c r="T117" s="22" t="n">
        <v>0</v>
      </c>
      <c r="U117" s="22" t="n">
        <v>0</v>
      </c>
      <c r="V117" s="17" t="n">
        <v>0</v>
      </c>
      <c r="W117" s="25" t="n">
        <v>0</v>
      </c>
      <c r="X117" s="25" t="n">
        <v>0</v>
      </c>
      <c r="Y117" s="25" t="n">
        <v>0</v>
      </c>
      <c r="Z117" s="22" t="n">
        <v>0</v>
      </c>
      <c r="AA117" s="22" t="n">
        <v>0</v>
      </c>
      <c r="AB117" s="25" t="n">
        <v>0</v>
      </c>
      <c r="AC117" s="25" t="n">
        <v>0</v>
      </c>
      <c r="AD117" s="25" t="n">
        <v>0</v>
      </c>
      <c r="AE117" s="21" t="n">
        <v>0</v>
      </c>
      <c r="AF117" s="22" t="n">
        <v>0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5" t="n">
        <v>216</v>
      </c>
      <c r="J118" s="15" t="n">
        <v>395</v>
      </c>
      <c r="K118" s="15" t="n">
        <v>64</v>
      </c>
      <c r="L118" s="15" t="n">
        <v>90</v>
      </c>
      <c r="M118" s="19" t="n">
        <v/>
      </c>
      <c r="N118" s="19" t="n">
        <v/>
      </c>
      <c r="O118" s="19" t="n">
        <v/>
      </c>
      <c r="P118" s="19" t="n">
        <v>0.6844541905298156</v>
      </c>
      <c r="Q118" s="20" t="n">
        <v>4.820338145422563</v>
      </c>
      <c r="R118" s="20" t="n">
        <v/>
      </c>
      <c r="S118" s="20" t="n">
        <v>0</v>
      </c>
      <c r="T118" s="20" t="n">
        <v>0</v>
      </c>
      <c r="U118" s="20" t="n">
        <v>0</v>
      </c>
      <c r="V118" s="15" t="n">
        <v>0</v>
      </c>
      <c r="W118" s="24" t="n">
        <v>0</v>
      </c>
      <c r="X118" s="24" t="n">
        <v>0</v>
      </c>
      <c r="Y118" s="24" t="n">
        <v>0</v>
      </c>
      <c r="Z118" s="20" t="n">
        <v>0</v>
      </c>
      <c r="AA118" s="20" t="n">
        <v>0</v>
      </c>
      <c r="AB118" s="24" t="n">
        <v>0</v>
      </c>
      <c r="AC118" s="24" t="n">
        <v>0</v>
      </c>
      <c r="AD118" s="24" t="n">
        <v>0</v>
      </c>
      <c r="AE118" s="19" t="n">
        <v>0</v>
      </c>
      <c r="AF118" s="20" t="n">
        <v>0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17" t="n">
        <v>216</v>
      </c>
      <c r="J119" s="17" t="n">
        <v>395</v>
      </c>
      <c r="K119" s="17" t="n">
        <v>63</v>
      </c>
      <c r="L119" s="17" t="n">
        <v>90</v>
      </c>
      <c r="M119" s="21" t="n">
        <v/>
      </c>
      <c r="N119" s="21" t="n">
        <v/>
      </c>
      <c r="O119" s="21" t="n">
        <v/>
      </c>
      <c r="P119" s="21" t="n">
        <v>0.6822207772311513</v>
      </c>
      <c r="Q119" s="22" t="n">
        <v>4.752512533191035</v>
      </c>
      <c r="R119" s="22" t="n">
        <v/>
      </c>
      <c r="S119" s="22" t="n">
        <v>0</v>
      </c>
      <c r="T119" s="22" t="n">
        <v>0</v>
      </c>
      <c r="U119" s="22" t="n">
        <v>0</v>
      </c>
      <c r="V119" s="17" t="n">
        <v>0</v>
      </c>
      <c r="W119" s="25" t="n">
        <v>0</v>
      </c>
      <c r="X119" s="25" t="n">
        <v>0</v>
      </c>
      <c r="Y119" s="25" t="n">
        <v>0</v>
      </c>
      <c r="Z119" s="22" t="n">
        <v>0</v>
      </c>
      <c r="AA119" s="22" t="n">
        <v>0</v>
      </c>
      <c r="AB119" s="25" t="n">
        <v>0</v>
      </c>
      <c r="AC119" s="25" t="n">
        <v>0</v>
      </c>
      <c r="AD119" s="25" t="n">
        <v>0</v>
      </c>
      <c r="AE119" s="21" t="n">
        <v>0</v>
      </c>
      <c r="AF119" s="22" t="n">
        <v>0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5" t="n">
        <v>216</v>
      </c>
      <c r="J120" s="15" t="n">
        <v>395</v>
      </c>
      <c r="K120" s="15" t="n">
        <v>62</v>
      </c>
      <c r="L120" s="15" t="n">
        <v>90</v>
      </c>
      <c r="M120" s="19" t="n">
        <v/>
      </c>
      <c r="N120" s="19" t="n">
        <v/>
      </c>
      <c r="O120" s="19" t="n">
        <v/>
      </c>
      <c r="P120" s="19" t="n">
        <v>0.679994651688237</v>
      </c>
      <c r="Q120" s="20" t="n">
        <v>4.684464877554491</v>
      </c>
      <c r="R120" s="20" t="n">
        <v/>
      </c>
      <c r="S120" s="20" t="n">
        <v>0</v>
      </c>
      <c r="T120" s="20" t="n">
        <v>0</v>
      </c>
      <c r="U120" s="20" t="n">
        <v>0</v>
      </c>
      <c r="V120" s="15" t="n">
        <v>0</v>
      </c>
      <c r="W120" s="24" t="n">
        <v>0</v>
      </c>
      <c r="X120" s="24" t="n">
        <v>0</v>
      </c>
      <c r="Y120" s="24" t="n">
        <v>0</v>
      </c>
      <c r="Z120" s="20" t="n">
        <v>0</v>
      </c>
      <c r="AA120" s="20" t="n">
        <v>0</v>
      </c>
      <c r="AB120" s="24" t="n">
        <v>0</v>
      </c>
      <c r="AC120" s="24" t="n">
        <v>0</v>
      </c>
      <c r="AD120" s="24" t="n">
        <v>0</v>
      </c>
      <c r="AE120" s="19" t="n">
        <v>0</v>
      </c>
      <c r="AF120" s="20" t="n">
        <v>0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17" t="n">
        <v>216</v>
      </c>
      <c r="J121" s="17" t="n">
        <v>395</v>
      </c>
      <c r="K121" s="17" t="n">
        <v>61</v>
      </c>
      <c r="L121" s="17" t="n">
        <v>90</v>
      </c>
      <c r="M121" s="21" t="n">
        <v/>
      </c>
      <c r="N121" s="21" t="n">
        <v/>
      </c>
      <c r="O121" s="21" t="n">
        <v/>
      </c>
      <c r="P121" s="21" t="n">
        <v>0.6777757901207075</v>
      </c>
      <c r="Q121" s="22" t="n">
        <v>4.616194451600606</v>
      </c>
      <c r="R121" s="22" t="n">
        <v/>
      </c>
      <c r="S121" s="22" t="n">
        <v>0</v>
      </c>
      <c r="T121" s="22" t="n">
        <v>0</v>
      </c>
      <c r="U121" s="22" t="n">
        <v>0</v>
      </c>
      <c r="V121" s="17" t="n">
        <v>0</v>
      </c>
      <c r="W121" s="25" t="n">
        <v>0</v>
      </c>
      <c r="X121" s="25" t="n">
        <v>0</v>
      </c>
      <c r="Y121" s="25" t="n">
        <v>0</v>
      </c>
      <c r="Z121" s="22" t="n">
        <v>0</v>
      </c>
      <c r="AA121" s="22" t="n">
        <v>0</v>
      </c>
      <c r="AB121" s="25" t="n">
        <v>0</v>
      </c>
      <c r="AC121" s="25" t="n">
        <v>0</v>
      </c>
      <c r="AD121" s="25" t="n">
        <v>0</v>
      </c>
      <c r="AE121" s="21" t="n">
        <v>0</v>
      </c>
      <c r="AF121" s="22" t="n">
        <v>0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5" t="n">
        <v>216</v>
      </c>
      <c r="J122" s="15" t="n">
        <v>395</v>
      </c>
      <c r="K122" s="15" t="n">
        <v>60</v>
      </c>
      <c r="L122" s="15" t="n">
        <v>90</v>
      </c>
      <c r="M122" s="19" t="n">
        <v/>
      </c>
      <c r="N122" s="19" t="n">
        <v/>
      </c>
      <c r="O122" s="19" t="n">
        <v/>
      </c>
      <c r="P122" s="19" t="n">
        <v>0.6755641688257944</v>
      </c>
      <c r="Q122" s="20" t="n">
        <v>4.547700526037326</v>
      </c>
      <c r="R122" s="20" t="n">
        <v/>
      </c>
      <c r="S122" s="20" t="n">
        <v>0</v>
      </c>
      <c r="T122" s="20" t="n">
        <v>0</v>
      </c>
      <c r="U122" s="20" t="n">
        <v>0</v>
      </c>
      <c r="V122" s="15" t="n">
        <v>0</v>
      </c>
      <c r="W122" s="24" t="n">
        <v>0</v>
      </c>
      <c r="X122" s="24" t="n">
        <v>0</v>
      </c>
      <c r="Y122" s="24" t="n">
        <v>0</v>
      </c>
      <c r="Z122" s="20" t="n">
        <v>0</v>
      </c>
      <c r="AA122" s="20" t="n">
        <v>0</v>
      </c>
      <c r="AB122" s="24" t="n">
        <v>0</v>
      </c>
      <c r="AC122" s="24" t="n">
        <v>0</v>
      </c>
      <c r="AD122" s="24" t="n">
        <v>0</v>
      </c>
      <c r="AE122" s="19" t="n">
        <v>0</v>
      </c>
      <c r="AF122" s="20" t="n">
        <v>0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17" t="n">
        <v>216</v>
      </c>
      <c r="J123" s="17" t="n">
        <v>395</v>
      </c>
      <c r="K123" s="17" t="n">
        <v>59</v>
      </c>
      <c r="L123" s="17" t="n">
        <v>90</v>
      </c>
      <c r="M123" s="21" t="n">
        <v/>
      </c>
      <c r="N123" s="21" t="n">
        <v/>
      </c>
      <c r="O123" s="21" t="n">
        <v/>
      </c>
      <c r="P123" s="21" t="n">
        <v>0.6733597641780725</v>
      </c>
      <c r="Q123" s="22" t="n">
        <v>4.478982369185091</v>
      </c>
      <c r="R123" s="22" t="n">
        <v/>
      </c>
      <c r="S123" s="22" t="n">
        <v>0</v>
      </c>
      <c r="T123" s="22" t="n">
        <v>0</v>
      </c>
      <c r="U123" s="22" t="n">
        <v>0</v>
      </c>
      <c r="V123" s="17" t="n">
        <v>0</v>
      </c>
      <c r="W123" s="25" t="n">
        <v>0</v>
      </c>
      <c r="X123" s="25" t="n">
        <v>0</v>
      </c>
      <c r="Y123" s="25" t="n">
        <v>0</v>
      </c>
      <c r="Z123" s="22" t="n">
        <v>0</v>
      </c>
      <c r="AA123" s="22" t="n">
        <v>0</v>
      </c>
      <c r="AB123" s="25" t="n">
        <v>0</v>
      </c>
      <c r="AC123" s="25" t="n">
        <v>0</v>
      </c>
      <c r="AD123" s="25" t="n">
        <v>0</v>
      </c>
      <c r="AE123" s="21" t="n">
        <v>0</v>
      </c>
      <c r="AF123" s="22" t="n">
        <v>0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5" t="n">
        <v>216</v>
      </c>
      <c r="J124" s="15" t="n">
        <v>395</v>
      </c>
      <c r="K124" s="15" t="n">
        <v>58</v>
      </c>
      <c r="L124" s="15" t="n">
        <v>90</v>
      </c>
      <c r="M124" s="19" t="n">
        <v/>
      </c>
      <c r="N124" s="19" t="n">
        <v/>
      </c>
      <c r="O124" s="19" t="n">
        <v/>
      </c>
      <c r="P124" s="19" t="n">
        <v>0.6711625526292081</v>
      </c>
      <c r="Q124" s="20" t="n">
        <v>4.41003924696901</v>
      </c>
      <c r="R124" s="20" t="n">
        <v/>
      </c>
      <c r="S124" s="20" t="n">
        <v>0</v>
      </c>
      <c r="T124" s="20" t="n">
        <v>0</v>
      </c>
      <c r="U124" s="20" t="n">
        <v>0</v>
      </c>
      <c r="V124" s="15" t="n">
        <v>0</v>
      </c>
      <c r="W124" s="24" t="n">
        <v>0</v>
      </c>
      <c r="X124" s="24" t="n">
        <v>0</v>
      </c>
      <c r="Y124" s="24" t="n">
        <v>0</v>
      </c>
      <c r="Z124" s="20" t="n">
        <v>0</v>
      </c>
      <c r="AA124" s="20" t="n">
        <v>0</v>
      </c>
      <c r="AB124" s="24" t="n">
        <v>0</v>
      </c>
      <c r="AC124" s="24" t="n">
        <v>0</v>
      </c>
      <c r="AD124" s="24" t="n">
        <v>0</v>
      </c>
      <c r="AE124" s="19" t="n">
        <v>0</v>
      </c>
      <c r="AF124" s="20" t="n">
        <v>0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17" t="n">
        <v>216</v>
      </c>
      <c r="J125" s="17" t="n">
        <v>395</v>
      </c>
      <c r="K125" s="17" t="n">
        <v>57</v>
      </c>
      <c r="L125" s="17" t="n">
        <v>90</v>
      </c>
      <c r="M125" s="21" t="n">
        <v/>
      </c>
      <c r="N125" s="21" t="n">
        <v/>
      </c>
      <c r="O125" s="21" t="n">
        <v/>
      </c>
      <c r="P125" s="21" t="n">
        <v>0.6689725107077068</v>
      </c>
      <c r="Q125" s="22" t="n">
        <v>4.340870422911021</v>
      </c>
      <c r="R125" s="22" t="n">
        <v/>
      </c>
      <c r="S125" s="22" t="n">
        <v>0</v>
      </c>
      <c r="T125" s="22" t="n">
        <v>0</v>
      </c>
      <c r="U125" s="22" t="n">
        <v>0</v>
      </c>
      <c r="V125" s="17" t="n">
        <v>0</v>
      </c>
      <c r="W125" s="25" t="n">
        <v>0</v>
      </c>
      <c r="X125" s="25" t="n">
        <v>0</v>
      </c>
      <c r="Y125" s="25" t="n">
        <v>0</v>
      </c>
      <c r="Z125" s="22" t="n">
        <v>0</v>
      </c>
      <c r="AA125" s="22" t="n">
        <v>0</v>
      </c>
      <c r="AB125" s="25" t="n">
        <v>0</v>
      </c>
      <c r="AC125" s="25" t="n">
        <v>0</v>
      </c>
      <c r="AD125" s="25" t="n">
        <v>0</v>
      </c>
      <c r="AE125" s="21" t="n">
        <v>0</v>
      </c>
      <c r="AF125" s="22" t="n">
        <v>0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5" t="n">
        <v>216</v>
      </c>
      <c r="J126" s="15" t="n">
        <v>395</v>
      </c>
      <c r="K126" s="15" t="n">
        <v>56</v>
      </c>
      <c r="L126" s="15" t="n">
        <v>90</v>
      </c>
      <c r="M126" s="19" t="n">
        <v/>
      </c>
      <c r="N126" s="19" t="n">
        <v/>
      </c>
      <c r="O126" s="19" t="n">
        <v/>
      </c>
      <c r="P126" s="19" t="n">
        <v>0.6667896150186631</v>
      </c>
      <c r="Q126" s="20" t="n">
        <v>4.271475158122025</v>
      </c>
      <c r="R126" s="20" t="n">
        <v/>
      </c>
      <c r="S126" s="20" t="n">
        <v>0</v>
      </c>
      <c r="T126" s="20" t="n">
        <v>0</v>
      </c>
      <c r="U126" s="20" t="n">
        <v>0</v>
      </c>
      <c r="V126" s="15" t="n">
        <v>0</v>
      </c>
      <c r="W126" s="24" t="n">
        <v>0</v>
      </c>
      <c r="X126" s="24" t="n">
        <v>0</v>
      </c>
      <c r="Y126" s="24" t="n">
        <v>0</v>
      </c>
      <c r="Z126" s="20" t="n">
        <v>0</v>
      </c>
      <c r="AA126" s="20" t="n">
        <v>0</v>
      </c>
      <c r="AB126" s="24" t="n">
        <v>0</v>
      </c>
      <c r="AC126" s="24" t="n">
        <v>0</v>
      </c>
      <c r="AD126" s="24" t="n">
        <v>0</v>
      </c>
      <c r="AE126" s="19" t="n">
        <v>0</v>
      </c>
      <c r="AF126" s="20" t="n">
        <v>0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17" t="n">
        <v>216</v>
      </c>
      <c r="J127" s="17" t="n">
        <v>395</v>
      </c>
      <c r="K127" s="17" t="n">
        <v>55</v>
      </c>
      <c r="L127" s="17" t="n">
        <v>90</v>
      </c>
      <c r="M127" s="21" t="n">
        <v/>
      </c>
      <c r="N127" s="21" t="n">
        <v/>
      </c>
      <c r="O127" s="21" t="n">
        <v/>
      </c>
      <c r="P127" s="21" t="n">
        <v>0.6646138422435104</v>
      </c>
      <c r="Q127" s="22" t="n">
        <v>4.201852711293994</v>
      </c>
      <c r="R127" s="22" t="n">
        <v/>
      </c>
      <c r="S127" s="22" t="n">
        <v>0</v>
      </c>
      <c r="T127" s="22" t="n">
        <v>0</v>
      </c>
      <c r="U127" s="22" t="n">
        <v>0</v>
      </c>
      <c r="V127" s="17" t="n">
        <v>0</v>
      </c>
      <c r="W127" s="25" t="n">
        <v>0</v>
      </c>
      <c r="X127" s="25" t="n">
        <v>0</v>
      </c>
      <c r="Y127" s="25" t="n">
        <v>0</v>
      </c>
      <c r="Z127" s="22" t="n">
        <v>0</v>
      </c>
      <c r="AA127" s="22" t="n">
        <v>0</v>
      </c>
      <c r="AB127" s="25" t="n">
        <v>0</v>
      </c>
      <c r="AC127" s="25" t="n">
        <v>0</v>
      </c>
      <c r="AD127" s="25" t="n">
        <v>0</v>
      </c>
      <c r="AE127" s="21" t="n">
        <v>0</v>
      </c>
      <c r="AF127" s="22" t="n">
        <v>0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5" t="n">
        <v>216</v>
      </c>
      <c r="J128" s="15" t="n">
        <v>395</v>
      </c>
      <c r="K128" s="15" t="n">
        <v>54</v>
      </c>
      <c r="L128" s="15" t="n">
        <v>90</v>
      </c>
      <c r="M128" s="19" t="n">
        <v/>
      </c>
      <c r="N128" s="19" t="n">
        <v/>
      </c>
      <c r="O128" s="19" t="n">
        <v/>
      </c>
      <c r="P128" s="19" t="n">
        <v>0.662445169139772</v>
      </c>
      <c r="Q128" s="20" t="n">
        <v>4.132002338692048</v>
      </c>
      <c r="R128" s="20" t="n">
        <v/>
      </c>
      <c r="S128" s="20" t="n">
        <v>0</v>
      </c>
      <c r="T128" s="20" t="n">
        <v>0</v>
      </c>
      <c r="U128" s="20" t="n">
        <v>0</v>
      </c>
      <c r="V128" s="15" t="n">
        <v>0</v>
      </c>
      <c r="W128" s="24" t="n">
        <v>0</v>
      </c>
      <c r="X128" s="24" t="n">
        <v>0</v>
      </c>
      <c r="Y128" s="24" t="n">
        <v>0</v>
      </c>
      <c r="Z128" s="20" t="n">
        <v>0</v>
      </c>
      <c r="AA128" s="20" t="n">
        <v>0</v>
      </c>
      <c r="AB128" s="24" t="n">
        <v>0</v>
      </c>
      <c r="AC128" s="24" t="n">
        <v>0</v>
      </c>
      <c r="AD128" s="24" t="n">
        <v>0</v>
      </c>
      <c r="AE128" s="19" t="n">
        <v>0</v>
      </c>
      <c r="AF128" s="20" t="n">
        <v>0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17" t="n">
        <v>216</v>
      </c>
      <c r="J129" s="17" t="n">
        <v>395</v>
      </c>
      <c r="K129" s="17" t="n">
        <v>53</v>
      </c>
      <c r="L129" s="17" t="n">
        <v>90</v>
      </c>
      <c r="M129" s="21" t="n">
        <v/>
      </c>
      <c r="N129" s="21" t="n">
        <v/>
      </c>
      <c r="O129" s="21" t="n">
        <v/>
      </c>
      <c r="P129" s="21" t="n">
        <v>0.6602835725408127</v>
      </c>
      <c r="Q129" s="22" t="n">
        <v>4.061923294146513</v>
      </c>
      <c r="R129" s="22" t="n">
        <v/>
      </c>
      <c r="S129" s="22" t="n">
        <v>0</v>
      </c>
      <c r="T129" s="22" t="n">
        <v>0</v>
      </c>
      <c r="U129" s="22" t="n">
        <v>0</v>
      </c>
      <c r="V129" s="17" t="n">
        <v>0</v>
      </c>
      <c r="W129" s="25" t="n">
        <v>0</v>
      </c>
      <c r="X129" s="25" t="n">
        <v>0</v>
      </c>
      <c r="Y129" s="25" t="n">
        <v>0</v>
      </c>
      <c r="Z129" s="22" t="n">
        <v>0</v>
      </c>
      <c r="AA129" s="22" t="n">
        <v>0</v>
      </c>
      <c r="AB129" s="25" t="n">
        <v>0</v>
      </c>
      <c r="AC129" s="25" t="n">
        <v>0</v>
      </c>
      <c r="AD129" s="25" t="n">
        <v>0</v>
      </c>
      <c r="AE129" s="21" t="n">
        <v>0</v>
      </c>
      <c r="AF129" s="22" t="n">
        <v>0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5" t="n">
        <v>216</v>
      </c>
      <c r="J130" s="15" t="n">
        <v>395</v>
      </c>
      <c r="K130" s="15" t="n">
        <v>52</v>
      </c>
      <c r="L130" s="15" t="n">
        <v>90</v>
      </c>
      <c r="M130" s="19" t="n">
        <v/>
      </c>
      <c r="N130" s="19" t="n">
        <v/>
      </c>
      <c r="O130" s="19" t="n">
        <v/>
      </c>
      <c r="P130" s="19" t="n">
        <v>0.6581290293555914</v>
      </c>
      <c r="Q130" s="20" t="n">
        <v>3.991614829044951</v>
      </c>
      <c r="R130" s="20" t="n">
        <v/>
      </c>
      <c r="S130" s="20" t="n">
        <v>0</v>
      </c>
      <c r="T130" s="20" t="n">
        <v>0</v>
      </c>
      <c r="U130" s="20" t="n">
        <v>0</v>
      </c>
      <c r="V130" s="15" t="n">
        <v>0</v>
      </c>
      <c r="W130" s="24" t="n">
        <v>0</v>
      </c>
      <c r="X130" s="24" t="n">
        <v>0</v>
      </c>
      <c r="Y130" s="24" t="n">
        <v>0</v>
      </c>
      <c r="Z130" s="20" t="n">
        <v>0</v>
      </c>
      <c r="AA130" s="20" t="n">
        <v>0</v>
      </c>
      <c r="AB130" s="24" t="n">
        <v>0</v>
      </c>
      <c r="AC130" s="24" t="n">
        <v>0</v>
      </c>
      <c r="AD130" s="24" t="n">
        <v>0</v>
      </c>
      <c r="AE130" s="19" t="n">
        <v>0</v>
      </c>
      <c r="AF130" s="20" t="n">
        <v>0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17" t="n">
        <v>216</v>
      </c>
      <c r="J131" s="17" t="n">
        <v>395</v>
      </c>
      <c r="K131" s="17" t="n">
        <v>51</v>
      </c>
      <c r="L131" s="17" t="n">
        <v>90</v>
      </c>
      <c r="M131" s="21" t="n">
        <v/>
      </c>
      <c r="N131" s="21" t="n">
        <v/>
      </c>
      <c r="O131" s="21" t="n">
        <v/>
      </c>
      <c r="P131" s="21" t="n">
        <v>0.6559815165684142</v>
      </c>
      <c r="Q131" s="22" t="n">
        <v>3.92107619232416</v>
      </c>
      <c r="R131" s="22" t="n">
        <v/>
      </c>
      <c r="S131" s="22" t="n">
        <v>0</v>
      </c>
      <c r="T131" s="22" t="n">
        <v>0</v>
      </c>
      <c r="U131" s="22" t="n">
        <v>0</v>
      </c>
      <c r="V131" s="17" t="n">
        <v>0</v>
      </c>
      <c r="W131" s="25" t="n">
        <v>0</v>
      </c>
      <c r="X131" s="25" t="n">
        <v>0</v>
      </c>
      <c r="Y131" s="25" t="n">
        <v>0</v>
      </c>
      <c r="Z131" s="22" t="n">
        <v>0</v>
      </c>
      <c r="AA131" s="22" t="n">
        <v>0</v>
      </c>
      <c r="AB131" s="25" t="n">
        <v>0</v>
      </c>
      <c r="AC131" s="25" t="n">
        <v>0</v>
      </c>
      <c r="AD131" s="25" t="n">
        <v>0</v>
      </c>
      <c r="AE131" s="21" t="n">
        <v>0</v>
      </c>
      <c r="AF131" s="22" t="n">
        <v>0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5" t="n">
        <v>216</v>
      </c>
      <c r="J132" s="15" t="n">
        <v>395</v>
      </c>
      <c r="K132" s="15" t="n">
        <v>50</v>
      </c>
      <c r="L132" s="15" t="n">
        <v>90</v>
      </c>
      <c r="M132" s="19" t="n">
        <v/>
      </c>
      <c r="N132" s="19" t="n">
        <v/>
      </c>
      <c r="O132" s="19" t="n">
        <v/>
      </c>
      <c r="P132" s="19" t="n">
        <v>0.6538410112386889</v>
      </c>
      <c r="Q132" s="20" t="n">
        <v>3.850306630462156</v>
      </c>
      <c r="R132" s="20" t="n">
        <v/>
      </c>
      <c r="S132" s="20" t="n">
        <v>0</v>
      </c>
      <c r="T132" s="20" t="n">
        <v>0</v>
      </c>
      <c r="U132" s="20" t="n">
        <v>0</v>
      </c>
      <c r="V132" s="15" t="n">
        <v>0</v>
      </c>
      <c r="W132" s="24" t="n">
        <v>0</v>
      </c>
      <c r="X132" s="24" t="n">
        <v>0</v>
      </c>
      <c r="Y132" s="24" t="n">
        <v>0</v>
      </c>
      <c r="Z132" s="20" t="n">
        <v>0</v>
      </c>
      <c r="AA132" s="20" t="n">
        <v>0</v>
      </c>
      <c r="AB132" s="24" t="n">
        <v>0</v>
      </c>
      <c r="AC132" s="24" t="n">
        <v>0</v>
      </c>
      <c r="AD132" s="24" t="n">
        <v>0</v>
      </c>
      <c r="AE132" s="19" t="n">
        <v>0</v>
      </c>
      <c r="AF132" s="20" t="n">
        <v>0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17" t="n">
        <v>216</v>
      </c>
      <c r="J133" s="17" t="n">
        <v>395</v>
      </c>
      <c r="K133" s="17" t="n">
        <v>49</v>
      </c>
      <c r="L133" s="17" t="n">
        <v>90</v>
      </c>
      <c r="M133" s="21" t="n">
        <v/>
      </c>
      <c r="N133" s="21" t="n">
        <v/>
      </c>
      <c r="O133" s="21" t="n">
        <v/>
      </c>
      <c r="P133" s="21" t="n">
        <v>0.6517074905006798</v>
      </c>
      <c r="Q133" s="22" t="n">
        <v>3.779305387470114</v>
      </c>
      <c r="R133" s="22" t="n">
        <v/>
      </c>
      <c r="S133" s="22" t="n">
        <v>0</v>
      </c>
      <c r="T133" s="22" t="n">
        <v>0</v>
      </c>
      <c r="U133" s="22" t="n">
        <v>0</v>
      </c>
      <c r="V133" s="17" t="n">
        <v>0</v>
      </c>
      <c r="W133" s="25" t="n">
        <v>0</v>
      </c>
      <c r="X133" s="25" t="n">
        <v>0</v>
      </c>
      <c r="Y133" s="25" t="n">
        <v>0</v>
      </c>
      <c r="Z133" s="22" t="n">
        <v>0</v>
      </c>
      <c r="AA133" s="22" t="n">
        <v>0</v>
      </c>
      <c r="AB133" s="25" t="n">
        <v>0</v>
      </c>
      <c r="AC133" s="25" t="n">
        <v>0</v>
      </c>
      <c r="AD133" s="25" t="n">
        <v>0</v>
      </c>
      <c r="AE133" s="21" t="n">
        <v>0</v>
      </c>
      <c r="AF133" s="22" t="n">
        <v>0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5" t="n">
        <v>216</v>
      </c>
      <c r="J134" s="15" t="n">
        <v>395</v>
      </c>
      <c r="K134" s="15" t="n">
        <v>48</v>
      </c>
      <c r="L134" s="15" t="n">
        <v>90</v>
      </c>
      <c r="M134" s="19" t="n">
        <v/>
      </c>
      <c r="N134" s="19" t="n">
        <v/>
      </c>
      <c r="O134" s="19" t="n">
        <v/>
      </c>
      <c r="P134" s="19" t="n">
        <v>0.6495809315632632</v>
      </c>
      <c r="Q134" s="20" t="n">
        <v>3.708071704884304</v>
      </c>
      <c r="R134" s="20" t="n">
        <v/>
      </c>
      <c r="S134" s="20" t="n">
        <v>0</v>
      </c>
      <c r="T134" s="20" t="n">
        <v>0</v>
      </c>
      <c r="U134" s="20" t="n">
        <v>0</v>
      </c>
      <c r="V134" s="15" t="n">
        <v>0</v>
      </c>
      <c r="W134" s="24" t="n">
        <v>0</v>
      </c>
      <c r="X134" s="24" t="n">
        <v>0</v>
      </c>
      <c r="Y134" s="24" t="n">
        <v>0</v>
      </c>
      <c r="Z134" s="20" t="n">
        <v>0</v>
      </c>
      <c r="AA134" s="20" t="n">
        <v>0</v>
      </c>
      <c r="AB134" s="24" t="n">
        <v>0</v>
      </c>
      <c r="AC134" s="24" t="n">
        <v>0</v>
      </c>
      <c r="AD134" s="24" t="n">
        <v>0</v>
      </c>
      <c r="AE134" s="19" t="n">
        <v>0</v>
      </c>
      <c r="AF134" s="20" t="n">
        <v>0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17" t="n">
        <v>216</v>
      </c>
      <c r="J135" s="17" t="n">
        <v>395</v>
      </c>
      <c r="K135" s="17" t="n">
        <v>47</v>
      </c>
      <c r="L135" s="17" t="n">
        <v>90</v>
      </c>
      <c r="M135" s="21" t="n">
        <v/>
      </c>
      <c r="N135" s="21" t="n">
        <v/>
      </c>
      <c r="O135" s="21" t="n">
        <v/>
      </c>
      <c r="P135" s="21" t="n">
        <v>0.6474613117096846</v>
      </c>
      <c r="Q135" s="22" t="n">
        <v>3.636604821757979</v>
      </c>
      <c r="R135" s="22" t="n">
        <v/>
      </c>
      <c r="S135" s="22" t="n">
        <v>0</v>
      </c>
      <c r="T135" s="22" t="n">
        <v>0</v>
      </c>
      <c r="U135" s="22" t="n">
        <v>0</v>
      </c>
      <c r="V135" s="17" t="n">
        <v>0</v>
      </c>
      <c r="W135" s="25" t="n">
        <v>0</v>
      </c>
      <c r="X135" s="25" t="n">
        <v>0</v>
      </c>
      <c r="Y135" s="25" t="n">
        <v>0</v>
      </c>
      <c r="Z135" s="22" t="n">
        <v>0</v>
      </c>
      <c r="AA135" s="22" t="n">
        <v>0</v>
      </c>
      <c r="AB135" s="25" t="n">
        <v>0</v>
      </c>
      <c r="AC135" s="25" t="n">
        <v>0</v>
      </c>
      <c r="AD135" s="25" t="n">
        <v>0</v>
      </c>
      <c r="AE135" s="21" t="n">
        <v>0</v>
      </c>
      <c r="AF135" s="22" t="n">
        <v>0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5" t="n">
        <v>216</v>
      </c>
      <c r="J136" s="15" t="n">
        <v>395</v>
      </c>
      <c r="K136" s="15" t="n">
        <v>46</v>
      </c>
      <c r="L136" s="15" t="n">
        <v>90</v>
      </c>
      <c r="M136" s="19" t="n">
        <v/>
      </c>
      <c r="N136" s="19" t="n">
        <v/>
      </c>
      <c r="O136" s="19" t="n">
        <v/>
      </c>
      <c r="P136" s="19" t="n">
        <v>0.645348608297315</v>
      </c>
      <c r="Q136" s="20" t="n">
        <v>3.564903974653255</v>
      </c>
      <c r="R136" s="20" t="n">
        <v/>
      </c>
      <c r="S136" s="20" t="n">
        <v>0</v>
      </c>
      <c r="T136" s="20" t="n">
        <v>0</v>
      </c>
      <c r="U136" s="20" t="n">
        <v>0</v>
      </c>
      <c r="V136" s="15" t="n">
        <v>0</v>
      </c>
      <c r="W136" s="24" t="n">
        <v>0</v>
      </c>
      <c r="X136" s="24" t="n">
        <v>0</v>
      </c>
      <c r="Y136" s="24" t="n">
        <v>0</v>
      </c>
      <c r="Z136" s="20" t="n">
        <v>0</v>
      </c>
      <c r="AA136" s="20" t="n">
        <v>0</v>
      </c>
      <c r="AB136" s="24" t="n">
        <v>0</v>
      </c>
      <c r="AC136" s="24" t="n">
        <v>0</v>
      </c>
      <c r="AD136" s="24" t="n">
        <v>0</v>
      </c>
      <c r="AE136" s="19" t="n">
        <v>0</v>
      </c>
      <c r="AF136" s="20" t="n">
        <v>0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17" t="n">
        <v>216</v>
      </c>
      <c r="J137" s="17" t="n">
        <v>395</v>
      </c>
      <c r="K137" s="17" t="n">
        <v>45</v>
      </c>
      <c r="L137" s="17" t="n">
        <v>90</v>
      </c>
      <c r="M137" s="21" t="n">
        <v/>
      </c>
      <c r="N137" s="21" t="n">
        <v/>
      </c>
      <c r="O137" s="21" t="n">
        <v/>
      </c>
      <c r="P137" s="21" t="n">
        <v>0.6432427987574099</v>
      </c>
      <c r="Q137" s="22" t="n">
        <v>3.492968397632947</v>
      </c>
      <c r="R137" s="22" t="n">
        <v/>
      </c>
      <c r="S137" s="22" t="n">
        <v>0</v>
      </c>
      <c r="T137" s="22" t="n">
        <v>0</v>
      </c>
      <c r="U137" s="22" t="n">
        <v>0</v>
      </c>
      <c r="V137" s="17" t="n">
        <v>0</v>
      </c>
      <c r="W137" s="25" t="n">
        <v>0</v>
      </c>
      <c r="X137" s="25" t="n">
        <v>0</v>
      </c>
      <c r="Y137" s="25" t="n">
        <v>0</v>
      </c>
      <c r="Z137" s="22" t="n">
        <v>0</v>
      </c>
      <c r="AA137" s="22" t="n">
        <v>0</v>
      </c>
      <c r="AB137" s="25" t="n">
        <v>0</v>
      </c>
      <c r="AC137" s="25" t="n">
        <v>0</v>
      </c>
      <c r="AD137" s="25" t="n">
        <v>0</v>
      </c>
      <c r="AE137" s="21" t="n">
        <v>0</v>
      </c>
      <c r="AF137" s="22" t="n">
        <v>0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5" t="n">
        <v>216</v>
      </c>
      <c r="J138" s="15" t="n">
        <v>395</v>
      </c>
      <c r="K138" s="15" t="n">
        <v>44</v>
      </c>
      <c r="L138" s="15" t="n">
        <v>90</v>
      </c>
      <c r="M138" s="19" t="n">
        <v/>
      </c>
      <c r="N138" s="19" t="n">
        <v/>
      </c>
      <c r="O138" s="19" t="n">
        <v/>
      </c>
      <c r="P138" s="19" t="n">
        <v>0.6411438605948678</v>
      </c>
      <c r="Q138" s="20" t="n">
        <v>3.420797322252391</v>
      </c>
      <c r="R138" s="20" t="n">
        <v/>
      </c>
      <c r="S138" s="20" t="n">
        <v>0</v>
      </c>
      <c r="T138" s="20" t="n">
        <v>0</v>
      </c>
      <c r="U138" s="20" t="n">
        <v>0</v>
      </c>
      <c r="V138" s="15" t="n">
        <v>0</v>
      </c>
      <c r="W138" s="24" t="n">
        <v>0</v>
      </c>
      <c r="X138" s="24" t="n">
        <v>0</v>
      </c>
      <c r="Y138" s="24" t="n">
        <v>0</v>
      </c>
      <c r="Z138" s="20" t="n">
        <v>0</v>
      </c>
      <c r="AA138" s="20" t="n">
        <v>0</v>
      </c>
      <c r="AB138" s="24" t="n">
        <v>0</v>
      </c>
      <c r="AC138" s="24" t="n">
        <v>0</v>
      </c>
      <c r="AD138" s="24" t="n">
        <v>0</v>
      </c>
      <c r="AE138" s="19" t="n">
        <v>0</v>
      </c>
      <c r="AF138" s="20" t="n">
        <v>0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17" t="n">
        <v>216</v>
      </c>
      <c r="J139" s="17" t="n">
        <v>395</v>
      </c>
      <c r="K139" s="17" t="n">
        <v>43</v>
      </c>
      <c r="L139" s="17" t="n">
        <v>90</v>
      </c>
      <c r="M139" s="21" t="n">
        <v/>
      </c>
      <c r="N139" s="21" t="n">
        <v/>
      </c>
      <c r="O139" s="21" t="n">
        <v/>
      </c>
      <c r="P139" s="21" t="n">
        <v>0.6390517713879903</v>
      </c>
      <c r="Q139" s="22" t="n">
        <v>3.348389977551239</v>
      </c>
      <c r="R139" s="22" t="n">
        <v/>
      </c>
      <c r="S139" s="22" t="n">
        <v>0</v>
      </c>
      <c r="T139" s="22" t="n">
        <v>0</v>
      </c>
      <c r="U139" s="22" t="n">
        <v>0</v>
      </c>
      <c r="V139" s="17" t="n">
        <v>0</v>
      </c>
      <c r="W139" s="25" t="n">
        <v>0</v>
      </c>
      <c r="X139" s="25" t="n">
        <v>0</v>
      </c>
      <c r="Y139" s="25" t="n">
        <v>0</v>
      </c>
      <c r="Z139" s="22" t="n">
        <v>0</v>
      </c>
      <c r="AA139" s="22" t="n">
        <v>0</v>
      </c>
      <c r="AB139" s="25" t="n">
        <v>0</v>
      </c>
      <c r="AC139" s="25" t="n">
        <v>0</v>
      </c>
      <c r="AD139" s="25" t="n">
        <v>0</v>
      </c>
      <c r="AE139" s="21" t="n">
        <v>0</v>
      </c>
      <c r="AF139" s="22" t="n">
        <v>0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5" t="n">
        <v>216</v>
      </c>
      <c r="J140" s="15" t="n">
        <v>395</v>
      </c>
      <c r="K140" s="15" t="n">
        <v>42</v>
      </c>
      <c r="L140" s="15" t="n">
        <v>90</v>
      </c>
      <c r="M140" s="19" t="n">
        <v/>
      </c>
      <c r="N140" s="19" t="n">
        <v/>
      </c>
      <c r="O140" s="19" t="n">
        <v/>
      </c>
      <c r="P140" s="19" t="n">
        <v>0.6369665087882419</v>
      </c>
      <c r="Q140" s="20" t="n">
        <v>3.275745590045214</v>
      </c>
      <c r="R140" s="20" t="n">
        <v/>
      </c>
      <c r="S140" s="20" t="n">
        <v>0</v>
      </c>
      <c r="T140" s="20" t="n">
        <v>0</v>
      </c>
      <c r="U140" s="20" t="n">
        <v>0</v>
      </c>
      <c r="V140" s="15" t="n">
        <v>0</v>
      </c>
      <c r="W140" s="24" t="n">
        <v>0</v>
      </c>
      <c r="X140" s="24" t="n">
        <v>0</v>
      </c>
      <c r="Y140" s="24" t="n">
        <v>0</v>
      </c>
      <c r="Z140" s="20" t="n">
        <v>0</v>
      </c>
      <c r="AA140" s="20" t="n">
        <v>0</v>
      </c>
      <c r="AB140" s="24" t="n">
        <v>0</v>
      </c>
      <c r="AC140" s="24" t="n">
        <v>0</v>
      </c>
      <c r="AD140" s="24" t="n">
        <v>0</v>
      </c>
      <c r="AE140" s="19" t="n">
        <v>0</v>
      </c>
      <c r="AF140" s="20" t="n">
        <v>0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17" t="n">
        <v>216</v>
      </c>
      <c r="J141" s="17" t="n">
        <v>395</v>
      </c>
      <c r="K141" s="17" t="n">
        <v>41</v>
      </c>
      <c r="L141" s="17" t="n">
        <v>90</v>
      </c>
      <c r="M141" s="21" t="n">
        <v/>
      </c>
      <c r="N141" s="21" t="n">
        <v/>
      </c>
      <c r="O141" s="21" t="n">
        <v/>
      </c>
      <c r="P141" s="21" t="n">
        <v>0.6348880505200118</v>
      </c>
      <c r="Q141" s="22" t="n">
        <v>3.202863383717859</v>
      </c>
      <c r="R141" s="22" t="n">
        <v/>
      </c>
      <c r="S141" s="22" t="n">
        <v>0</v>
      </c>
      <c r="T141" s="22" t="n">
        <v>0</v>
      </c>
      <c r="U141" s="22" t="n">
        <v>0</v>
      </c>
      <c r="V141" s="17" t="n">
        <v>0</v>
      </c>
      <c r="W141" s="25" t="n">
        <v>0</v>
      </c>
      <c r="X141" s="25" t="n">
        <v>0</v>
      </c>
      <c r="Y141" s="25" t="n">
        <v>0</v>
      </c>
      <c r="Z141" s="22" t="n">
        <v>0</v>
      </c>
      <c r="AA141" s="22" t="n">
        <v>0</v>
      </c>
      <c r="AB141" s="25" t="n">
        <v>0</v>
      </c>
      <c r="AC141" s="25" t="n">
        <v>0</v>
      </c>
      <c r="AD141" s="25" t="n">
        <v>0</v>
      </c>
      <c r="AE141" s="21" t="n">
        <v>0</v>
      </c>
      <c r="AF141" s="22" t="n">
        <v>0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5" t="n">
        <v>216</v>
      </c>
      <c r="J142" s="15" t="n">
        <v>395</v>
      </c>
      <c r="K142" s="15" t="n">
        <v>40</v>
      </c>
      <c r="L142" s="15" t="n">
        <v>90</v>
      </c>
      <c r="M142" s="19" t="n">
        <v/>
      </c>
      <c r="N142" s="19" t="n">
        <v/>
      </c>
      <c r="O142" s="19" t="n">
        <v/>
      </c>
      <c r="P142" s="19" t="n">
        <v>0.632816374380376</v>
      </c>
      <c r="Q142" s="20" t="n">
        <v>3.129742580012234</v>
      </c>
      <c r="R142" s="20" t="n">
        <v/>
      </c>
      <c r="S142" s="20" t="n">
        <v>0</v>
      </c>
      <c r="T142" s="20" t="n">
        <v>0</v>
      </c>
      <c r="U142" s="20" t="n">
        <v>0</v>
      </c>
      <c r="V142" s="15" t="n">
        <v>0</v>
      </c>
      <c r="W142" s="24" t="n">
        <v>0</v>
      </c>
      <c r="X142" s="24" t="n">
        <v>0</v>
      </c>
      <c r="Y142" s="24" t="n">
        <v>0</v>
      </c>
      <c r="Z142" s="20" t="n">
        <v>0</v>
      </c>
      <c r="AA142" s="20" t="n">
        <v>0</v>
      </c>
      <c r="AB142" s="24" t="n">
        <v>0</v>
      </c>
      <c r="AC142" s="24" t="n">
        <v>0</v>
      </c>
      <c r="AD142" s="24" t="n">
        <v>0</v>
      </c>
      <c r="AE142" s="19" t="n">
        <v>0</v>
      </c>
      <c r="AF142" s="20" t="n">
        <v>0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17" t="n">
        <v>216</v>
      </c>
      <c r="J143" s="17" t="n">
        <v>395</v>
      </c>
      <c r="K143" s="17" t="n">
        <v>39</v>
      </c>
      <c r="L143" s="17" t="n">
        <v>90</v>
      </c>
      <c r="M143" s="21" t="n">
        <v/>
      </c>
      <c r="N143" s="21" t="n">
        <v/>
      </c>
      <c r="O143" s="21" t="n">
        <v/>
      </c>
      <c r="P143" s="21" t="n">
        <v>0.6307514582388595</v>
      </c>
      <c r="Q143" s="22" t="n">
        <v>3.056382397822611</v>
      </c>
      <c r="R143" s="22" t="n">
        <v/>
      </c>
      <c r="S143" s="22" t="n">
        <v>0</v>
      </c>
      <c r="T143" s="22" t="n">
        <v>0</v>
      </c>
      <c r="U143" s="22" t="n">
        <v>0</v>
      </c>
      <c r="V143" s="17" t="n">
        <v>0</v>
      </c>
      <c r="W143" s="25" t="n">
        <v>0</v>
      </c>
      <c r="X143" s="25" t="n">
        <v>0</v>
      </c>
      <c r="Y143" s="25" t="n">
        <v>0</v>
      </c>
      <c r="Z143" s="22" t="n">
        <v>0</v>
      </c>
      <c r="AA143" s="22" t="n">
        <v>0</v>
      </c>
      <c r="AB143" s="25" t="n">
        <v>0</v>
      </c>
      <c r="AC143" s="25" t="n">
        <v>0</v>
      </c>
      <c r="AD143" s="25" t="n">
        <v>0</v>
      </c>
      <c r="AE143" s="21" t="n">
        <v>0</v>
      </c>
      <c r="AF143" s="22" t="n">
        <v>0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5" t="n">
        <v>216</v>
      </c>
      <c r="J144" s="15" t="n">
        <v>395</v>
      </c>
      <c r="K144" s="15" t="n">
        <v>38</v>
      </c>
      <c r="L144" s="15" t="n">
        <v>90</v>
      </c>
      <c r="M144" s="19" t="n">
        <v/>
      </c>
      <c r="N144" s="19" t="n">
        <v/>
      </c>
      <c r="O144" s="19" t="n">
        <v/>
      </c>
      <c r="P144" s="19" t="n">
        <v>0.6286932800372006</v>
      </c>
      <c r="Q144" s="20" t="n">
        <v>2.982782053486125</v>
      </c>
      <c r="R144" s="20" t="n">
        <v/>
      </c>
      <c r="S144" s="20" t="n">
        <v>0</v>
      </c>
      <c r="T144" s="20" t="n">
        <v>0</v>
      </c>
      <c r="U144" s="20" t="n">
        <v>0</v>
      </c>
      <c r="V144" s="15" t="n">
        <v>0</v>
      </c>
      <c r="W144" s="24" t="n">
        <v>0</v>
      </c>
      <c r="X144" s="24" t="n">
        <v>0</v>
      </c>
      <c r="Y144" s="24" t="n">
        <v>0</v>
      </c>
      <c r="Z144" s="20" t="n">
        <v>0</v>
      </c>
      <c r="AA144" s="20" t="n">
        <v>0</v>
      </c>
      <c r="AB144" s="24" t="n">
        <v>0</v>
      </c>
      <c r="AC144" s="24" t="n">
        <v>0</v>
      </c>
      <c r="AD144" s="24" t="n">
        <v>0</v>
      </c>
      <c r="AE144" s="19" t="n">
        <v>0</v>
      </c>
      <c r="AF144" s="20" t="n">
        <v>0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17" t="n">
        <v>216</v>
      </c>
      <c r="J145" s="17" t="n">
        <v>395</v>
      </c>
      <c r="K145" s="17" t="n">
        <v>37</v>
      </c>
      <c r="L145" s="17" t="n">
        <v>90</v>
      </c>
      <c r="M145" s="21" t="n">
        <v/>
      </c>
      <c r="N145" s="21" t="n">
        <v/>
      </c>
      <c r="O145" s="21" t="n">
        <v/>
      </c>
      <c r="P145" s="21" t="n">
        <v>0.6266418177891149</v>
      </c>
      <c r="Q145" s="22" t="n">
        <v>2.908940760774402</v>
      </c>
      <c r="R145" s="22" t="n">
        <v/>
      </c>
      <c r="S145" s="22" t="n">
        <v>0</v>
      </c>
      <c r="T145" s="22" t="n">
        <v>0</v>
      </c>
      <c r="U145" s="22" t="n">
        <v>0</v>
      </c>
      <c r="V145" s="17" t="n">
        <v>0</v>
      </c>
      <c r="W145" s="25" t="n">
        <v>0</v>
      </c>
      <c r="X145" s="25" t="n">
        <v>0</v>
      </c>
      <c r="Y145" s="25" t="n">
        <v>0</v>
      </c>
      <c r="Z145" s="22" t="n">
        <v>0</v>
      </c>
      <c r="AA145" s="22" t="n">
        <v>0</v>
      </c>
      <c r="AB145" s="25" t="n">
        <v>0</v>
      </c>
      <c r="AC145" s="25" t="n">
        <v>0</v>
      </c>
      <c r="AD145" s="25" t="n">
        <v>0</v>
      </c>
      <c r="AE145" s="21" t="n">
        <v>0</v>
      </c>
      <c r="AF145" s="22" t="n">
        <v>0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5" t="n">
        <v>216</v>
      </c>
      <c r="J146" s="15" t="n">
        <v>395</v>
      </c>
      <c r="K146" s="15" t="n">
        <v>36</v>
      </c>
      <c r="L146" s="15" t="n">
        <v>90</v>
      </c>
      <c r="M146" s="19" t="n">
        <v/>
      </c>
      <c r="N146" s="19" t="n">
        <v/>
      </c>
      <c r="O146" s="19" t="n">
        <v/>
      </c>
      <c r="P146" s="19" t="n">
        <v>0.6245970495800606</v>
      </c>
      <c r="Q146" s="20" t="n">
        <v>2.83485773088516</v>
      </c>
      <c r="R146" s="20" t="n">
        <v/>
      </c>
      <c r="S146" s="20" t="n">
        <v>0</v>
      </c>
      <c r="T146" s="20" t="n">
        <v>0</v>
      </c>
      <c r="U146" s="20" t="n">
        <v>0</v>
      </c>
      <c r="V146" s="15" t="n">
        <v>0</v>
      </c>
      <c r="W146" s="24" t="n">
        <v>0</v>
      </c>
      <c r="X146" s="24" t="n">
        <v>0</v>
      </c>
      <c r="Y146" s="24" t="n">
        <v>0</v>
      </c>
      <c r="Z146" s="20" t="n">
        <v>0</v>
      </c>
      <c r="AA146" s="20" t="n">
        <v>0</v>
      </c>
      <c r="AB146" s="24" t="n">
        <v>0</v>
      </c>
      <c r="AC146" s="24" t="n">
        <v>0</v>
      </c>
      <c r="AD146" s="24" t="n">
        <v>0</v>
      </c>
      <c r="AE146" s="19" t="n">
        <v>0</v>
      </c>
      <c r="AF146" s="20" t="n">
        <v>0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17" t="n">
        <v>216</v>
      </c>
      <c r="J147" s="17" t="n">
        <v>395</v>
      </c>
      <c r="K147" s="17" t="n">
        <v>35</v>
      </c>
      <c r="L147" s="17" t="n">
        <v>90</v>
      </c>
      <c r="M147" s="21" t="n">
        <v/>
      </c>
      <c r="N147" s="21" t="n">
        <v/>
      </c>
      <c r="O147" s="21" t="n">
        <v/>
      </c>
      <c r="P147" s="21" t="n">
        <v>0.6225589535670042</v>
      </c>
      <c r="Q147" s="22" t="n">
        <v>2.760532172433782</v>
      </c>
      <c r="R147" s="22" t="n">
        <v/>
      </c>
      <c r="S147" s="22" t="n">
        <v>0</v>
      </c>
      <c r="T147" s="22" t="n">
        <v>0</v>
      </c>
      <c r="U147" s="22" t="n">
        <v>0</v>
      </c>
      <c r="V147" s="17" t="n">
        <v>0</v>
      </c>
      <c r="W147" s="25" t="n">
        <v>0</v>
      </c>
      <c r="X147" s="25" t="n">
        <v>0</v>
      </c>
      <c r="Y147" s="25" t="n">
        <v>0</v>
      </c>
      <c r="Z147" s="22" t="n">
        <v>0</v>
      </c>
      <c r="AA147" s="22" t="n">
        <v>0</v>
      </c>
      <c r="AB147" s="25" t="n">
        <v>0</v>
      </c>
      <c r="AC147" s="25" t="n">
        <v>0</v>
      </c>
      <c r="AD147" s="25" t="n">
        <v>0</v>
      </c>
      <c r="AE147" s="21" t="n">
        <v>0</v>
      </c>
      <c r="AF147" s="22" t="n">
        <v>0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5" t="n">
        <v>216</v>
      </c>
      <c r="J148" s="15" t="n">
        <v>395</v>
      </c>
      <c r="K148" s="15" t="n">
        <v>34</v>
      </c>
      <c r="L148" s="15" t="n">
        <v>90</v>
      </c>
      <c r="M148" s="19" t="n">
        <v/>
      </c>
      <c r="N148" s="19" t="n">
        <v/>
      </c>
      <c r="O148" s="19" t="n">
        <v/>
      </c>
      <c r="P148" s="19" t="n">
        <v>0.6205275079781872</v>
      </c>
      <c r="Q148" s="20" t="n">
        <v>2.685963291444869</v>
      </c>
      <c r="R148" s="20" t="n">
        <v/>
      </c>
      <c r="S148" s="20" t="n">
        <v>0</v>
      </c>
      <c r="T148" s="20" t="n">
        <v>0</v>
      </c>
      <c r="U148" s="20" t="n">
        <v>0</v>
      </c>
      <c r="V148" s="15" t="n">
        <v>0</v>
      </c>
      <c r="W148" s="24" t="n">
        <v>0</v>
      </c>
      <c r="X148" s="24" t="n">
        <v>0</v>
      </c>
      <c r="Y148" s="24" t="n">
        <v>0</v>
      </c>
      <c r="Z148" s="20" t="n">
        <v>0</v>
      </c>
      <c r="AA148" s="20" t="n">
        <v>0</v>
      </c>
      <c r="AB148" s="24" t="n">
        <v>0</v>
      </c>
      <c r="AC148" s="24" t="n">
        <v>0</v>
      </c>
      <c r="AD148" s="24" t="n">
        <v>0</v>
      </c>
      <c r="AE148" s="19" t="n">
        <v>0</v>
      </c>
      <c r="AF148" s="20" t="n">
        <v>0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17" t="n">
        <v>216</v>
      </c>
      <c r="J149" s="17" t="n">
        <v>395</v>
      </c>
      <c r="K149" s="17" t="n">
        <v>33</v>
      </c>
      <c r="L149" s="17" t="n">
        <v>90</v>
      </c>
      <c r="M149" s="21" t="n">
        <v/>
      </c>
      <c r="N149" s="21" t="n">
        <v/>
      </c>
      <c r="O149" s="21" t="n">
        <v/>
      </c>
      <c r="P149" s="21" t="n">
        <v>0.6185026911128939</v>
      </c>
      <c r="Q149" s="22" t="n">
        <v>2.611150291343748</v>
      </c>
      <c r="R149" s="22" t="n">
        <v/>
      </c>
      <c r="S149" s="22" t="n">
        <v>0</v>
      </c>
      <c r="T149" s="22" t="n">
        <v>0</v>
      </c>
      <c r="U149" s="22" t="n">
        <v>0</v>
      </c>
      <c r="V149" s="17" t="n">
        <v>0</v>
      </c>
      <c r="W149" s="25" t="n">
        <v>0</v>
      </c>
      <c r="X149" s="25" t="n">
        <v>0</v>
      </c>
      <c r="Y149" s="25" t="n">
        <v>0</v>
      </c>
      <c r="Z149" s="22" t="n">
        <v>0</v>
      </c>
      <c r="AA149" s="22" t="n">
        <v>0</v>
      </c>
      <c r="AB149" s="25" t="n">
        <v>0</v>
      </c>
      <c r="AC149" s="25" t="n">
        <v>0</v>
      </c>
      <c r="AD149" s="25" t="n">
        <v>0</v>
      </c>
      <c r="AE149" s="21" t="n">
        <v>0</v>
      </c>
      <c r="AF149" s="22" t="n">
        <v>0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5" t="n">
        <v>216</v>
      </c>
      <c r="J150" s="15" t="n">
        <v>395</v>
      </c>
      <c r="K150" s="15" t="n">
        <v>32</v>
      </c>
      <c r="L150" s="15" t="n">
        <v>90</v>
      </c>
      <c r="M150" s="19" t="n">
        <v/>
      </c>
      <c r="N150" s="19" t="n">
        <v/>
      </c>
      <c r="O150" s="19" t="n">
        <v/>
      </c>
      <c r="P150" s="19" t="n">
        <v>0.6164844813412189</v>
      </c>
      <c r="Q150" s="20" t="n">
        <v>2.536092372947971</v>
      </c>
      <c r="R150" s="20" t="n">
        <v/>
      </c>
      <c r="S150" s="20" t="n">
        <v>0</v>
      </c>
      <c r="T150" s="20" t="n">
        <v>0</v>
      </c>
      <c r="U150" s="20" t="n">
        <v>0</v>
      </c>
      <c r="V150" s="15" t="n">
        <v>0</v>
      </c>
      <c r="W150" s="24" t="n">
        <v>0</v>
      </c>
      <c r="X150" s="24" t="n">
        <v>0</v>
      </c>
      <c r="Y150" s="24" t="n">
        <v>0</v>
      </c>
      <c r="Z150" s="20" t="n">
        <v>0</v>
      </c>
      <c r="AA150" s="20" t="n">
        <v>0</v>
      </c>
      <c r="AB150" s="24" t="n">
        <v>0</v>
      </c>
      <c r="AC150" s="24" t="n">
        <v>0</v>
      </c>
      <c r="AD150" s="24" t="n">
        <v>0</v>
      </c>
      <c r="AE150" s="19" t="n">
        <v>0</v>
      </c>
      <c r="AF150" s="20" t="n">
        <v>0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17" t="n">
        <v>216</v>
      </c>
      <c r="J151" s="17" t="n">
        <v>395</v>
      </c>
      <c r="K151" s="17" t="n">
        <v>31</v>
      </c>
      <c r="L151" s="17" t="n">
        <v>90</v>
      </c>
      <c r="M151" s="21" t="n">
        <v/>
      </c>
      <c r="N151" s="21" t="n">
        <v/>
      </c>
      <c r="O151" s="21" t="n">
        <v/>
      </c>
      <c r="P151" s="21" t="n">
        <v>0.6144728571038367</v>
      </c>
      <c r="Q151" s="22" t="n">
        <v>2.460788734458771</v>
      </c>
      <c r="R151" s="22" t="n">
        <v/>
      </c>
      <c r="S151" s="22" t="n">
        <v>0</v>
      </c>
      <c r="T151" s="22" t="n">
        <v>0</v>
      </c>
      <c r="U151" s="22" t="n">
        <v>0</v>
      </c>
      <c r="V151" s="17" t="n">
        <v>0</v>
      </c>
      <c r="W151" s="25" t="n">
        <v>0</v>
      </c>
      <c r="X151" s="25" t="n">
        <v>0</v>
      </c>
      <c r="Y151" s="25" t="n">
        <v>0</v>
      </c>
      <c r="Z151" s="22" t="n">
        <v>0</v>
      </c>
      <c r="AA151" s="22" t="n">
        <v>0</v>
      </c>
      <c r="AB151" s="25" t="n">
        <v>0</v>
      </c>
      <c r="AC151" s="25" t="n">
        <v>0</v>
      </c>
      <c r="AD151" s="25" t="n">
        <v>0</v>
      </c>
      <c r="AE151" s="21" t="n">
        <v>0</v>
      </c>
      <c r="AF151" s="22" t="n">
        <v>0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5" t="n">
        <v>216</v>
      </c>
      <c r="J152" s="15" t="n">
        <v>395</v>
      </c>
      <c r="K152" s="15" t="n">
        <v>30</v>
      </c>
      <c r="L152" s="15" t="n">
        <v>90</v>
      </c>
      <c r="M152" s="19" t="n">
        <v/>
      </c>
      <c r="N152" s="19" t="n">
        <v/>
      </c>
      <c r="O152" s="19" t="n">
        <v/>
      </c>
      <c r="P152" s="19" t="n">
        <v>0.6124677969117709</v>
      </c>
      <c r="Q152" s="20" t="n">
        <v>2.385238571452506</v>
      </c>
      <c r="R152" s="20" t="n">
        <v/>
      </c>
      <c r="S152" s="20" t="n">
        <v>0</v>
      </c>
      <c r="T152" s="20" t="n">
        <v>0</v>
      </c>
      <c r="U152" s="20" t="n">
        <v>0</v>
      </c>
      <c r="V152" s="15" t="n">
        <v>0</v>
      </c>
      <c r="W152" s="24" t="n">
        <v>0</v>
      </c>
      <c r="X152" s="24" t="n">
        <v>0</v>
      </c>
      <c r="Y152" s="24" t="n">
        <v>0</v>
      </c>
      <c r="Z152" s="20" t="n">
        <v>0</v>
      </c>
      <c r="AA152" s="20" t="n">
        <v>0</v>
      </c>
      <c r="AB152" s="24" t="n">
        <v>0</v>
      </c>
      <c r="AC152" s="24" t="n">
        <v>0</v>
      </c>
      <c r="AD152" s="24" t="n">
        <v>0</v>
      </c>
      <c r="AE152" s="19" t="n">
        <v>0</v>
      </c>
      <c r="AF152" s="20" t="n">
        <v>0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17" t="n">
        <v>216</v>
      </c>
      <c r="J153" s="17" t="n">
        <v>395</v>
      </c>
      <c r="K153" s="17" t="n">
        <v>29</v>
      </c>
      <c r="L153" s="17" t="n">
        <v>90</v>
      </c>
      <c r="M153" s="21" t="n">
        <v/>
      </c>
      <c r="N153" s="21" t="n">
        <v/>
      </c>
      <c r="O153" s="21" t="n">
        <v/>
      </c>
      <c r="P153" s="21" t="n">
        <v>0.610469279346165</v>
      </c>
      <c r="Q153" s="22" t="n">
        <v>2.309441076872056</v>
      </c>
      <c r="R153" s="22" t="n">
        <v/>
      </c>
      <c r="S153" s="22" t="n">
        <v>0</v>
      </c>
      <c r="T153" s="22" t="n">
        <v>0</v>
      </c>
      <c r="U153" s="22" t="n">
        <v>0</v>
      </c>
      <c r="V153" s="17" t="n">
        <v>0</v>
      </c>
      <c r="W153" s="25" t="n">
        <v>0</v>
      </c>
      <c r="X153" s="25" t="n">
        <v>0</v>
      </c>
      <c r="Y153" s="25" t="n">
        <v>0</v>
      </c>
      <c r="Z153" s="22" t="n">
        <v>0</v>
      </c>
      <c r="AA153" s="22" t="n">
        <v>0</v>
      </c>
      <c r="AB153" s="25" t="n">
        <v>0</v>
      </c>
      <c r="AC153" s="25" t="n">
        <v>0</v>
      </c>
      <c r="AD153" s="25" t="n">
        <v>0</v>
      </c>
      <c r="AE153" s="21" t="n">
        <v>0</v>
      </c>
      <c r="AF153" s="22" t="n">
        <v>0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5" t="n">
        <v>216</v>
      </c>
      <c r="J154" s="15" t="n">
        <v>395</v>
      </c>
      <c r="K154" s="15" t="n">
        <v>28</v>
      </c>
      <c r="L154" s="15" t="n">
        <v>90</v>
      </c>
      <c r="M154" s="19" t="n">
        <v/>
      </c>
      <c r="N154" s="19" t="n">
        <v/>
      </c>
      <c r="O154" s="19" t="n">
        <v/>
      </c>
      <c r="P154" s="19" t="n">
        <v>0.6084772830580536</v>
      </c>
      <c r="Q154" s="20" t="n">
        <v>2.233395441018206</v>
      </c>
      <c r="R154" s="20" t="n">
        <v/>
      </c>
      <c r="S154" s="20" t="n">
        <v>0</v>
      </c>
      <c r="T154" s="20" t="n">
        <v>0</v>
      </c>
      <c r="U154" s="20" t="n">
        <v>0</v>
      </c>
      <c r="V154" s="15" t="n">
        <v>0</v>
      </c>
      <c r="W154" s="24" t="n">
        <v>0</v>
      </c>
      <c r="X154" s="24" t="n">
        <v>0</v>
      </c>
      <c r="Y154" s="24" t="n">
        <v>0</v>
      </c>
      <c r="Z154" s="20" t="n">
        <v>0</v>
      </c>
      <c r="AA154" s="20" t="n">
        <v>0</v>
      </c>
      <c r="AB154" s="24" t="n">
        <v>0</v>
      </c>
      <c r="AC154" s="24" t="n">
        <v>0</v>
      </c>
      <c r="AD154" s="24" t="n">
        <v>0</v>
      </c>
      <c r="AE154" s="19" t="n">
        <v>0</v>
      </c>
      <c r="AF154" s="20" t="n">
        <v>0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17" t="n">
        <v>216</v>
      </c>
      <c r="J155" s="17" t="n">
        <v>395</v>
      </c>
      <c r="K155" s="17" t="n">
        <v>27</v>
      </c>
      <c r="L155" s="17" t="n">
        <v>90</v>
      </c>
      <c r="M155" s="21" t="n">
        <v/>
      </c>
      <c r="N155" s="21" t="n">
        <v/>
      </c>
      <c r="O155" s="21" t="n">
        <v/>
      </c>
      <c r="P155" s="21" t="n">
        <v>0.6064917867681339</v>
      </c>
      <c r="Q155" s="22" t="n">
        <v>2.157100851541</v>
      </c>
      <c r="R155" s="22" t="n">
        <v/>
      </c>
      <c r="S155" s="22" t="n">
        <v>0</v>
      </c>
      <c r="T155" s="22" t="n">
        <v>0</v>
      </c>
      <c r="U155" s="22" t="n">
        <v>0</v>
      </c>
      <c r="V155" s="17" t="n">
        <v>0</v>
      </c>
      <c r="W155" s="25" t="n">
        <v>0</v>
      </c>
      <c r="X155" s="25" t="n">
        <v>0</v>
      </c>
      <c r="Y155" s="25" t="n">
        <v>0</v>
      </c>
      <c r="Z155" s="22" t="n">
        <v>0</v>
      </c>
      <c r="AA155" s="22" t="n">
        <v>0</v>
      </c>
      <c r="AB155" s="25" t="n">
        <v>0</v>
      </c>
      <c r="AC155" s="25" t="n">
        <v>0</v>
      </c>
      <c r="AD155" s="25" t="n">
        <v>0</v>
      </c>
      <c r="AE155" s="21" t="n">
        <v>0</v>
      </c>
      <c r="AF155" s="22" t="n">
        <v>0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5" t="n">
        <v>216</v>
      </c>
      <c r="J156" s="15" t="n">
        <v>395</v>
      </c>
      <c r="K156" s="15" t="n">
        <v>26</v>
      </c>
      <c r="L156" s="15" t="n">
        <v>90</v>
      </c>
      <c r="M156" s="19" t="n">
        <v/>
      </c>
      <c r="N156" s="19" t="n">
        <v/>
      </c>
      <c r="O156" s="19" t="n">
        <v/>
      </c>
      <c r="P156" s="19" t="n">
        <v>0.6045127692665387</v>
      </c>
      <c r="Q156" s="20" t="n">
        <v>2.080556493431054</v>
      </c>
      <c r="R156" s="20" t="n">
        <v/>
      </c>
      <c r="S156" s="20" t="n">
        <v>0</v>
      </c>
      <c r="T156" s="20" t="n">
        <v>0</v>
      </c>
      <c r="U156" s="20" t="n">
        <v>0</v>
      </c>
      <c r="V156" s="15" t="n">
        <v>0</v>
      </c>
      <c r="W156" s="24" t="n">
        <v>0</v>
      </c>
      <c r="X156" s="24" t="n">
        <v>0</v>
      </c>
      <c r="Y156" s="24" t="n">
        <v>0</v>
      </c>
      <c r="Z156" s="20" t="n">
        <v>0</v>
      </c>
      <c r="AA156" s="20" t="n">
        <v>0</v>
      </c>
      <c r="AB156" s="24" t="n">
        <v>0</v>
      </c>
      <c r="AC156" s="24" t="n">
        <v>0</v>
      </c>
      <c r="AD156" s="24" t="n">
        <v>0</v>
      </c>
      <c r="AE156" s="19" t="n">
        <v>0</v>
      </c>
      <c r="AF156" s="20" t="n">
        <v>0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17" t="n">
        <v>216</v>
      </c>
      <c r="J157" s="17" t="n">
        <v>395</v>
      </c>
      <c r="K157" s="17" t="n">
        <v>25</v>
      </c>
      <c r="L157" s="17" t="n">
        <v>90</v>
      </c>
      <c r="M157" s="21" t="n">
        <v/>
      </c>
      <c r="N157" s="21" t="n">
        <v/>
      </c>
      <c r="O157" s="21" t="n">
        <v/>
      </c>
      <c r="P157" s="21" t="n">
        <v>0.6025402094126102</v>
      </c>
      <c r="Q157" s="22" t="n">
        <v>2.003761549010862</v>
      </c>
      <c r="R157" s="22" t="n">
        <v/>
      </c>
      <c r="S157" s="22" t="n">
        <v>0</v>
      </c>
      <c r="T157" s="22" t="n">
        <v>0</v>
      </c>
      <c r="U157" s="22" t="n">
        <v>0</v>
      </c>
      <c r="V157" s="17" t="n">
        <v>0</v>
      </c>
      <c r="W157" s="25" t="n">
        <v>0</v>
      </c>
      <c r="X157" s="25" t="n">
        <v>0</v>
      </c>
      <c r="Y157" s="25" t="n">
        <v>0</v>
      </c>
      <c r="Z157" s="22" t="n">
        <v>0</v>
      </c>
      <c r="AA157" s="22" t="n">
        <v>0</v>
      </c>
      <c r="AB157" s="25" t="n">
        <v>0</v>
      </c>
      <c r="AC157" s="25" t="n">
        <v>0</v>
      </c>
      <c r="AD157" s="25" t="n">
        <v>0</v>
      </c>
      <c r="AE157" s="21" t="n">
        <v>0</v>
      </c>
      <c r="AF157" s="22" t="n">
        <v>0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5" t="n">
        <v>216</v>
      </c>
      <c r="J158" s="15" t="n">
        <v>395</v>
      </c>
      <c r="K158" s="15" t="n">
        <v>24</v>
      </c>
      <c r="L158" s="15" t="n">
        <v>90</v>
      </c>
      <c r="M158" s="19" t="n">
        <v/>
      </c>
      <c r="N158" s="19" t="n">
        <v/>
      </c>
      <c r="O158" s="19" t="n">
        <v/>
      </c>
      <c r="P158" s="19" t="n">
        <v>0.6005740861346733</v>
      </c>
      <c r="Q158" s="20" t="n">
        <v>1.92671519792605</v>
      </c>
      <c r="R158" s="20" t="n">
        <v/>
      </c>
      <c r="S158" s="20" t="n">
        <v>0</v>
      </c>
      <c r="T158" s="20" t="n">
        <v>0</v>
      </c>
      <c r="U158" s="20" t="n">
        <v>0</v>
      </c>
      <c r="V158" s="15" t="n">
        <v>0</v>
      </c>
      <c r="W158" s="24" t="n">
        <v>0</v>
      </c>
      <c r="X158" s="24" t="n">
        <v>0</v>
      </c>
      <c r="Y158" s="24" t="n">
        <v>0</v>
      </c>
      <c r="Z158" s="20" t="n">
        <v>0</v>
      </c>
      <c r="AA158" s="20" t="n">
        <v>0</v>
      </c>
      <c r="AB158" s="24" t="n">
        <v>0</v>
      </c>
      <c r="AC158" s="24" t="n">
        <v>0</v>
      </c>
      <c r="AD158" s="24" t="n">
        <v>0</v>
      </c>
      <c r="AE158" s="19" t="n">
        <v>0</v>
      </c>
      <c r="AF158" s="20" t="n">
        <v>0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17" t="n">
        <v>216</v>
      </c>
      <c r="J159" s="17" t="n">
        <v>395</v>
      </c>
      <c r="K159" s="17" t="n">
        <v>23</v>
      </c>
      <c r="L159" s="17" t="n">
        <v>90</v>
      </c>
      <c r="M159" s="21" t="n">
        <v/>
      </c>
      <c r="N159" s="21" t="n">
        <v/>
      </c>
      <c r="O159" s="21" t="n">
        <v/>
      </c>
      <c r="P159" s="21" t="n">
        <v>0.5986143784298114</v>
      </c>
      <c r="Q159" s="22" t="n">
        <v>1.849416617136618</v>
      </c>
      <c r="R159" s="22" t="n">
        <v/>
      </c>
      <c r="S159" s="22" t="n">
        <v>0</v>
      </c>
      <c r="T159" s="22" t="n">
        <v>0</v>
      </c>
      <c r="U159" s="22" t="n">
        <v>0</v>
      </c>
      <c r="V159" s="17" t="n">
        <v>0</v>
      </c>
      <c r="W159" s="25" t="n">
        <v>0</v>
      </c>
      <c r="X159" s="25" t="n">
        <v>0</v>
      </c>
      <c r="Y159" s="25" t="n">
        <v>0</v>
      </c>
      <c r="Z159" s="22" t="n">
        <v>0</v>
      </c>
      <c r="AA159" s="22" t="n">
        <v>0</v>
      </c>
      <c r="AB159" s="25" t="n">
        <v>0</v>
      </c>
      <c r="AC159" s="25" t="n">
        <v>0</v>
      </c>
      <c r="AD159" s="25" t="n">
        <v>0</v>
      </c>
      <c r="AE159" s="21" t="n">
        <v>0</v>
      </c>
      <c r="AF159" s="22" t="n">
        <v>0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5" t="n">
        <v>216</v>
      </c>
      <c r="J160" s="15" t="n">
        <v>395</v>
      </c>
      <c r="K160" s="15" t="n">
        <v>22</v>
      </c>
      <c r="L160" s="15" t="n">
        <v>90</v>
      </c>
      <c r="M160" s="19" t="n">
        <v/>
      </c>
      <c r="N160" s="19" t="n">
        <v/>
      </c>
      <c r="O160" s="19" t="n">
        <v/>
      </c>
      <c r="P160" s="19" t="n">
        <v>0.5966610653636412</v>
      </c>
      <c r="Q160" s="20" t="n">
        <v>1.771864980908148</v>
      </c>
      <c r="R160" s="20" t="n">
        <v/>
      </c>
      <c r="S160" s="20" t="n">
        <v>0</v>
      </c>
      <c r="T160" s="20" t="n">
        <v>0</v>
      </c>
      <c r="U160" s="20" t="n">
        <v>0</v>
      </c>
      <c r="V160" s="15" t="n">
        <v>0</v>
      </c>
      <c r="W160" s="24" t="n">
        <v>0</v>
      </c>
      <c r="X160" s="24" t="n">
        <v>0</v>
      </c>
      <c r="Y160" s="24" t="n">
        <v>0</v>
      </c>
      <c r="Z160" s="20" t="n">
        <v>0</v>
      </c>
      <c r="AA160" s="20" t="n">
        <v>0</v>
      </c>
      <c r="AB160" s="24" t="n">
        <v>0</v>
      </c>
      <c r="AC160" s="24" t="n">
        <v>0</v>
      </c>
      <c r="AD160" s="24" t="n">
        <v>0</v>
      </c>
      <c r="AE160" s="19" t="n">
        <v>0</v>
      </c>
      <c r="AF160" s="20" t="n">
        <v>0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17" t="n">
        <v>216</v>
      </c>
      <c r="J161" s="17" t="n">
        <v>395</v>
      </c>
      <c r="K161" s="17" t="n">
        <v>21</v>
      </c>
      <c r="L161" s="17" t="n">
        <v>90</v>
      </c>
      <c r="M161" s="21" t="n">
        <v/>
      </c>
      <c r="N161" s="21" t="n">
        <v/>
      </c>
      <c r="O161" s="21" t="n">
        <v/>
      </c>
      <c r="P161" s="21" t="n">
        <v>0.5947141260700899</v>
      </c>
      <c r="Q161" s="22" t="n">
        <v>1.694059460802982</v>
      </c>
      <c r="R161" s="22" t="n">
        <v/>
      </c>
      <c r="S161" s="22" t="n">
        <v>0</v>
      </c>
      <c r="T161" s="22" t="n">
        <v>0</v>
      </c>
      <c r="U161" s="22" t="n">
        <v>0</v>
      </c>
      <c r="V161" s="17" t="n">
        <v>0</v>
      </c>
      <c r="W161" s="25" t="n">
        <v>0</v>
      </c>
      <c r="X161" s="25" t="n">
        <v>0</v>
      </c>
      <c r="Y161" s="25" t="n">
        <v>0</v>
      </c>
      <c r="Z161" s="22" t="n">
        <v>0</v>
      </c>
      <c r="AA161" s="22" t="n">
        <v>0</v>
      </c>
      <c r="AB161" s="25" t="n">
        <v>0</v>
      </c>
      <c r="AC161" s="25" t="n">
        <v>0</v>
      </c>
      <c r="AD161" s="25" t="n">
        <v>0</v>
      </c>
      <c r="AE161" s="21" t="n">
        <v>0</v>
      </c>
      <c r="AF161" s="22" t="n">
        <v>0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5" t="n">
        <v>216</v>
      </c>
      <c r="J162" s="15" t="n">
        <v>395</v>
      </c>
      <c r="K162" s="15" t="n">
        <v>20</v>
      </c>
      <c r="L162" s="15" t="n">
        <v>90</v>
      </c>
      <c r="M162" s="19" t="n">
        <v/>
      </c>
      <c r="N162" s="19" t="n">
        <v/>
      </c>
      <c r="O162" s="19" t="n">
        <v/>
      </c>
      <c r="P162" s="19" t="n">
        <v>0.5927735397511716</v>
      </c>
      <c r="Q162" s="20" t="n">
        <v>1.615999225671373</v>
      </c>
      <c r="R162" s="20" t="n">
        <v/>
      </c>
      <c r="S162" s="20" t="n">
        <v>0</v>
      </c>
      <c r="T162" s="20" t="n">
        <v>0</v>
      </c>
      <c r="U162" s="20" t="n">
        <v>0</v>
      </c>
      <c r="V162" s="15" t="n">
        <v>0</v>
      </c>
      <c r="W162" s="24" t="n">
        <v>0</v>
      </c>
      <c r="X162" s="24" t="n">
        <v>0</v>
      </c>
      <c r="Y162" s="24" t="n">
        <v>0</v>
      </c>
      <c r="Z162" s="20" t="n">
        <v>0</v>
      </c>
      <c r="AA162" s="20" t="n">
        <v>0</v>
      </c>
      <c r="AB162" s="24" t="n">
        <v>0</v>
      </c>
      <c r="AC162" s="24" t="n">
        <v>0</v>
      </c>
      <c r="AD162" s="24" t="n">
        <v>0</v>
      </c>
      <c r="AE162" s="19" t="n">
        <v>0</v>
      </c>
      <c r="AF162" s="20" t="n">
        <v>0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17" t="n">
        <v>216</v>
      </c>
      <c r="J163" s="17" t="n">
        <v>395</v>
      </c>
      <c r="K163" s="17" t="n">
        <v>19</v>
      </c>
      <c r="L163" s="17" t="n">
        <v>90</v>
      </c>
      <c r="M163" s="21" t="n">
        <v/>
      </c>
      <c r="N163" s="21" t="n">
        <v/>
      </c>
      <c r="O163" s="21" t="n">
        <v/>
      </c>
      <c r="P163" s="21" t="n">
        <v>0.5908392856767656</v>
      </c>
      <c r="Q163" s="22" t="n">
        <v>1.537683441642606</v>
      </c>
      <c r="R163" s="22" t="n">
        <v/>
      </c>
      <c r="S163" s="22" t="n">
        <v>0</v>
      </c>
      <c r="T163" s="22" t="n">
        <v>0</v>
      </c>
      <c r="U163" s="22" t="n">
        <v>0</v>
      </c>
      <c r="V163" s="17" t="n">
        <v>0</v>
      </c>
      <c r="W163" s="25" t="n">
        <v>0</v>
      </c>
      <c r="X163" s="25" t="n">
        <v>0</v>
      </c>
      <c r="Y163" s="25" t="n">
        <v>0</v>
      </c>
      <c r="Z163" s="22" t="n">
        <v>0</v>
      </c>
      <c r="AA163" s="22" t="n">
        <v>0</v>
      </c>
      <c r="AB163" s="25" t="n">
        <v>0</v>
      </c>
      <c r="AC163" s="25" t="n">
        <v>0</v>
      </c>
      <c r="AD163" s="25" t="n">
        <v>0</v>
      </c>
      <c r="AE163" s="21" t="n">
        <v>0</v>
      </c>
      <c r="AF163" s="22" t="n">
        <v>0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5" t="n">
        <v>216</v>
      </c>
      <c r="J164" s="15" t="n">
        <v>395</v>
      </c>
      <c r="K164" s="15" t="n">
        <v>18</v>
      </c>
      <c r="L164" s="15" t="n">
        <v>90</v>
      </c>
      <c r="M164" s="19" t="n">
        <v/>
      </c>
      <c r="N164" s="19" t="n">
        <v/>
      </c>
      <c r="O164" s="19" t="n">
        <v/>
      </c>
      <c r="P164" s="19" t="n">
        <v>0.5889113431843946</v>
      </c>
      <c r="Q164" s="20" t="n">
        <v>1.45911127211609</v>
      </c>
      <c r="R164" s="20" t="n">
        <v/>
      </c>
      <c r="S164" s="20" t="n">
        <v>0</v>
      </c>
      <c r="T164" s="20" t="n">
        <v>0</v>
      </c>
      <c r="U164" s="20" t="n">
        <v>0</v>
      </c>
      <c r="V164" s="15" t="n">
        <v>0</v>
      </c>
      <c r="W164" s="24" t="n">
        <v>0</v>
      </c>
      <c r="X164" s="24" t="n">
        <v>0</v>
      </c>
      <c r="Y164" s="24" t="n">
        <v>0</v>
      </c>
      <c r="Z164" s="20" t="n">
        <v>0</v>
      </c>
      <c r="AA164" s="20" t="n">
        <v>0</v>
      </c>
      <c r="AB164" s="24" t="n">
        <v>0</v>
      </c>
      <c r="AC164" s="24" t="n">
        <v>0</v>
      </c>
      <c r="AD164" s="24" t="n">
        <v>0</v>
      </c>
      <c r="AE164" s="19" t="n">
        <v>0</v>
      </c>
      <c r="AF164" s="20" t="n">
        <v>0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17" t="n">
        <v>216</v>
      </c>
      <c r="J165" s="17" t="n">
        <v>395</v>
      </c>
      <c r="K165" s="17" t="n">
        <v>17</v>
      </c>
      <c r="L165" s="17" t="n">
        <v>90</v>
      </c>
      <c r="M165" s="21" t="n">
        <v/>
      </c>
      <c r="N165" s="21" t="n">
        <v/>
      </c>
      <c r="O165" s="21" t="n">
        <v/>
      </c>
      <c r="P165" s="21" t="n">
        <v>0.5869896916790044</v>
      </c>
      <c r="Q165" s="22" t="n">
        <v>1.380281877752422</v>
      </c>
      <c r="R165" s="22" t="n">
        <v/>
      </c>
      <c r="S165" s="22" t="n">
        <v>0</v>
      </c>
      <c r="T165" s="22" t="n">
        <v>0</v>
      </c>
      <c r="U165" s="22" t="n">
        <v>0</v>
      </c>
      <c r="V165" s="17" t="n">
        <v>0</v>
      </c>
      <c r="W165" s="25" t="n">
        <v>0</v>
      </c>
      <c r="X165" s="25" t="n">
        <v>0</v>
      </c>
      <c r="Y165" s="25" t="n">
        <v>0</v>
      </c>
      <c r="Z165" s="22" t="n">
        <v>0</v>
      </c>
      <c r="AA165" s="22" t="n">
        <v>0</v>
      </c>
      <c r="AB165" s="25" t="n">
        <v>0</v>
      </c>
      <c r="AC165" s="25" t="n">
        <v>0</v>
      </c>
      <c r="AD165" s="25" t="n">
        <v>0</v>
      </c>
      <c r="AE165" s="21" t="n">
        <v>0</v>
      </c>
      <c r="AF165" s="22" t="n">
        <v>0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5" t="n">
        <v>216</v>
      </c>
      <c r="J166" s="15" t="n">
        <v>395</v>
      </c>
      <c r="K166" s="15" t="n">
        <v>16</v>
      </c>
      <c r="L166" s="15" t="n">
        <v>90</v>
      </c>
      <c r="M166" s="19" t="n">
        <v/>
      </c>
      <c r="N166" s="19" t="n">
        <v/>
      </c>
      <c r="O166" s="19" t="n">
        <v/>
      </c>
      <c r="P166" s="19" t="n">
        <v>0.5850743106327434</v>
      </c>
      <c r="Q166" s="20" t="n">
        <v>1.301194416464418</v>
      </c>
      <c r="R166" s="20" t="n">
        <v/>
      </c>
      <c r="S166" s="20" t="n">
        <v>0</v>
      </c>
      <c r="T166" s="20" t="n">
        <v>0</v>
      </c>
      <c r="U166" s="20" t="n">
        <v>0</v>
      </c>
      <c r="V166" s="15" t="n">
        <v>0</v>
      </c>
      <c r="W166" s="24" t="n">
        <v>0</v>
      </c>
      <c r="X166" s="24" t="n">
        <v>0</v>
      </c>
      <c r="Y166" s="24" t="n">
        <v>0</v>
      </c>
      <c r="Z166" s="20" t="n">
        <v>0</v>
      </c>
      <c r="AA166" s="20" t="n">
        <v>0</v>
      </c>
      <c r="AB166" s="24" t="n">
        <v>0</v>
      </c>
      <c r="AC166" s="24" t="n">
        <v>0</v>
      </c>
      <c r="AD166" s="24" t="n">
        <v>0</v>
      </c>
      <c r="AE166" s="19" t="n">
        <v>0</v>
      </c>
      <c r="AF166" s="20" t="n">
        <v>0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17" t="n">
        <v>216</v>
      </c>
      <c r="J167" s="17" t="n">
        <v>395</v>
      </c>
      <c r="K167" s="17" t="n">
        <v>15</v>
      </c>
      <c r="L167" s="17" t="n">
        <v>90</v>
      </c>
      <c r="M167" s="21" t="n">
        <v/>
      </c>
      <c r="N167" s="21" t="n">
        <v/>
      </c>
      <c r="O167" s="21" t="n">
        <v/>
      </c>
      <c r="P167" s="21" t="n">
        <v>0.5831651795847437</v>
      </c>
      <c r="Q167" s="22" t="n">
        <v>1.221848043408123</v>
      </c>
      <c r="R167" s="22" t="n">
        <v/>
      </c>
      <c r="S167" s="22" t="n">
        <v>0</v>
      </c>
      <c r="T167" s="22" t="n">
        <v>0</v>
      </c>
      <c r="U167" s="22" t="n">
        <v>0</v>
      </c>
      <c r="V167" s="17" t="n">
        <v>0</v>
      </c>
      <c r="W167" s="25" t="n">
        <v>0</v>
      </c>
      <c r="X167" s="25" t="n">
        <v>0</v>
      </c>
      <c r="Y167" s="25" t="n">
        <v>0</v>
      </c>
      <c r="Z167" s="22" t="n">
        <v>0</v>
      </c>
      <c r="AA167" s="22" t="n">
        <v>0</v>
      </c>
      <c r="AB167" s="25" t="n">
        <v>0</v>
      </c>
      <c r="AC167" s="25" t="n">
        <v>0</v>
      </c>
      <c r="AD167" s="25" t="n">
        <v>0</v>
      </c>
      <c r="AE167" s="21" t="n">
        <v>0</v>
      </c>
      <c r="AF167" s="22" t="n">
        <v>0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5" t="n">
        <v>216</v>
      </c>
      <c r="J168" s="15" t="n">
        <v>395</v>
      </c>
      <c r="K168" s="15" t="n">
        <v>14</v>
      </c>
      <c r="L168" s="15" t="n">
        <v>90</v>
      </c>
      <c r="M168" s="19" t="n">
        <v/>
      </c>
      <c r="N168" s="19" t="n">
        <v/>
      </c>
      <c r="O168" s="19" t="n">
        <v/>
      </c>
      <c r="P168" s="19" t="n">
        <v>0.5812622781409023</v>
      </c>
      <c r="Q168" s="20" t="n">
        <v>1.14224191097378</v>
      </c>
      <c r="R168" s="20" t="n">
        <v/>
      </c>
      <c r="S168" s="20" t="n">
        <v>0</v>
      </c>
      <c r="T168" s="20" t="n">
        <v>0</v>
      </c>
      <c r="U168" s="20" t="n">
        <v>0</v>
      </c>
      <c r="V168" s="15" t="n">
        <v>0</v>
      </c>
      <c r="W168" s="24" t="n">
        <v>0</v>
      </c>
      <c r="X168" s="24" t="n">
        <v>0</v>
      </c>
      <c r="Y168" s="24" t="n">
        <v>0</v>
      </c>
      <c r="Z168" s="20" t="n">
        <v>0</v>
      </c>
      <c r="AA168" s="20" t="n">
        <v>0</v>
      </c>
      <c r="AB168" s="24" t="n">
        <v>0</v>
      </c>
      <c r="AC168" s="24" t="n">
        <v>0</v>
      </c>
      <c r="AD168" s="24" t="n">
        <v>0</v>
      </c>
      <c r="AE168" s="19" t="n">
        <v>0</v>
      </c>
      <c r="AF168" s="20" t="n">
        <v>0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17" t="n">
        <v>216</v>
      </c>
      <c r="J169" s="17" t="n">
        <v>395</v>
      </c>
      <c r="K169" s="17" t="n">
        <v>13</v>
      </c>
      <c r="L169" s="17" t="n">
        <v>90</v>
      </c>
      <c r="M169" s="21" t="n">
        <v/>
      </c>
      <c r="N169" s="21" t="n">
        <v/>
      </c>
      <c r="O169" s="21" t="n">
        <v/>
      </c>
      <c r="P169" s="21" t="n">
        <v>0.5793655859736633</v>
      </c>
      <c r="Q169" s="22" t="n">
        <v>1.06237516877678</v>
      </c>
      <c r="R169" s="22" t="n">
        <v/>
      </c>
      <c r="S169" s="22" t="n">
        <v>0</v>
      </c>
      <c r="T169" s="22" t="n">
        <v>0</v>
      </c>
      <c r="U169" s="22" t="n">
        <v>0</v>
      </c>
      <c r="V169" s="17" t="n">
        <v>0</v>
      </c>
      <c r="W169" s="25" t="n">
        <v>0</v>
      </c>
      <c r="X169" s="25" t="n">
        <v>0</v>
      </c>
      <c r="Y169" s="25" t="n">
        <v>0</v>
      </c>
      <c r="Z169" s="22" t="n">
        <v>0</v>
      </c>
      <c r="AA169" s="22" t="n">
        <v>0</v>
      </c>
      <c r="AB169" s="25" t="n">
        <v>0</v>
      </c>
      <c r="AC169" s="25" t="n">
        <v>0</v>
      </c>
      <c r="AD169" s="25" t="n">
        <v>0</v>
      </c>
      <c r="AE169" s="21" t="n">
        <v>0</v>
      </c>
      <c r="AF169" s="22" t="n">
        <v>0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5" t="n">
        <v>216</v>
      </c>
      <c r="J170" s="15" t="n">
        <v>395</v>
      </c>
      <c r="K170" s="15" t="n">
        <v>12</v>
      </c>
      <c r="L170" s="15" t="n">
        <v>90</v>
      </c>
      <c r="M170" s="19" t="n">
        <v/>
      </c>
      <c r="N170" s="19" t="n">
        <v/>
      </c>
      <c r="O170" s="19" t="n">
        <v/>
      </c>
      <c r="P170" s="19" t="n">
        <v>0.5774750828218009</v>
      </c>
      <c r="Q170" s="20" t="n">
        <v>0.9822469636485747</v>
      </c>
      <c r="R170" s="20" t="n">
        <v/>
      </c>
      <c r="S170" s="20" t="n">
        <v>0</v>
      </c>
      <c r="T170" s="20" t="n">
        <v>0</v>
      </c>
      <c r="U170" s="20" t="n">
        <v>0</v>
      </c>
      <c r="V170" s="15" t="n">
        <v>0</v>
      </c>
      <c r="W170" s="24" t="n">
        <v>0</v>
      </c>
      <c r="X170" s="24" t="n">
        <v>0</v>
      </c>
      <c r="Y170" s="24" t="n">
        <v>0</v>
      </c>
      <c r="Z170" s="20" t="n">
        <v>0</v>
      </c>
      <c r="AA170" s="20" t="n">
        <v>0</v>
      </c>
      <c r="AB170" s="24" t="n">
        <v>0</v>
      </c>
      <c r="AC170" s="24" t="n">
        <v>0</v>
      </c>
      <c r="AD170" s="24" t="n">
        <v>0</v>
      </c>
      <c r="AE170" s="19" t="n">
        <v>0</v>
      </c>
      <c r="AF170" s="20" t="n">
        <v>0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17" t="n">
        <v>216</v>
      </c>
      <c r="J171" s="17" t="n">
        <v>395</v>
      </c>
      <c r="K171" s="17" t="n">
        <v>11</v>
      </c>
      <c r="L171" s="17" t="n">
        <v>90</v>
      </c>
      <c r="M171" s="21" t="n">
        <v/>
      </c>
      <c r="N171" s="21" t="n">
        <v/>
      </c>
      <c r="O171" s="21" t="n">
        <v/>
      </c>
      <c r="P171" s="21" t="n">
        <v>0.5755907484902029</v>
      </c>
      <c r="Q171" s="22" t="n">
        <v>0.9018564396275655</v>
      </c>
      <c r="R171" s="22" t="n">
        <v/>
      </c>
      <c r="S171" s="22" t="n">
        <v>0</v>
      </c>
      <c r="T171" s="22" t="n">
        <v>0</v>
      </c>
      <c r="U171" s="22" t="n">
        <v>0</v>
      </c>
      <c r="V171" s="17" t="n">
        <v>0</v>
      </c>
      <c r="W171" s="25" t="n">
        <v>0</v>
      </c>
      <c r="X171" s="25" t="n">
        <v>0</v>
      </c>
      <c r="Y171" s="25" t="n">
        <v>0</v>
      </c>
      <c r="Z171" s="22" t="n">
        <v>0</v>
      </c>
      <c r="AA171" s="22" t="n">
        <v>0</v>
      </c>
      <c r="AB171" s="25" t="n">
        <v>0</v>
      </c>
      <c r="AC171" s="25" t="n">
        <v>0</v>
      </c>
      <c r="AD171" s="25" t="n">
        <v>0</v>
      </c>
      <c r="AE171" s="21" t="n">
        <v>0</v>
      </c>
      <c r="AF171" s="22" t="n">
        <v>0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5" t="n">
        <v>216</v>
      </c>
      <c r="J172" s="15" t="n">
        <v>395</v>
      </c>
      <c r="K172" s="15" t="n">
        <v>10</v>
      </c>
      <c r="L172" s="15" t="n">
        <v>90</v>
      </c>
      <c r="M172" s="19" t="n">
        <v/>
      </c>
      <c r="N172" s="19" t="n">
        <v/>
      </c>
      <c r="O172" s="19" t="n">
        <v/>
      </c>
      <c r="P172" s="19" t="n">
        <v>0.5737125628496547</v>
      </c>
      <c r="Q172" s="20" t="n">
        <v>0.8212027379499566</v>
      </c>
      <c r="R172" s="20" t="n">
        <v/>
      </c>
      <c r="S172" s="20" t="n">
        <v>0</v>
      </c>
      <c r="T172" s="20" t="n">
        <v>0</v>
      </c>
      <c r="U172" s="20" t="n">
        <v>0</v>
      </c>
      <c r="V172" s="15" t="n">
        <v>0</v>
      </c>
      <c r="W172" s="24" t="n">
        <v>0</v>
      </c>
      <c r="X172" s="24" t="n">
        <v>0</v>
      </c>
      <c r="Y172" s="24" t="n">
        <v>0</v>
      </c>
      <c r="Z172" s="20" t="n">
        <v>0</v>
      </c>
      <c r="AA172" s="20" t="n">
        <v>0</v>
      </c>
      <c r="AB172" s="24" t="n">
        <v>0</v>
      </c>
      <c r="AC172" s="24" t="n">
        <v>0</v>
      </c>
      <c r="AD172" s="24" t="n">
        <v>0</v>
      </c>
      <c r="AE172" s="19" t="n">
        <v>0</v>
      </c>
      <c r="AF172" s="20" t="n">
        <v>0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17" t="n">
        <v>216</v>
      </c>
      <c r="J173" s="17" t="n">
        <v>395</v>
      </c>
      <c r="K173" s="17" t="n">
        <v>9</v>
      </c>
      <c r="L173" s="17" t="n">
        <v>90</v>
      </c>
      <c r="M173" s="21" t="n">
        <v/>
      </c>
      <c r="N173" s="21" t="n">
        <v/>
      </c>
      <c r="O173" s="21" t="n">
        <v/>
      </c>
      <c r="P173" s="21" t="n">
        <v>0.5718405058366246</v>
      </c>
      <c r="Q173" s="22" t="n">
        <v>0.7402849970405838</v>
      </c>
      <c r="R173" s="22" t="n">
        <v/>
      </c>
      <c r="S173" s="22" t="n">
        <v>0</v>
      </c>
      <c r="T173" s="22" t="n">
        <v>0</v>
      </c>
      <c r="U173" s="22" t="n">
        <v>0</v>
      </c>
      <c r="V173" s="17" t="n">
        <v>0</v>
      </c>
      <c r="W173" s="25" t="n">
        <v>0</v>
      </c>
      <c r="X173" s="25" t="n">
        <v>0</v>
      </c>
      <c r="Y173" s="25" t="n">
        <v>0</v>
      </c>
      <c r="Z173" s="22" t="n">
        <v>0</v>
      </c>
      <c r="AA173" s="22" t="n">
        <v>0</v>
      </c>
      <c r="AB173" s="25" t="n">
        <v>0</v>
      </c>
      <c r="AC173" s="25" t="n">
        <v>0</v>
      </c>
      <c r="AD173" s="25" t="n">
        <v>0</v>
      </c>
      <c r="AE173" s="21" t="n">
        <v>0</v>
      </c>
      <c r="AF173" s="22" t="n">
        <v>0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5" t="n">
        <v>216</v>
      </c>
      <c r="J174" s="15" t="n">
        <v>395</v>
      </c>
      <c r="K174" s="15" t="n">
        <v>8</v>
      </c>
      <c r="L174" s="15" t="n">
        <v>90</v>
      </c>
      <c r="M174" s="19" t="n">
        <v/>
      </c>
      <c r="N174" s="19" t="n">
        <v/>
      </c>
      <c r="O174" s="19" t="n">
        <v/>
      </c>
      <c r="P174" s="19" t="n">
        <v>0.5699745574530494</v>
      </c>
      <c r="Q174" s="20" t="n">
        <v>0.6591023525037106</v>
      </c>
      <c r="R174" s="20" t="n">
        <v/>
      </c>
      <c r="S174" s="20" t="n">
        <v>0</v>
      </c>
      <c r="T174" s="20" t="n">
        <v>0</v>
      </c>
      <c r="U174" s="20" t="n">
        <v>0</v>
      </c>
      <c r="V174" s="15" t="n">
        <v>0</v>
      </c>
      <c r="W174" s="24" t="n">
        <v>0</v>
      </c>
      <c r="X174" s="24" t="n">
        <v>0</v>
      </c>
      <c r="Y174" s="24" t="n">
        <v>0</v>
      </c>
      <c r="Z174" s="20" t="n">
        <v>0</v>
      </c>
      <c r="AA174" s="20" t="n">
        <v>0</v>
      </c>
      <c r="AB174" s="24" t="n">
        <v>0</v>
      </c>
      <c r="AC174" s="24" t="n">
        <v>0</v>
      </c>
      <c r="AD174" s="24" t="n">
        <v>0</v>
      </c>
      <c r="AE174" s="19" t="n">
        <v>0</v>
      </c>
      <c r="AF174" s="20" t="n">
        <v>0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17" t="n">
        <v>216</v>
      </c>
      <c r="J175" s="17" t="n">
        <v>395</v>
      </c>
      <c r="K175" s="17" t="n">
        <v>7</v>
      </c>
      <c r="L175" s="17" t="n">
        <v>90</v>
      </c>
      <c r="M175" s="21" t="n">
        <v/>
      </c>
      <c r="N175" s="21" t="n">
        <v/>
      </c>
      <c r="O175" s="21" t="n">
        <v/>
      </c>
      <c r="P175" s="21" t="n">
        <v>0.5681146977661206</v>
      </c>
      <c r="Q175" s="22" t="n">
        <v>0.577653937113793</v>
      </c>
      <c r="R175" s="22" t="n">
        <v/>
      </c>
      <c r="S175" s="22" t="n">
        <v>0</v>
      </c>
      <c r="T175" s="22" t="n">
        <v>0</v>
      </c>
      <c r="U175" s="22" t="n">
        <v>0</v>
      </c>
      <c r="V175" s="17" t="n">
        <v>0</v>
      </c>
      <c r="W175" s="25" t="n">
        <v>0</v>
      </c>
      <c r="X175" s="25" t="n">
        <v>0</v>
      </c>
      <c r="Y175" s="25" t="n">
        <v>0</v>
      </c>
      <c r="Z175" s="22" t="n">
        <v>0</v>
      </c>
      <c r="AA175" s="22" t="n">
        <v>0</v>
      </c>
      <c r="AB175" s="25" t="n">
        <v>0</v>
      </c>
      <c r="AC175" s="25" t="n">
        <v>0</v>
      </c>
      <c r="AD175" s="25" t="n">
        <v>0</v>
      </c>
      <c r="AE175" s="21" t="n">
        <v>0</v>
      </c>
      <c r="AF175" s="22" t="n">
        <v>0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5" t="n">
        <v>216</v>
      </c>
      <c r="J176" s="15" t="n">
        <v>395</v>
      </c>
      <c r="K176" s="15" t="n">
        <v>6</v>
      </c>
      <c r="L176" s="15" t="n">
        <v>90</v>
      </c>
      <c r="M176" s="19" t="n">
        <v/>
      </c>
      <c r="N176" s="19" t="n">
        <v/>
      </c>
      <c r="O176" s="19" t="n">
        <v/>
      </c>
      <c r="P176" s="19" t="n">
        <v>0.5662609069080715</v>
      </c>
      <c r="Q176" s="20" t="n">
        <v>0.4959388808062164</v>
      </c>
      <c r="R176" s="20" t="n">
        <v/>
      </c>
      <c r="S176" s="20" t="n">
        <v>0</v>
      </c>
      <c r="T176" s="20" t="n">
        <v>0</v>
      </c>
      <c r="U176" s="20" t="n">
        <v>0</v>
      </c>
      <c r="V176" s="15" t="n">
        <v>0</v>
      </c>
      <c r="W176" s="24" t="n">
        <v>0</v>
      </c>
      <c r="X176" s="24" t="n">
        <v>0</v>
      </c>
      <c r="Y176" s="24" t="n">
        <v>0</v>
      </c>
      <c r="Z176" s="20" t="n">
        <v>0</v>
      </c>
      <c r="AA176" s="20" t="n">
        <v>0</v>
      </c>
      <c r="AB176" s="24" t="n">
        <v>0</v>
      </c>
      <c r="AC176" s="24" t="n">
        <v>0</v>
      </c>
      <c r="AD176" s="24" t="n">
        <v>0</v>
      </c>
      <c r="AE176" s="19" t="n">
        <v>0</v>
      </c>
      <c r="AF176" s="20" t="n">
        <v>0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17" t="n">
        <v>216</v>
      </c>
      <c r="J177" s="17" t="n">
        <v>395</v>
      </c>
      <c r="K177" s="17" t="n">
        <v>5</v>
      </c>
      <c r="L177" s="17" t="n">
        <v>90</v>
      </c>
      <c r="M177" s="21" t="n">
        <v/>
      </c>
      <c r="N177" s="21" t="n">
        <v/>
      </c>
      <c r="O177" s="21" t="n">
        <v/>
      </c>
      <c r="P177" s="21" t="n">
        <v>0.5644131650759655</v>
      </c>
      <c r="Q177" s="22" t="n">
        <v>0.413956310668001</v>
      </c>
      <c r="R177" s="22" t="n">
        <v/>
      </c>
      <c r="S177" s="22" t="n">
        <v>0</v>
      </c>
      <c r="T177" s="22" t="n">
        <v>0</v>
      </c>
      <c r="U177" s="22" t="n">
        <v>0</v>
      </c>
      <c r="V177" s="17" t="n">
        <v>0</v>
      </c>
      <c r="W177" s="25" t="n">
        <v>0</v>
      </c>
      <c r="X177" s="25" t="n">
        <v>0</v>
      </c>
      <c r="Y177" s="25" t="n">
        <v>0</v>
      </c>
      <c r="Z177" s="22" t="n">
        <v>0</v>
      </c>
      <c r="AA177" s="22" t="n">
        <v>0</v>
      </c>
      <c r="AB177" s="25" t="n">
        <v>0</v>
      </c>
      <c r="AC177" s="25" t="n">
        <v>0</v>
      </c>
      <c r="AD177" s="25" t="n">
        <v>0</v>
      </c>
      <c r="AE177" s="21" t="n">
        <v>0</v>
      </c>
      <c r="AF177" s="22" t="n">
        <v>0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5" t="n">
        <v>216</v>
      </c>
      <c r="J178" s="15" t="n">
        <v>395</v>
      </c>
      <c r="K178" s="15" t="n">
        <v>4</v>
      </c>
      <c r="L178" s="15" t="n">
        <v>90</v>
      </c>
      <c r="M178" s="19" t="n">
        <v/>
      </c>
      <c r="N178" s="19" t="n">
        <v/>
      </c>
      <c r="O178" s="19" t="n">
        <v/>
      </c>
      <c r="P178" s="19" t="n">
        <v>0.5625714525314838</v>
      </c>
      <c r="Q178" s="20" t="n">
        <v>0.3317053509284772</v>
      </c>
      <c r="R178" s="20" t="n">
        <v/>
      </c>
      <c r="S178" s="20" t="n">
        <v>0</v>
      </c>
      <c r="T178" s="20" t="n">
        <v>0</v>
      </c>
      <c r="U178" s="20" t="n">
        <v>0</v>
      </c>
      <c r="V178" s="15" t="n">
        <v>0</v>
      </c>
      <c r="W178" s="24" t="n">
        <v>0</v>
      </c>
      <c r="X178" s="24" t="n">
        <v>0</v>
      </c>
      <c r="Y178" s="24" t="n">
        <v>0</v>
      </c>
      <c r="Z178" s="20" t="n">
        <v>0</v>
      </c>
      <c r="AA178" s="20" t="n">
        <v>0</v>
      </c>
      <c r="AB178" s="24" t="n">
        <v>0</v>
      </c>
      <c r="AC178" s="24" t="n">
        <v>0</v>
      </c>
      <c r="AD178" s="24" t="n">
        <v>0</v>
      </c>
      <c r="AE178" s="19" t="n">
        <v>0</v>
      </c>
      <c r="AF178" s="20" t="n">
        <v>0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17" t="n">
        <v>216</v>
      </c>
      <c r="J179" s="17" t="n">
        <v>395</v>
      </c>
      <c r="K179" s="17" t="n">
        <v>3</v>
      </c>
      <c r="L179" s="17" t="n">
        <v>90</v>
      </c>
      <c r="M179" s="21" t="n">
        <v/>
      </c>
      <c r="N179" s="21" t="n">
        <v/>
      </c>
      <c r="O179" s="21" t="n">
        <v/>
      </c>
      <c r="P179" s="21" t="n">
        <v>0.5607357496007148</v>
      </c>
      <c r="Q179" s="22" t="n">
        <v>0.2491851229499301</v>
      </c>
      <c r="R179" s="22" t="n">
        <v/>
      </c>
      <c r="S179" s="22" t="n">
        <v>0</v>
      </c>
      <c r="T179" s="22" t="n">
        <v>0</v>
      </c>
      <c r="U179" s="22" t="n">
        <v>0</v>
      </c>
      <c r="V179" s="17" t="n">
        <v>0</v>
      </c>
      <c r="W179" s="25" t="n">
        <v>0</v>
      </c>
      <c r="X179" s="25" t="n">
        <v>0</v>
      </c>
      <c r="Y179" s="25" t="n">
        <v>0</v>
      </c>
      <c r="Z179" s="22" t="n">
        <v>0</v>
      </c>
      <c r="AA179" s="22" t="n">
        <v>0</v>
      </c>
      <c r="AB179" s="25" t="n">
        <v>0</v>
      </c>
      <c r="AC179" s="25" t="n">
        <v>0</v>
      </c>
      <c r="AD179" s="25" t="n">
        <v>0</v>
      </c>
      <c r="AE179" s="21" t="n">
        <v>0</v>
      </c>
      <c r="AF179" s="22" t="n">
        <v>0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5" t="n">
        <v>216</v>
      </c>
      <c r="J180" s="15" t="n">
        <v>395</v>
      </c>
      <c r="K180" s="15" t="n">
        <v>2</v>
      </c>
      <c r="L180" s="15" t="n">
        <v>90</v>
      </c>
      <c r="M180" s="19" t="n">
        <v/>
      </c>
      <c r="N180" s="19" t="n">
        <v/>
      </c>
      <c r="O180" s="19" t="n">
        <v/>
      </c>
      <c r="P180" s="19" t="n">
        <v>0.5589060366739442</v>
      </c>
      <c r="Q180" s="20" t="n">
        <v>0.1663947452182135</v>
      </c>
      <c r="R180" s="20" t="n">
        <v/>
      </c>
      <c r="S180" s="20" t="n">
        <v>0</v>
      </c>
      <c r="T180" s="20" t="n">
        <v>0</v>
      </c>
      <c r="U180" s="20" t="n">
        <v>0</v>
      </c>
      <c r="V180" s="15" t="n">
        <v>0</v>
      </c>
      <c r="W180" s="24" t="n">
        <v>0</v>
      </c>
      <c r="X180" s="24" t="n">
        <v>0</v>
      </c>
      <c r="Y180" s="24" t="n">
        <v>0</v>
      </c>
      <c r="Z180" s="20" t="n">
        <v>0</v>
      </c>
      <c r="AA180" s="20" t="n">
        <v>0</v>
      </c>
      <c r="AB180" s="24" t="n">
        <v>0</v>
      </c>
      <c r="AC180" s="24" t="n">
        <v>0</v>
      </c>
      <c r="AD180" s="24" t="n">
        <v>0</v>
      </c>
      <c r="AE180" s="19" t="n">
        <v>0</v>
      </c>
      <c r="AF180" s="20" t="n">
        <v>0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17" t="n">
        <v>216</v>
      </c>
      <c r="J181" s="17" t="n">
        <v>395</v>
      </c>
      <c r="K181" s="17" t="n">
        <v>1</v>
      </c>
      <c r="L181" s="17" t="n">
        <v>90</v>
      </c>
      <c r="M181" s="21" t="n">
        <v/>
      </c>
      <c r="N181" s="21" t="n">
        <v/>
      </c>
      <c r="O181" s="21" t="n">
        <v/>
      </c>
      <c r="P181" s="21" t="n">
        <v>0.5570822942054452</v>
      </c>
      <c r="Q181" s="22" t="n">
        <v>0.08333333333333333</v>
      </c>
      <c r="R181" s="22" t="n">
        <v/>
      </c>
      <c r="S181" s="22" t="n">
        <v>0</v>
      </c>
      <c r="T181" s="22" t="n">
        <v>0</v>
      </c>
      <c r="U181" s="22" t="n">
        <v>0</v>
      </c>
      <c r="V181" s="17" t="n">
        <v>0</v>
      </c>
      <c r="W181" s="25" t="n">
        <v>0</v>
      </c>
      <c r="X181" s="25" t="n">
        <v>0</v>
      </c>
      <c r="Y181" s="25" t="n">
        <v>0</v>
      </c>
      <c r="Z181" s="22" t="n">
        <v>0</v>
      </c>
      <c r="AA181" s="22" t="n">
        <v>0</v>
      </c>
      <c r="AB181" s="25" t="n">
        <v>0</v>
      </c>
      <c r="AC181" s="25" t="n">
        <v>0</v>
      </c>
      <c r="AD181" s="25" t="n">
        <v>0</v>
      </c>
      <c r="AE181" s="21" t="n">
        <v>0</v>
      </c>
      <c r="AF181" s="22" t="n">
        <v>0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5" t="n">
        <v>216</v>
      </c>
      <c r="J182" s="15" t="n">
        <v>395</v>
      </c>
      <c r="K182" s="15" t="n">
        <v>0</v>
      </c>
      <c r="L182" s="15" t="n">
        <v>90</v>
      </c>
      <c r="M182" s="19" t="n">
        <v/>
      </c>
      <c r="N182" s="19" t="n">
        <v/>
      </c>
      <c r="O182" s="19" t="n">
        <v/>
      </c>
      <c r="P182" s="19" t="n">
        <v>0.5552645027132699</v>
      </c>
      <c r="Q182" s="20" t="n">
        <v>0</v>
      </c>
      <c r="R182" s="20" t="n">
        <v/>
      </c>
      <c r="S182" s="20" t="n">
        <v>0</v>
      </c>
      <c r="T182" s="20" t="n">
        <v>0</v>
      </c>
      <c r="U182" s="20" t="n">
        <v>0</v>
      </c>
      <c r="V182" s="15" t="n">
        <v>0</v>
      </c>
      <c r="W182" s="24" t="n">
        <v>0</v>
      </c>
      <c r="X182" s="24" t="n">
        <v>0</v>
      </c>
      <c r="Y182" s="24" t="n">
        <v>0</v>
      </c>
      <c r="Z182" s="20" t="n">
        <v>0</v>
      </c>
      <c r="AA182" s="20" t="n">
        <v>0</v>
      </c>
      <c r="AB182" s="24" t="n">
        <v>0</v>
      </c>
      <c r="AC182" s="24" t="n">
        <v>0</v>
      </c>
      <c r="AD182" s="24" t="n">
        <v>0</v>
      </c>
      <c r="AE182" s="19" t="n">
        <v>0</v>
      </c>
      <c r="AF182" s="20" t="n">
        <v>0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17" t="n">
        <v>216</v>
      </c>
      <c r="J183" s="17" t="n">
        <v>395</v>
      </c>
      <c r="K183" s="17" t="n">
        <v>-1</v>
      </c>
      <c r="L183" s="17" t="n">
        <v>90</v>
      </c>
      <c r="M183" s="21" t="n">
        <v/>
      </c>
      <c r="N183" s="21" t="n">
        <v/>
      </c>
      <c r="O183" s="21" t="n">
        <v/>
      </c>
      <c r="P183" s="21" t="n">
        <v>0.553452642779041</v>
      </c>
      <c r="Q183" s="22" t="n">
        <v>0</v>
      </c>
      <c r="R183" s="22" t="n">
        <v/>
      </c>
      <c r="S183" s="22" t="n">
        <v>0</v>
      </c>
      <c r="T183" s="22" t="n">
        <v>0</v>
      </c>
      <c r="U183" s="22" t="n">
        <v>0</v>
      </c>
      <c r="V183" s="17" t="n">
        <v>0</v>
      </c>
      <c r="W183" s="25" t="n">
        <v>0</v>
      </c>
      <c r="X183" s="25" t="n">
        <v>0</v>
      </c>
      <c r="Y183" s="25" t="n">
        <v>0</v>
      </c>
      <c r="Z183" s="22" t="n">
        <v>0</v>
      </c>
      <c r="AA183" s="22" t="n">
        <v>0</v>
      </c>
      <c r="AB183" s="25" t="n">
        <v>0</v>
      </c>
      <c r="AC183" s="25" t="n">
        <v>0</v>
      </c>
      <c r="AD183" s="25" t="n">
        <v>0</v>
      </c>
      <c r="AE183" s="21" t="n">
        <v>0</v>
      </c>
      <c r="AF183" s="22" t="n">
        <v>0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5" t="n">
        <v>216</v>
      </c>
      <c r="J184" s="15" t="n">
        <v>395</v>
      </c>
      <c r="K184" s="15" t="n">
        <v>-2</v>
      </c>
      <c r="L184" s="15" t="n">
        <v>90</v>
      </c>
      <c r="M184" s="19" t="n">
        <v/>
      </c>
      <c r="N184" s="19" t="n">
        <v/>
      </c>
      <c r="O184" s="19" t="n">
        <v/>
      </c>
      <c r="P184" s="19" t="n">
        <v>0.5516466950477447</v>
      </c>
      <c r="Q184" s="20" t="n">
        <v>0</v>
      </c>
      <c r="R184" s="20" t="n">
        <v/>
      </c>
      <c r="S184" s="20" t="n">
        <v>0</v>
      </c>
      <c r="T184" s="20" t="n">
        <v>0</v>
      </c>
      <c r="U184" s="20" t="n">
        <v>0</v>
      </c>
      <c r="V184" s="15" t="n">
        <v>0</v>
      </c>
      <c r="W184" s="24" t="n">
        <v>0</v>
      </c>
      <c r="X184" s="24" t="n">
        <v>0</v>
      </c>
      <c r="Y184" s="24" t="n">
        <v>0</v>
      </c>
      <c r="Z184" s="20" t="n">
        <v>0</v>
      </c>
      <c r="AA184" s="20" t="n">
        <v>0</v>
      </c>
      <c r="AB184" s="24" t="n">
        <v>0</v>
      </c>
      <c r="AC184" s="24" t="n">
        <v>0</v>
      </c>
      <c r="AD184" s="24" t="n">
        <v>0</v>
      </c>
      <c r="AE184" s="19" t="n">
        <v>0</v>
      </c>
      <c r="AF184" s="20" t="n">
        <v>0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17" t="n">
        <v>216</v>
      </c>
      <c r="J185" s="17" t="n">
        <v>395</v>
      </c>
      <c r="K185" s="17" t="n">
        <v>-3</v>
      </c>
      <c r="L185" s="17" t="n">
        <v>90</v>
      </c>
      <c r="M185" s="21" t="n">
        <v/>
      </c>
      <c r="N185" s="21" t="n">
        <v/>
      </c>
      <c r="O185" s="21" t="n">
        <v/>
      </c>
      <c r="P185" s="21" t="n">
        <v>0.5498466402275234</v>
      </c>
      <c r="Q185" s="22" t="n">
        <v>0</v>
      </c>
      <c r="R185" s="22" t="n">
        <v/>
      </c>
      <c r="S185" s="22" t="n">
        <v>0</v>
      </c>
      <c r="T185" s="22" t="n">
        <v>0</v>
      </c>
      <c r="U185" s="22" t="n">
        <v>0</v>
      </c>
      <c r="V185" s="17" t="n">
        <v>0</v>
      </c>
      <c r="W185" s="25" t="n">
        <v>0</v>
      </c>
      <c r="X185" s="25" t="n">
        <v>0</v>
      </c>
      <c r="Y185" s="25" t="n">
        <v>0</v>
      </c>
      <c r="Z185" s="22" t="n">
        <v>0</v>
      </c>
      <c r="AA185" s="22" t="n">
        <v>0</v>
      </c>
      <c r="AB185" s="25" t="n">
        <v>0</v>
      </c>
      <c r="AC185" s="25" t="n">
        <v>0</v>
      </c>
      <c r="AD185" s="25" t="n">
        <v>0</v>
      </c>
      <c r="AE185" s="21" t="n">
        <v>0</v>
      </c>
      <c r="AF185" s="22" t="n">
        <v>0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5" t="n">
        <v>216</v>
      </c>
      <c r="J186" s="15" t="n">
        <v>395</v>
      </c>
      <c r="K186" s="15" t="n">
        <v>-4</v>
      </c>
      <c r="L186" s="15" t="n">
        <v>90</v>
      </c>
      <c r="M186" s="19" t="n">
        <v/>
      </c>
      <c r="N186" s="19" t="n">
        <v/>
      </c>
      <c r="O186" s="19" t="n">
        <v/>
      </c>
      <c r="P186" s="19" t="n">
        <v>0.5480524590894702</v>
      </c>
      <c r="Q186" s="20" t="n">
        <v>0</v>
      </c>
      <c r="R186" s="20" t="n">
        <v/>
      </c>
      <c r="S186" s="20" t="n">
        <v>0</v>
      </c>
      <c r="T186" s="20" t="n">
        <v>0</v>
      </c>
      <c r="U186" s="20" t="n">
        <v>0</v>
      </c>
      <c r="V186" s="15" t="n">
        <v>0</v>
      </c>
      <c r="W186" s="24" t="n">
        <v>0</v>
      </c>
      <c r="X186" s="24" t="n">
        <v>0</v>
      </c>
      <c r="Y186" s="24" t="n">
        <v>0</v>
      </c>
      <c r="Z186" s="20" t="n">
        <v>0</v>
      </c>
      <c r="AA186" s="20" t="n">
        <v>0</v>
      </c>
      <c r="AB186" s="24" t="n">
        <v>0</v>
      </c>
      <c r="AC186" s="24" t="n">
        <v>0</v>
      </c>
      <c r="AD186" s="24" t="n">
        <v>0</v>
      </c>
      <c r="AE186" s="19" t="n">
        <v>0</v>
      </c>
      <c r="AF186" s="20" t="n">
        <v>0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17" t="n">
        <v>216</v>
      </c>
      <c r="J187" s="17" t="n">
        <v>395</v>
      </c>
      <c r="K187" s="17" t="n">
        <v>-5</v>
      </c>
      <c r="L187" s="17" t="n">
        <v>90</v>
      </c>
      <c r="M187" s="21" t="n">
        <v/>
      </c>
      <c r="N187" s="21" t="n">
        <v/>
      </c>
      <c r="O187" s="21" t="n">
        <v/>
      </c>
      <c r="P187" s="21" t="n">
        <v>0.5462641324674232</v>
      </c>
      <c r="Q187" s="22" t="n">
        <v>0</v>
      </c>
      <c r="R187" s="22" t="n">
        <v/>
      </c>
      <c r="S187" s="22" t="n">
        <v>0</v>
      </c>
      <c r="T187" s="22" t="n">
        <v>0</v>
      </c>
      <c r="U187" s="22" t="n">
        <v>0</v>
      </c>
      <c r="V187" s="17" t="n">
        <v>0</v>
      </c>
      <c r="W187" s="25" t="n">
        <v>0</v>
      </c>
      <c r="X187" s="25" t="n">
        <v>0</v>
      </c>
      <c r="Y187" s="25" t="n">
        <v>0</v>
      </c>
      <c r="Z187" s="22" t="n">
        <v>0</v>
      </c>
      <c r="AA187" s="22" t="n">
        <v>0</v>
      </c>
      <c r="AB187" s="25" t="n">
        <v>0</v>
      </c>
      <c r="AC187" s="25" t="n">
        <v>0</v>
      </c>
      <c r="AD187" s="25" t="n">
        <v>0</v>
      </c>
      <c r="AE187" s="21" t="n">
        <v>0</v>
      </c>
      <c r="AF187" s="22" t="n">
        <v>0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5" t="n">
        <v>216</v>
      </c>
      <c r="J188" s="15" t="n">
        <v>395</v>
      </c>
      <c r="K188" s="15" t="n">
        <v>-6</v>
      </c>
      <c r="L188" s="15" t="n">
        <v>90</v>
      </c>
      <c r="M188" s="19" t="n">
        <v/>
      </c>
      <c r="N188" s="19" t="n">
        <v/>
      </c>
      <c r="O188" s="19" t="n">
        <v/>
      </c>
      <c r="P188" s="19" t="n">
        <v>0.5444816412577608</v>
      </c>
      <c r="Q188" s="20" t="n">
        <v>0</v>
      </c>
      <c r="R188" s="20" t="n">
        <v/>
      </c>
      <c r="S188" s="20" t="n">
        <v>0</v>
      </c>
      <c r="T188" s="20" t="n">
        <v>0</v>
      </c>
      <c r="U188" s="20" t="n">
        <v>0</v>
      </c>
      <c r="V188" s="15" t="n">
        <v>0</v>
      </c>
      <c r="W188" s="24" t="n">
        <v>0</v>
      </c>
      <c r="X188" s="24" t="n">
        <v>0</v>
      </c>
      <c r="Y188" s="24" t="n">
        <v>0</v>
      </c>
      <c r="Z188" s="20" t="n">
        <v>0</v>
      </c>
      <c r="AA188" s="20" t="n">
        <v>0</v>
      </c>
      <c r="AB188" s="24" t="n">
        <v>0</v>
      </c>
      <c r="AC188" s="24" t="n">
        <v>0</v>
      </c>
      <c r="AD188" s="24" t="n">
        <v>0</v>
      </c>
      <c r="AE188" s="19" t="n">
        <v>0</v>
      </c>
      <c r="AF188" s="20" t="n">
        <v>0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17" t="n">
        <v>216</v>
      </c>
      <c r="J189" s="17" t="n">
        <v>395</v>
      </c>
      <c r="K189" s="17" t="n">
        <v>-7</v>
      </c>
      <c r="L189" s="17" t="n">
        <v>90</v>
      </c>
      <c r="M189" s="21" t="n">
        <v/>
      </c>
      <c r="N189" s="21" t="n">
        <v/>
      </c>
      <c r="O189" s="21" t="n">
        <v/>
      </c>
      <c r="P189" s="21" t="n">
        <v>0.5427049664191973</v>
      </c>
      <c r="Q189" s="22" t="n">
        <v>0</v>
      </c>
      <c r="R189" s="22" t="n">
        <v/>
      </c>
      <c r="S189" s="22" t="n">
        <v>0</v>
      </c>
      <c r="T189" s="22" t="n">
        <v>0</v>
      </c>
      <c r="U189" s="22" t="n">
        <v>0</v>
      </c>
      <c r="V189" s="17" t="n">
        <v>0</v>
      </c>
      <c r="W189" s="25" t="n">
        <v>0</v>
      </c>
      <c r="X189" s="25" t="n">
        <v>0</v>
      </c>
      <c r="Y189" s="25" t="n">
        <v>0</v>
      </c>
      <c r="Z189" s="22" t="n">
        <v>0</v>
      </c>
      <c r="AA189" s="22" t="n">
        <v>0</v>
      </c>
      <c r="AB189" s="25" t="n">
        <v>0</v>
      </c>
      <c r="AC189" s="25" t="n">
        <v>0</v>
      </c>
      <c r="AD189" s="25" t="n">
        <v>0</v>
      </c>
      <c r="AE189" s="21" t="n">
        <v>0</v>
      </c>
      <c r="AF189" s="22" t="n">
        <v>0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5" t="n">
        <v>216</v>
      </c>
      <c r="J190" s="15" t="n">
        <v>395</v>
      </c>
      <c r="K190" s="15" t="n">
        <v>-8</v>
      </c>
      <c r="L190" s="15" t="n">
        <v>90</v>
      </c>
      <c r="M190" s="19" t="n">
        <v/>
      </c>
      <c r="N190" s="19" t="n">
        <v/>
      </c>
      <c r="O190" s="19" t="n">
        <v/>
      </c>
      <c r="P190" s="19" t="n">
        <v>0.5409340889725802</v>
      </c>
      <c r="Q190" s="20" t="n">
        <v>0</v>
      </c>
      <c r="R190" s="20" t="n">
        <v/>
      </c>
      <c r="S190" s="20" t="n">
        <v>0</v>
      </c>
      <c r="T190" s="20" t="n">
        <v>0</v>
      </c>
      <c r="U190" s="20" t="n">
        <v>0</v>
      </c>
      <c r="V190" s="15" t="n">
        <v>0</v>
      </c>
      <c r="W190" s="24" t="n">
        <v>0</v>
      </c>
      <c r="X190" s="24" t="n">
        <v>0</v>
      </c>
      <c r="Y190" s="24" t="n">
        <v>0</v>
      </c>
      <c r="Z190" s="20" t="n">
        <v>0</v>
      </c>
      <c r="AA190" s="20" t="n">
        <v>0</v>
      </c>
      <c r="AB190" s="24" t="n">
        <v>0</v>
      </c>
      <c r="AC190" s="24" t="n">
        <v>0</v>
      </c>
      <c r="AD190" s="24" t="n">
        <v>0</v>
      </c>
      <c r="AE190" s="19" t="n">
        <v>0</v>
      </c>
      <c r="AF190" s="20" t="n">
        <v>0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17" t="n">
        <v>216</v>
      </c>
      <c r="J191" s="17" t="n">
        <v>395</v>
      </c>
      <c r="K191" s="17" t="n">
        <v>-9</v>
      </c>
      <c r="L191" s="17" t="n">
        <v>90</v>
      </c>
      <c r="M191" s="21" t="n">
        <v/>
      </c>
      <c r="N191" s="21" t="n">
        <v/>
      </c>
      <c r="O191" s="21" t="n">
        <v/>
      </c>
      <c r="P191" s="21" t="n">
        <v>0.539168990000687</v>
      </c>
      <c r="Q191" s="22" t="n">
        <v>0</v>
      </c>
      <c r="R191" s="22" t="n">
        <v/>
      </c>
      <c r="S191" s="22" t="n">
        <v>0</v>
      </c>
      <c r="T191" s="22" t="n">
        <v>0</v>
      </c>
      <c r="U191" s="22" t="n">
        <v>0</v>
      </c>
      <c r="V191" s="17" t="n">
        <v>0</v>
      </c>
      <c r="W191" s="25" t="n">
        <v>0</v>
      </c>
      <c r="X191" s="25" t="n">
        <v>0</v>
      </c>
      <c r="Y191" s="25" t="n">
        <v>0</v>
      </c>
      <c r="Z191" s="22" t="n">
        <v>0</v>
      </c>
      <c r="AA191" s="22" t="n">
        <v>0</v>
      </c>
      <c r="AB191" s="25" t="n">
        <v>0</v>
      </c>
      <c r="AC191" s="25" t="n">
        <v>0</v>
      </c>
      <c r="AD191" s="25" t="n">
        <v>0</v>
      </c>
      <c r="AE191" s="21" t="n">
        <v>0</v>
      </c>
      <c r="AF191" s="22" t="n">
        <v>0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5" t="n">
        <v>216</v>
      </c>
      <c r="J192" s="15" t="n">
        <v>395</v>
      </c>
      <c r="K192" s="15" t="n">
        <v>-10</v>
      </c>
      <c r="L192" s="15" t="n">
        <v>90</v>
      </c>
      <c r="M192" s="19" t="n">
        <v/>
      </c>
      <c r="N192" s="19" t="n">
        <v/>
      </c>
      <c r="O192" s="19" t="n">
        <v/>
      </c>
      <c r="P192" s="19" t="n">
        <v>0.5374096506480229</v>
      </c>
      <c r="Q192" s="20" t="n">
        <v>0</v>
      </c>
      <c r="R192" s="20" t="n">
        <v/>
      </c>
      <c r="S192" s="20" t="n">
        <v>0</v>
      </c>
      <c r="T192" s="20" t="n">
        <v>0</v>
      </c>
      <c r="U192" s="20" t="n">
        <v>0</v>
      </c>
      <c r="V192" s="15" t="n">
        <v>0</v>
      </c>
      <c r="W192" s="24" t="n">
        <v>0</v>
      </c>
      <c r="X192" s="24" t="n">
        <v>0</v>
      </c>
      <c r="Y192" s="24" t="n">
        <v>0</v>
      </c>
      <c r="Z192" s="20" t="n">
        <v>0</v>
      </c>
      <c r="AA192" s="20" t="n">
        <v>0</v>
      </c>
      <c r="AB192" s="24" t="n">
        <v>0</v>
      </c>
      <c r="AC192" s="24" t="n">
        <v>0</v>
      </c>
      <c r="AD192" s="24" t="n">
        <v>0</v>
      </c>
      <c r="AE192" s="19" t="n">
        <v>0</v>
      </c>
      <c r="AF192" s="20" t="n">
        <v>0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17" t="n">
        <v>216</v>
      </c>
      <c r="J193" s="17" t="n">
        <v>395</v>
      </c>
      <c r="K193" s="17" t="n">
        <v>-11</v>
      </c>
      <c r="L193" s="17" t="n">
        <v>90</v>
      </c>
      <c r="M193" s="21" t="n">
        <v/>
      </c>
      <c r="N193" s="21" t="n">
        <v/>
      </c>
      <c r="O193" s="21" t="n">
        <v/>
      </c>
      <c r="P193" s="21" t="n">
        <v>0.5356560521206201</v>
      </c>
      <c r="Q193" s="22" t="n">
        <v>0</v>
      </c>
      <c r="R193" s="22" t="n">
        <v/>
      </c>
      <c r="S193" s="22" t="n">
        <v>0</v>
      </c>
      <c r="T193" s="22" t="n">
        <v>0</v>
      </c>
      <c r="U193" s="22" t="n">
        <v>0</v>
      </c>
      <c r="V193" s="17" t="n">
        <v>0</v>
      </c>
      <c r="W193" s="25" t="n">
        <v>0</v>
      </c>
      <c r="X193" s="25" t="n">
        <v>0</v>
      </c>
      <c r="Y193" s="25" t="n">
        <v>0</v>
      </c>
      <c r="Z193" s="22" t="n">
        <v>0</v>
      </c>
      <c r="AA193" s="22" t="n">
        <v>0</v>
      </c>
      <c r="AB193" s="25" t="n">
        <v>0</v>
      </c>
      <c r="AC193" s="25" t="n">
        <v>0</v>
      </c>
      <c r="AD193" s="25" t="n">
        <v>0</v>
      </c>
      <c r="AE193" s="21" t="n">
        <v>0</v>
      </c>
      <c r="AF193" s="22" t="n">
        <v>0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5" t="n">
        <v>216</v>
      </c>
      <c r="J194" s="15" t="n">
        <v>395</v>
      </c>
      <c r="K194" s="15" t="n">
        <v>-12</v>
      </c>
      <c r="L194" s="15" t="n">
        <v>90</v>
      </c>
      <c r="M194" s="19" t="n">
        <v/>
      </c>
      <c r="N194" s="19" t="n">
        <v/>
      </c>
      <c r="O194" s="19" t="n">
        <v/>
      </c>
      <c r="P194" s="19" t="n">
        <v>0.533908175685836</v>
      </c>
      <c r="Q194" s="20" t="n">
        <v>0</v>
      </c>
      <c r="R194" s="20" t="n">
        <v/>
      </c>
      <c r="S194" s="20" t="n">
        <v>0</v>
      </c>
      <c r="T194" s="20" t="n">
        <v>0</v>
      </c>
      <c r="U194" s="20" t="n">
        <v>0</v>
      </c>
      <c r="V194" s="15" t="n">
        <v>0</v>
      </c>
      <c r="W194" s="24" t="n">
        <v>0</v>
      </c>
      <c r="X194" s="24" t="n">
        <v>0</v>
      </c>
      <c r="Y194" s="24" t="n">
        <v>0</v>
      </c>
      <c r="Z194" s="20" t="n">
        <v>0</v>
      </c>
      <c r="AA194" s="20" t="n">
        <v>0</v>
      </c>
      <c r="AB194" s="24" t="n">
        <v>0</v>
      </c>
      <c r="AC194" s="24" t="n">
        <v>0</v>
      </c>
      <c r="AD194" s="24" t="n">
        <v>0</v>
      </c>
      <c r="AE194" s="19" t="n">
        <v>0</v>
      </c>
      <c r="AF194" s="20" t="n">
        <v>0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17" t="n">
        <v>216</v>
      </c>
      <c r="J195" s="17" t="n">
        <v>395</v>
      </c>
      <c r="K195" s="17" t="n">
        <v>-13</v>
      </c>
      <c r="L195" s="17" t="n">
        <v>90</v>
      </c>
      <c r="M195" s="21" t="n">
        <v/>
      </c>
      <c r="N195" s="21" t="n">
        <v/>
      </c>
      <c r="O195" s="21" t="n">
        <v/>
      </c>
      <c r="P195" s="21" t="n">
        <v>0.5321660026721544</v>
      </c>
      <c r="Q195" s="22" t="n">
        <v>0</v>
      </c>
      <c r="R195" s="22" t="n">
        <v/>
      </c>
      <c r="S195" s="22" t="n">
        <v>0</v>
      </c>
      <c r="T195" s="22" t="n">
        <v>0</v>
      </c>
      <c r="U195" s="22" t="n">
        <v>0</v>
      </c>
      <c r="V195" s="17" t="n">
        <v>0</v>
      </c>
      <c r="W195" s="25" t="n">
        <v>0</v>
      </c>
      <c r="X195" s="25" t="n">
        <v>0</v>
      </c>
      <c r="Y195" s="25" t="n">
        <v>0</v>
      </c>
      <c r="Z195" s="22" t="n">
        <v>0</v>
      </c>
      <c r="AA195" s="22" t="n">
        <v>0</v>
      </c>
      <c r="AB195" s="25" t="n">
        <v>0</v>
      </c>
      <c r="AC195" s="25" t="n">
        <v>0</v>
      </c>
      <c r="AD195" s="25" t="n">
        <v>0</v>
      </c>
      <c r="AE195" s="21" t="n">
        <v>0</v>
      </c>
      <c r="AF195" s="22" t="n">
        <v>0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5" t="n">
        <v>216</v>
      </c>
      <c r="J196" s="15" t="n">
        <v>395</v>
      </c>
      <c r="K196" s="15" t="n">
        <v>-14</v>
      </c>
      <c r="L196" s="15" t="n">
        <v>90</v>
      </c>
      <c r="M196" s="19" t="n">
        <v/>
      </c>
      <c r="N196" s="19" t="n">
        <v/>
      </c>
      <c r="O196" s="19" t="n">
        <v/>
      </c>
      <c r="P196" s="19" t="n">
        <v>0.5304295144689849</v>
      </c>
      <c r="Q196" s="20" t="n">
        <v>0</v>
      </c>
      <c r="R196" s="20" t="n">
        <v/>
      </c>
      <c r="S196" s="20" t="n">
        <v>0</v>
      </c>
      <c r="T196" s="20" t="n">
        <v>0</v>
      </c>
      <c r="U196" s="20" t="n">
        <v>0</v>
      </c>
      <c r="V196" s="15" t="n">
        <v>0</v>
      </c>
      <c r="W196" s="24" t="n">
        <v>0</v>
      </c>
      <c r="X196" s="24" t="n">
        <v>0</v>
      </c>
      <c r="Y196" s="24" t="n">
        <v>0</v>
      </c>
      <c r="Z196" s="20" t="n">
        <v>0</v>
      </c>
      <c r="AA196" s="20" t="n">
        <v>0</v>
      </c>
      <c r="AB196" s="24" t="n">
        <v>0</v>
      </c>
      <c r="AC196" s="24" t="n">
        <v>0</v>
      </c>
      <c r="AD196" s="24" t="n">
        <v>0</v>
      </c>
      <c r="AE196" s="19" t="n">
        <v>0</v>
      </c>
      <c r="AF196" s="20" t="n">
        <v>0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17" t="n">
        <v>216</v>
      </c>
      <c r="J197" s="17" t="n">
        <v>395</v>
      </c>
      <c r="K197" s="17" t="n">
        <v>-15</v>
      </c>
      <c r="L197" s="17" t="n">
        <v>90</v>
      </c>
      <c r="M197" s="21" t="n">
        <v/>
      </c>
      <c r="N197" s="21" t="n">
        <v/>
      </c>
      <c r="O197" s="21" t="n">
        <v/>
      </c>
      <c r="P197" s="21" t="n">
        <v>0.5286986925264645</v>
      </c>
      <c r="Q197" s="22" t="n">
        <v>0</v>
      </c>
      <c r="R197" s="22" t="n">
        <v/>
      </c>
      <c r="S197" s="22" t="n">
        <v>0</v>
      </c>
      <c r="T197" s="22" t="n">
        <v>0</v>
      </c>
      <c r="U197" s="22" t="n">
        <v>0</v>
      </c>
      <c r="V197" s="17" t="n">
        <v>0</v>
      </c>
      <c r="W197" s="25" t="n">
        <v>0</v>
      </c>
      <c r="X197" s="25" t="n">
        <v>0</v>
      </c>
      <c r="Y197" s="25" t="n">
        <v>0</v>
      </c>
      <c r="Z197" s="22" t="n">
        <v>0</v>
      </c>
      <c r="AA197" s="22" t="n">
        <v>0</v>
      </c>
      <c r="AB197" s="25" t="n">
        <v>0</v>
      </c>
      <c r="AC197" s="25" t="n">
        <v>0</v>
      </c>
      <c r="AD197" s="25" t="n">
        <v>0</v>
      </c>
      <c r="AE197" s="21" t="n">
        <v>0</v>
      </c>
      <c r="AF197" s="22" t="n">
        <v>0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5" t="n">
        <v>216</v>
      </c>
      <c r="J198" s="15" t="n">
        <v>395</v>
      </c>
      <c r="K198" s="15" t="n">
        <v>-16</v>
      </c>
      <c r="L198" s="15" t="n">
        <v>90</v>
      </c>
      <c r="M198" s="19" t="n">
        <v/>
      </c>
      <c r="N198" s="19" t="n">
        <v/>
      </c>
      <c r="O198" s="19" t="n">
        <v/>
      </c>
      <c r="P198" s="19" t="n">
        <v>0.5269735183552595</v>
      </c>
      <c r="Q198" s="20" t="n">
        <v>0</v>
      </c>
      <c r="R198" s="20" t="n">
        <v/>
      </c>
      <c r="S198" s="20" t="n">
        <v>0</v>
      </c>
      <c r="T198" s="20" t="n">
        <v>0</v>
      </c>
      <c r="U198" s="20" t="n">
        <v>0</v>
      </c>
      <c r="V198" s="15" t="n">
        <v>0</v>
      </c>
      <c r="W198" s="24" t="n">
        <v>0</v>
      </c>
      <c r="X198" s="24" t="n">
        <v>0</v>
      </c>
      <c r="Y198" s="24" t="n">
        <v>0</v>
      </c>
      <c r="Z198" s="20" t="n">
        <v>0</v>
      </c>
      <c r="AA198" s="20" t="n">
        <v>0</v>
      </c>
      <c r="AB198" s="24" t="n">
        <v>0</v>
      </c>
      <c r="AC198" s="24" t="n">
        <v>0</v>
      </c>
      <c r="AD198" s="24" t="n">
        <v>0</v>
      </c>
      <c r="AE198" s="19" t="n">
        <v>0</v>
      </c>
      <c r="AF198" s="20" t="n">
        <v>0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17" t="n">
        <v>216</v>
      </c>
      <c r="J199" s="17" t="n">
        <v>395</v>
      </c>
      <c r="K199" s="17" t="n">
        <v>-17</v>
      </c>
      <c r="L199" s="17" t="n">
        <v>90</v>
      </c>
      <c r="M199" s="21" t="n">
        <v/>
      </c>
      <c r="N199" s="21" t="n">
        <v/>
      </c>
      <c r="O199" s="21" t="n">
        <v/>
      </c>
      <c r="P199" s="21" t="n">
        <v>0.5252539735263682</v>
      </c>
      <c r="Q199" s="22" t="n">
        <v>0</v>
      </c>
      <c r="R199" s="22" t="n">
        <v/>
      </c>
      <c r="S199" s="22" t="n">
        <v>0</v>
      </c>
      <c r="T199" s="22" t="n">
        <v>0</v>
      </c>
      <c r="U199" s="22" t="n">
        <v>0</v>
      </c>
      <c r="V199" s="17" t="n">
        <v>0</v>
      </c>
      <c r="W199" s="25" t="n">
        <v>0</v>
      </c>
      <c r="X199" s="25" t="n">
        <v>0</v>
      </c>
      <c r="Y199" s="25" t="n">
        <v>0</v>
      </c>
      <c r="Z199" s="22" t="n">
        <v>0</v>
      </c>
      <c r="AA199" s="22" t="n">
        <v>0</v>
      </c>
      <c r="AB199" s="25" t="n">
        <v>0</v>
      </c>
      <c r="AC199" s="25" t="n">
        <v>0</v>
      </c>
      <c r="AD199" s="25" t="n">
        <v>0</v>
      </c>
      <c r="AE199" s="21" t="n">
        <v>0</v>
      </c>
      <c r="AF199" s="22" t="n">
        <v>0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5" t="n">
        <v>216</v>
      </c>
      <c r="J200" s="15" t="n">
        <v>395</v>
      </c>
      <c r="K200" s="15" t="n">
        <v>-18</v>
      </c>
      <c r="L200" s="15" t="n">
        <v>90</v>
      </c>
      <c r="M200" s="19" t="n">
        <v/>
      </c>
      <c r="N200" s="19" t="n">
        <v/>
      </c>
      <c r="O200" s="19" t="n">
        <v/>
      </c>
      <c r="P200" s="19" t="n">
        <v>0.5235400396709234</v>
      </c>
      <c r="Q200" s="20" t="n">
        <v>0</v>
      </c>
      <c r="R200" s="20" t="n">
        <v/>
      </c>
      <c r="S200" s="20" t="n">
        <v>0</v>
      </c>
      <c r="T200" s="20" t="n">
        <v>0</v>
      </c>
      <c r="U200" s="20" t="n">
        <v>0</v>
      </c>
      <c r="V200" s="15" t="n">
        <v>0</v>
      </c>
      <c r="W200" s="24" t="n">
        <v>0</v>
      </c>
      <c r="X200" s="24" t="n">
        <v>0</v>
      </c>
      <c r="Y200" s="24" t="n">
        <v>0</v>
      </c>
      <c r="Z200" s="20" t="n">
        <v>0</v>
      </c>
      <c r="AA200" s="20" t="n">
        <v>0</v>
      </c>
      <c r="AB200" s="24" t="n">
        <v>0</v>
      </c>
      <c r="AC200" s="24" t="n">
        <v>0</v>
      </c>
      <c r="AD200" s="24" t="n">
        <v>0</v>
      </c>
      <c r="AE200" s="19" t="n">
        <v>0</v>
      </c>
      <c r="AF200" s="20" t="n">
        <v>0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17" t="n">
        <v>216</v>
      </c>
      <c r="J201" s="17" t="n">
        <v>395</v>
      </c>
      <c r="K201" s="17" t="n">
        <v>-19</v>
      </c>
      <c r="L201" s="17" t="n">
        <v>90</v>
      </c>
      <c r="M201" s="21" t="n">
        <v/>
      </c>
      <c r="N201" s="21" t="n">
        <v/>
      </c>
      <c r="O201" s="21" t="n">
        <v/>
      </c>
      <c r="P201" s="21" t="n">
        <v>0.521831698479997</v>
      </c>
      <c r="Q201" s="22" t="n">
        <v>0</v>
      </c>
      <c r="R201" s="22" t="n">
        <v/>
      </c>
      <c r="S201" s="22" t="n">
        <v>0</v>
      </c>
      <c r="T201" s="22" t="n">
        <v>0</v>
      </c>
      <c r="U201" s="22" t="n">
        <v>0</v>
      </c>
      <c r="V201" s="17" t="n">
        <v>0</v>
      </c>
      <c r="W201" s="25" t="n">
        <v>0</v>
      </c>
      <c r="X201" s="25" t="n">
        <v>0</v>
      </c>
      <c r="Y201" s="25" t="n">
        <v>0</v>
      </c>
      <c r="Z201" s="22" t="n">
        <v>0</v>
      </c>
      <c r="AA201" s="22" t="n">
        <v>0</v>
      </c>
      <c r="AB201" s="25" t="n">
        <v>0</v>
      </c>
      <c r="AC201" s="25" t="n">
        <v>0</v>
      </c>
      <c r="AD201" s="25" t="n">
        <v>0</v>
      </c>
      <c r="AE201" s="21" t="n">
        <v>0</v>
      </c>
      <c r="AF201" s="22" t="n">
        <v>0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5" t="n">
        <v>216</v>
      </c>
      <c r="J202" s="15" t="n">
        <v>395</v>
      </c>
      <c r="K202" s="15" t="n">
        <v>-20</v>
      </c>
      <c r="L202" s="15" t="n">
        <v>90</v>
      </c>
      <c r="M202" s="19" t="n">
        <v/>
      </c>
      <c r="N202" s="19" t="n">
        <v/>
      </c>
      <c r="O202" s="19" t="n">
        <v/>
      </c>
      <c r="P202" s="19" t="n">
        <v>0.5201289317044037</v>
      </c>
      <c r="Q202" s="20" t="n">
        <v>0</v>
      </c>
      <c r="R202" s="20" t="n">
        <v/>
      </c>
      <c r="S202" s="20" t="n">
        <v>0</v>
      </c>
      <c r="T202" s="20" t="n">
        <v>0</v>
      </c>
      <c r="U202" s="20" t="n">
        <v>0</v>
      </c>
      <c r="V202" s="15" t="n">
        <v>0</v>
      </c>
      <c r="W202" s="24" t="n">
        <v>0</v>
      </c>
      <c r="X202" s="24" t="n">
        <v>0</v>
      </c>
      <c r="Y202" s="24" t="n">
        <v>0</v>
      </c>
      <c r="Z202" s="20" t="n">
        <v>0</v>
      </c>
      <c r="AA202" s="20" t="n">
        <v>0</v>
      </c>
      <c r="AB202" s="24" t="n">
        <v>0</v>
      </c>
      <c r="AC202" s="24" t="n">
        <v>0</v>
      </c>
      <c r="AD202" s="24" t="n">
        <v>0</v>
      </c>
      <c r="AE202" s="19" t="n">
        <v>0</v>
      </c>
      <c r="AF202" s="20" t="n">
        <v>0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17" t="n">
        <v>216</v>
      </c>
      <c r="J203" s="17" t="n">
        <v>395</v>
      </c>
      <c r="K203" s="17" t="n">
        <v>-21</v>
      </c>
      <c r="L203" s="17" t="n">
        <v>90</v>
      </c>
      <c r="M203" s="21" t="n">
        <v/>
      </c>
      <c r="N203" s="21" t="n">
        <v/>
      </c>
      <c r="O203" s="21" t="n">
        <v/>
      </c>
      <c r="P203" s="21" t="n">
        <v>0.5184317211545063</v>
      </c>
      <c r="Q203" s="22" t="n">
        <v>0</v>
      </c>
      <c r="R203" s="22" t="n">
        <v/>
      </c>
      <c r="S203" s="22" t="n">
        <v>0</v>
      </c>
      <c r="T203" s="22" t="n">
        <v>0</v>
      </c>
      <c r="U203" s="22" t="n">
        <v>0</v>
      </c>
      <c r="V203" s="17" t="n">
        <v>0</v>
      </c>
      <c r="W203" s="25" t="n">
        <v>0</v>
      </c>
      <c r="X203" s="25" t="n">
        <v>0</v>
      </c>
      <c r="Y203" s="25" t="n">
        <v>0</v>
      </c>
      <c r="Z203" s="22" t="n">
        <v>0</v>
      </c>
      <c r="AA203" s="22" t="n">
        <v>0</v>
      </c>
      <c r="AB203" s="25" t="n">
        <v>0</v>
      </c>
      <c r="AC203" s="25" t="n">
        <v>0</v>
      </c>
      <c r="AD203" s="25" t="n">
        <v>0</v>
      </c>
      <c r="AE203" s="21" t="n">
        <v>0</v>
      </c>
      <c r="AF203" s="22" t="n">
        <v>0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5" t="n">
        <v>216</v>
      </c>
      <c r="J204" s="15" t="n">
        <v>395</v>
      </c>
      <c r="K204" s="15" t="n">
        <v>-22</v>
      </c>
      <c r="L204" s="15" t="n">
        <v>90</v>
      </c>
      <c r="M204" s="19" t="n">
        <v/>
      </c>
      <c r="N204" s="19" t="n">
        <v/>
      </c>
      <c r="O204" s="19" t="n">
        <v/>
      </c>
      <c r="P204" s="19" t="n">
        <v>0.5167400487000217</v>
      </c>
      <c r="Q204" s="20" t="n">
        <v>0</v>
      </c>
      <c r="R204" s="20" t="n">
        <v/>
      </c>
      <c r="S204" s="20" t="n">
        <v>0</v>
      </c>
      <c r="T204" s="20" t="n">
        <v>0</v>
      </c>
      <c r="U204" s="20" t="n">
        <v>0</v>
      </c>
      <c r="V204" s="15" t="n">
        <v>0</v>
      </c>
      <c r="W204" s="24" t="n">
        <v>0</v>
      </c>
      <c r="X204" s="24" t="n">
        <v>0</v>
      </c>
      <c r="Y204" s="24" t="n">
        <v>0</v>
      </c>
      <c r="Z204" s="20" t="n">
        <v>0</v>
      </c>
      <c r="AA204" s="20" t="n">
        <v>0</v>
      </c>
      <c r="AB204" s="24" t="n">
        <v>0</v>
      </c>
      <c r="AC204" s="24" t="n">
        <v>0</v>
      </c>
      <c r="AD204" s="24" t="n">
        <v>0</v>
      </c>
      <c r="AE204" s="19" t="n">
        <v>0</v>
      </c>
      <c r="AF204" s="20" t="n">
        <v>0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17" t="n">
        <v>216</v>
      </c>
      <c r="J205" s="17" t="n">
        <v>395</v>
      </c>
      <c r="K205" s="17" t="n">
        <v>-23</v>
      </c>
      <c r="L205" s="17" t="n">
        <v>90</v>
      </c>
      <c r="M205" s="21" t="n">
        <v/>
      </c>
      <c r="N205" s="21" t="n">
        <v/>
      </c>
      <c r="O205" s="21" t="n">
        <v/>
      </c>
      <c r="P205" s="21" t="n">
        <v>0.5150538962698266</v>
      </c>
      <c r="Q205" s="22" t="n">
        <v>0</v>
      </c>
      <c r="R205" s="22" t="n">
        <v/>
      </c>
      <c r="S205" s="22" t="n">
        <v>0</v>
      </c>
      <c r="T205" s="22" t="n">
        <v>0</v>
      </c>
      <c r="U205" s="22" t="n">
        <v>0</v>
      </c>
      <c r="V205" s="17" t="n">
        <v>0</v>
      </c>
      <c r="W205" s="25" t="n">
        <v>0</v>
      </c>
      <c r="X205" s="25" t="n">
        <v>0</v>
      </c>
      <c r="Y205" s="25" t="n">
        <v>0</v>
      </c>
      <c r="Z205" s="22" t="n">
        <v>0</v>
      </c>
      <c r="AA205" s="22" t="n">
        <v>0</v>
      </c>
      <c r="AB205" s="25" t="n">
        <v>0</v>
      </c>
      <c r="AC205" s="25" t="n">
        <v>0</v>
      </c>
      <c r="AD205" s="25" t="n">
        <v>0</v>
      </c>
      <c r="AE205" s="21" t="n">
        <v>0</v>
      </c>
      <c r="AF205" s="22" t="n">
        <v>0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5" t="n">
        <v>216</v>
      </c>
      <c r="J206" s="15" t="n">
        <v>395</v>
      </c>
      <c r="K206" s="15" t="n">
        <v>-24</v>
      </c>
      <c r="L206" s="15" t="n">
        <v>90</v>
      </c>
      <c r="M206" s="19" t="n">
        <v/>
      </c>
      <c r="N206" s="19" t="n">
        <v/>
      </c>
      <c r="O206" s="19" t="n">
        <v/>
      </c>
      <c r="P206" s="19" t="n">
        <v>0.513373245851765</v>
      </c>
      <c r="Q206" s="20" t="n">
        <v>0</v>
      </c>
      <c r="R206" s="20" t="n">
        <v/>
      </c>
      <c r="S206" s="20" t="n">
        <v>0</v>
      </c>
      <c r="T206" s="20" t="n">
        <v>0</v>
      </c>
      <c r="U206" s="20" t="n">
        <v>0</v>
      </c>
      <c r="V206" s="15" t="n">
        <v>0</v>
      </c>
      <c r="W206" s="24" t="n">
        <v>0</v>
      </c>
      <c r="X206" s="24" t="n">
        <v>0</v>
      </c>
      <c r="Y206" s="24" t="n">
        <v>0</v>
      </c>
      <c r="Z206" s="20" t="n">
        <v>0</v>
      </c>
      <c r="AA206" s="20" t="n">
        <v>0</v>
      </c>
      <c r="AB206" s="24" t="n">
        <v>0</v>
      </c>
      <c r="AC206" s="24" t="n">
        <v>0</v>
      </c>
      <c r="AD206" s="24" t="n">
        <v>0</v>
      </c>
      <c r="AE206" s="19" t="n">
        <v>0</v>
      </c>
      <c r="AF206" s="20" t="n">
        <v>0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17" t="n">
        <v>216</v>
      </c>
      <c r="J207" s="17" t="n">
        <v>395</v>
      </c>
      <c r="K207" s="17" t="n">
        <v>-25</v>
      </c>
      <c r="L207" s="17" t="n">
        <v>90</v>
      </c>
      <c r="M207" s="21" t="n">
        <v/>
      </c>
      <c r="N207" s="21" t="n">
        <v/>
      </c>
      <c r="O207" s="21" t="n">
        <v/>
      </c>
      <c r="P207" s="21" t="n">
        <v>0.5116980794924558</v>
      </c>
      <c r="Q207" s="22" t="n">
        <v>0</v>
      </c>
      <c r="R207" s="22" t="n">
        <v/>
      </c>
      <c r="S207" s="22" t="n">
        <v>0</v>
      </c>
      <c r="T207" s="22" t="n">
        <v>0</v>
      </c>
      <c r="U207" s="22" t="n">
        <v>0</v>
      </c>
      <c r="V207" s="17" t="n">
        <v>0</v>
      </c>
      <c r="W207" s="25" t="n">
        <v>0</v>
      </c>
      <c r="X207" s="25" t="n">
        <v>0</v>
      </c>
      <c r="Y207" s="25" t="n">
        <v>0</v>
      </c>
      <c r="Z207" s="22" t="n">
        <v>0</v>
      </c>
      <c r="AA207" s="22" t="n">
        <v>0</v>
      </c>
      <c r="AB207" s="25" t="n">
        <v>0</v>
      </c>
      <c r="AC207" s="25" t="n">
        <v>0</v>
      </c>
      <c r="AD207" s="25" t="n">
        <v>0</v>
      </c>
      <c r="AE207" s="21" t="n">
        <v>0</v>
      </c>
      <c r="AF207" s="22" t="n">
        <v>0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5" t="n">
        <v>216</v>
      </c>
      <c r="J208" s="15" t="n">
        <v>395</v>
      </c>
      <c r="K208" s="15" t="n">
        <v>-26</v>
      </c>
      <c r="L208" s="15" t="n">
        <v>90</v>
      </c>
      <c r="M208" s="19" t="n">
        <v/>
      </c>
      <c r="N208" s="19" t="n">
        <v/>
      </c>
      <c r="O208" s="19" t="n">
        <v/>
      </c>
      <c r="P208" s="19" t="n">
        <v>0.5100283792971004</v>
      </c>
      <c r="Q208" s="20" t="n">
        <v>0</v>
      </c>
      <c r="R208" s="20" t="n">
        <v/>
      </c>
      <c r="S208" s="20" t="n">
        <v>0</v>
      </c>
      <c r="T208" s="20" t="n">
        <v>0</v>
      </c>
      <c r="U208" s="20" t="n">
        <v>0</v>
      </c>
      <c r="V208" s="15" t="n">
        <v>0</v>
      </c>
      <c r="W208" s="24" t="n">
        <v>0</v>
      </c>
      <c r="X208" s="24" t="n">
        <v>0</v>
      </c>
      <c r="Y208" s="24" t="n">
        <v>0</v>
      </c>
      <c r="Z208" s="20" t="n">
        <v>0</v>
      </c>
      <c r="AA208" s="20" t="n">
        <v>0</v>
      </c>
      <c r="AB208" s="24" t="n">
        <v>0</v>
      </c>
      <c r="AC208" s="24" t="n">
        <v>0</v>
      </c>
      <c r="AD208" s="24" t="n">
        <v>0</v>
      </c>
      <c r="AE208" s="19" t="n">
        <v>0</v>
      </c>
      <c r="AF208" s="20" t="n">
        <v>0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17" t="n">
        <v>216</v>
      </c>
      <c r="J209" s="17" t="n">
        <v>395</v>
      </c>
      <c r="K209" s="17" t="n">
        <v>-27</v>
      </c>
      <c r="L209" s="17" t="n">
        <v>90</v>
      </c>
      <c r="M209" s="21" t="n">
        <v/>
      </c>
      <c r="N209" s="21" t="n">
        <v/>
      </c>
      <c r="O209" s="21" t="n">
        <v/>
      </c>
      <c r="P209" s="21" t="n">
        <v>0.5083641274292923</v>
      </c>
      <c r="Q209" s="22" t="n">
        <v>0</v>
      </c>
      <c r="R209" s="22" t="n">
        <v/>
      </c>
      <c r="S209" s="22" t="n">
        <v>0</v>
      </c>
      <c r="T209" s="22" t="n">
        <v>0</v>
      </c>
      <c r="U209" s="22" t="n">
        <v>0</v>
      </c>
      <c r="V209" s="17" t="n">
        <v>0</v>
      </c>
      <c r="W209" s="25" t="n">
        <v>0</v>
      </c>
      <c r="X209" s="25" t="n">
        <v>0</v>
      </c>
      <c r="Y209" s="25" t="n">
        <v>0</v>
      </c>
      <c r="Z209" s="22" t="n">
        <v>0</v>
      </c>
      <c r="AA209" s="22" t="n">
        <v>0</v>
      </c>
      <c r="AB209" s="25" t="n">
        <v>0</v>
      </c>
      <c r="AC209" s="25" t="n">
        <v>0</v>
      </c>
      <c r="AD209" s="25" t="n">
        <v>0</v>
      </c>
      <c r="AE209" s="21" t="n">
        <v>0</v>
      </c>
      <c r="AF209" s="22" t="n">
        <v>0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5" t="n">
        <v>216</v>
      </c>
      <c r="J210" s="15" t="n">
        <v>395</v>
      </c>
      <c r="K210" s="15" t="n">
        <v>-28</v>
      </c>
      <c r="L210" s="15" t="n">
        <v>90</v>
      </c>
      <c r="M210" s="19" t="n">
        <v/>
      </c>
      <c r="N210" s="19" t="n">
        <v/>
      </c>
      <c r="O210" s="19" t="n">
        <v/>
      </c>
      <c r="P210" s="19" t="n">
        <v>0.506705306110826</v>
      </c>
      <c r="Q210" s="20" t="n">
        <v>0</v>
      </c>
      <c r="R210" s="20" t="n">
        <v/>
      </c>
      <c r="S210" s="20" t="n">
        <v>0</v>
      </c>
      <c r="T210" s="20" t="n">
        <v>0</v>
      </c>
      <c r="U210" s="20" t="n">
        <v>0</v>
      </c>
      <c r="V210" s="15" t="n">
        <v>0</v>
      </c>
      <c r="W210" s="24" t="n">
        <v>0</v>
      </c>
      <c r="X210" s="24" t="n">
        <v>0</v>
      </c>
      <c r="Y210" s="24" t="n">
        <v>0</v>
      </c>
      <c r="Z210" s="20" t="n">
        <v>0</v>
      </c>
      <c r="AA210" s="20" t="n">
        <v>0</v>
      </c>
      <c r="AB210" s="24" t="n">
        <v>0</v>
      </c>
      <c r="AC210" s="24" t="n">
        <v>0</v>
      </c>
      <c r="AD210" s="24" t="n">
        <v>0</v>
      </c>
      <c r="AE210" s="19" t="n">
        <v>0</v>
      </c>
      <c r="AF210" s="20" t="n">
        <v>0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17" t="n">
        <v>216</v>
      </c>
      <c r="J211" s="17" t="n">
        <v>395</v>
      </c>
      <c r="K211" s="17" t="n">
        <v>-29</v>
      </c>
      <c r="L211" s="17" t="n">
        <v>90</v>
      </c>
      <c r="M211" s="21" t="n">
        <v/>
      </c>
      <c r="N211" s="21" t="n">
        <v/>
      </c>
      <c r="O211" s="21" t="n">
        <v/>
      </c>
      <c r="P211" s="21" t="n">
        <v>0.5050518976215074</v>
      </c>
      <c r="Q211" s="22" t="n">
        <v>0</v>
      </c>
      <c r="R211" s="22" t="n">
        <v/>
      </c>
      <c r="S211" s="22" t="n">
        <v>0</v>
      </c>
      <c r="T211" s="22" t="n">
        <v>0</v>
      </c>
      <c r="U211" s="22" t="n">
        <v>0</v>
      </c>
      <c r="V211" s="17" t="n">
        <v>0</v>
      </c>
      <c r="W211" s="25" t="n">
        <v>0</v>
      </c>
      <c r="X211" s="25" t="n">
        <v>0</v>
      </c>
      <c r="Y211" s="25" t="n">
        <v>0</v>
      </c>
      <c r="Z211" s="22" t="n">
        <v>0</v>
      </c>
      <c r="AA211" s="22" t="n">
        <v>0</v>
      </c>
      <c r="AB211" s="25" t="n">
        <v>0</v>
      </c>
      <c r="AC211" s="25" t="n">
        <v>0</v>
      </c>
      <c r="AD211" s="25" t="n">
        <v>0</v>
      </c>
      <c r="AE211" s="21" t="n">
        <v>0</v>
      </c>
      <c r="AF211" s="22" t="n">
        <v>0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5" t="n">
        <v>216</v>
      </c>
      <c r="J212" s="15" t="n">
        <v>395</v>
      </c>
      <c r="K212" s="15" t="n">
        <v>-30</v>
      </c>
      <c r="L212" s="15" t="n">
        <v>90</v>
      </c>
      <c r="M212" s="19" t="n">
        <v/>
      </c>
      <c r="N212" s="19" t="n">
        <v/>
      </c>
      <c r="O212" s="19" t="n">
        <v/>
      </c>
      <c r="P212" s="19" t="n">
        <v>0.5034038842989644</v>
      </c>
      <c r="Q212" s="20" t="n">
        <v>0</v>
      </c>
      <c r="R212" s="20" t="n">
        <v/>
      </c>
      <c r="S212" s="20" t="n">
        <v>0</v>
      </c>
      <c r="T212" s="20" t="n">
        <v>0</v>
      </c>
      <c r="U212" s="20" t="n">
        <v>0</v>
      </c>
      <c r="V212" s="15" t="n">
        <v>0</v>
      </c>
      <c r="W212" s="24" t="n">
        <v>0</v>
      </c>
      <c r="X212" s="24" t="n">
        <v>0</v>
      </c>
      <c r="Y212" s="24" t="n">
        <v>0</v>
      </c>
      <c r="Z212" s="20" t="n">
        <v>0</v>
      </c>
      <c r="AA212" s="20" t="n">
        <v>0</v>
      </c>
      <c r="AB212" s="24" t="n">
        <v>0</v>
      </c>
      <c r="AC212" s="24" t="n">
        <v>0</v>
      </c>
      <c r="AD212" s="24" t="n">
        <v>0</v>
      </c>
      <c r="AE212" s="19" t="n">
        <v>0</v>
      </c>
      <c r="AF212" s="20" t="n">
        <v>0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17" t="n">
        <v>216</v>
      </c>
      <c r="J213" s="17" t="n">
        <v>395</v>
      </c>
      <c r="K213" s="17" t="n">
        <v>-31</v>
      </c>
      <c r="L213" s="17" t="n">
        <v>90</v>
      </c>
      <c r="M213" s="21" t="n">
        <v/>
      </c>
      <c r="N213" s="21" t="n">
        <v/>
      </c>
      <c r="O213" s="21" t="n">
        <v/>
      </c>
      <c r="P213" s="21" t="n">
        <v>0.5017612485384583</v>
      </c>
      <c r="Q213" s="22" t="n">
        <v>0</v>
      </c>
      <c r="R213" s="22" t="n">
        <v/>
      </c>
      <c r="S213" s="22" t="n">
        <v>0</v>
      </c>
      <c r="T213" s="22" t="n">
        <v>0</v>
      </c>
      <c r="U213" s="22" t="n">
        <v>0</v>
      </c>
      <c r="V213" s="17" t="n">
        <v>0</v>
      </c>
      <c r="W213" s="25" t="n">
        <v>0</v>
      </c>
      <c r="X213" s="25" t="n">
        <v>0</v>
      </c>
      <c r="Y213" s="25" t="n">
        <v>0</v>
      </c>
      <c r="Z213" s="22" t="n">
        <v>0</v>
      </c>
      <c r="AA213" s="22" t="n">
        <v>0</v>
      </c>
      <c r="AB213" s="25" t="n">
        <v>0</v>
      </c>
      <c r="AC213" s="25" t="n">
        <v>0</v>
      </c>
      <c r="AD213" s="25" t="n">
        <v>0</v>
      </c>
      <c r="AE213" s="21" t="n">
        <v>0</v>
      </c>
      <c r="AF213" s="22" t="n">
        <v>0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5" t="n">
        <v>216</v>
      </c>
      <c r="J214" s="15" t="n">
        <v>395</v>
      </c>
      <c r="K214" s="15" t="n">
        <v>-32</v>
      </c>
      <c r="L214" s="15" t="n">
        <v>90</v>
      </c>
      <c r="M214" s="19" t="n">
        <v/>
      </c>
      <c r="N214" s="19" t="n">
        <v/>
      </c>
      <c r="O214" s="19" t="n">
        <v/>
      </c>
      <c r="P214" s="19" t="n">
        <v>0.5001239727926955</v>
      </c>
      <c r="Q214" s="20" t="n">
        <v>0</v>
      </c>
      <c r="R214" s="20" t="n">
        <v/>
      </c>
      <c r="S214" s="20" t="n">
        <v>0</v>
      </c>
      <c r="T214" s="20" t="n">
        <v>0</v>
      </c>
      <c r="U214" s="20" t="n">
        <v>0</v>
      </c>
      <c r="V214" s="15" t="n">
        <v>0</v>
      </c>
      <c r="W214" s="24" t="n">
        <v>0</v>
      </c>
      <c r="X214" s="24" t="n">
        <v>0</v>
      </c>
      <c r="Y214" s="24" t="n">
        <v>0</v>
      </c>
      <c r="Z214" s="20" t="n">
        <v>0</v>
      </c>
      <c r="AA214" s="20" t="n">
        <v>0</v>
      </c>
      <c r="AB214" s="24" t="n">
        <v>0</v>
      </c>
      <c r="AC214" s="24" t="n">
        <v>0</v>
      </c>
      <c r="AD214" s="24" t="n">
        <v>0</v>
      </c>
      <c r="AE214" s="19" t="n">
        <v>0</v>
      </c>
      <c r="AF214" s="20" t="n">
        <v>0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17" t="n">
        <v>216</v>
      </c>
      <c r="J215" s="17" t="n">
        <v>395</v>
      </c>
      <c r="K215" s="17" t="n">
        <v>-33</v>
      </c>
      <c r="L215" s="17" t="n">
        <v>90</v>
      </c>
      <c r="M215" s="21" t="n">
        <v/>
      </c>
      <c r="N215" s="21" t="n">
        <v/>
      </c>
      <c r="O215" s="21" t="n">
        <v/>
      </c>
      <c r="P215" s="21" t="n">
        <v>0.4984920395716403</v>
      </c>
      <c r="Q215" s="22" t="n">
        <v>0</v>
      </c>
      <c r="R215" s="22" t="n">
        <v/>
      </c>
      <c r="S215" s="22" t="n">
        <v>0</v>
      </c>
      <c r="T215" s="22" t="n">
        <v>0</v>
      </c>
      <c r="U215" s="22" t="n">
        <v>0</v>
      </c>
      <c r="V215" s="17" t="n">
        <v>0</v>
      </c>
      <c r="W215" s="25" t="n">
        <v>0</v>
      </c>
      <c r="X215" s="25" t="n">
        <v>0</v>
      </c>
      <c r="Y215" s="25" t="n">
        <v>0</v>
      </c>
      <c r="Z215" s="22" t="n">
        <v>0</v>
      </c>
      <c r="AA215" s="22" t="n">
        <v>0</v>
      </c>
      <c r="AB215" s="25" t="n">
        <v>0</v>
      </c>
      <c r="AC215" s="25" t="n">
        <v>0</v>
      </c>
      <c r="AD215" s="25" t="n">
        <v>0</v>
      </c>
      <c r="AE215" s="21" t="n">
        <v>0</v>
      </c>
      <c r="AF215" s="22" t="n">
        <v>0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5" t="n">
        <v>216</v>
      </c>
      <c r="J216" s="15" t="n">
        <v>395</v>
      </c>
      <c r="K216" s="15" t="n">
        <v>-34</v>
      </c>
      <c r="L216" s="15" t="n">
        <v>90</v>
      </c>
      <c r="M216" s="19" t="n">
        <v/>
      </c>
      <c r="N216" s="19" t="n">
        <v/>
      </c>
      <c r="O216" s="19" t="n">
        <v/>
      </c>
      <c r="P216" s="19" t="n">
        <v>0.4968654314423281</v>
      </c>
      <c r="Q216" s="20" t="n">
        <v>0</v>
      </c>
      <c r="R216" s="20" t="n">
        <v/>
      </c>
      <c r="S216" s="20" t="n">
        <v>0</v>
      </c>
      <c r="T216" s="20" t="n">
        <v>0</v>
      </c>
      <c r="U216" s="20" t="n">
        <v>0</v>
      </c>
      <c r="V216" s="15" t="n">
        <v>0</v>
      </c>
      <c r="W216" s="24" t="n">
        <v>0</v>
      </c>
      <c r="X216" s="24" t="n">
        <v>0</v>
      </c>
      <c r="Y216" s="24" t="n">
        <v>0</v>
      </c>
      <c r="Z216" s="20" t="n">
        <v>0</v>
      </c>
      <c r="AA216" s="20" t="n">
        <v>0</v>
      </c>
      <c r="AB216" s="24" t="n">
        <v>0</v>
      </c>
      <c r="AC216" s="24" t="n">
        <v>0</v>
      </c>
      <c r="AD216" s="24" t="n">
        <v>0</v>
      </c>
      <c r="AE216" s="19" t="n">
        <v>0</v>
      </c>
      <c r="AF216" s="20" t="n">
        <v>0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17" t="n">
        <v>216</v>
      </c>
      <c r="J217" s="17" t="n">
        <v>395</v>
      </c>
      <c r="K217" s="17" t="n">
        <v>-35</v>
      </c>
      <c r="L217" s="17" t="n">
        <v>90</v>
      </c>
      <c r="M217" s="21" t="n">
        <v/>
      </c>
      <c r="N217" s="21" t="n">
        <v/>
      </c>
      <c r="O217" s="21" t="n">
        <v/>
      </c>
      <c r="P217" s="21" t="n">
        <v>0.495244131028679</v>
      </c>
      <c r="Q217" s="22" t="n">
        <v>0</v>
      </c>
      <c r="R217" s="22" t="n">
        <v/>
      </c>
      <c r="S217" s="22" t="n">
        <v>0</v>
      </c>
      <c r="T217" s="22" t="n">
        <v>0</v>
      </c>
      <c r="U217" s="22" t="n">
        <v>0</v>
      </c>
      <c r="V217" s="17" t="n">
        <v>0</v>
      </c>
      <c r="W217" s="25" t="n">
        <v>0</v>
      </c>
      <c r="X217" s="25" t="n">
        <v>0</v>
      </c>
      <c r="Y217" s="25" t="n">
        <v>0</v>
      </c>
      <c r="Z217" s="22" t="n">
        <v>0</v>
      </c>
      <c r="AA217" s="22" t="n">
        <v>0</v>
      </c>
      <c r="AB217" s="25" t="n">
        <v>0</v>
      </c>
      <c r="AC217" s="25" t="n">
        <v>0</v>
      </c>
      <c r="AD217" s="25" t="n">
        <v>0</v>
      </c>
      <c r="AE217" s="21" t="n">
        <v>0</v>
      </c>
      <c r="AF217" s="22" t="n">
        <v>0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5" t="n">
        <v>216</v>
      </c>
      <c r="J218" s="15" t="n">
        <v>395</v>
      </c>
      <c r="K218" s="15" t="n">
        <v>-36</v>
      </c>
      <c r="L218" s="15" t="n">
        <v>90</v>
      </c>
      <c r="M218" s="19" t="n">
        <v/>
      </c>
      <c r="N218" s="19" t="n">
        <v/>
      </c>
      <c r="O218" s="19" t="n">
        <v/>
      </c>
      <c r="P218" s="19" t="n">
        <v>0.4936281210113122</v>
      </c>
      <c r="Q218" s="20" t="n">
        <v>0</v>
      </c>
      <c r="R218" s="20" t="n">
        <v/>
      </c>
      <c r="S218" s="20" t="n">
        <v>0</v>
      </c>
      <c r="T218" s="20" t="n">
        <v>0</v>
      </c>
      <c r="U218" s="20" t="n">
        <v>0</v>
      </c>
      <c r="V218" s="15" t="n">
        <v>0</v>
      </c>
      <c r="W218" s="24" t="n">
        <v>0</v>
      </c>
      <c r="X218" s="24" t="n">
        <v>0</v>
      </c>
      <c r="Y218" s="24" t="n">
        <v>0</v>
      </c>
      <c r="Z218" s="20" t="n">
        <v>0</v>
      </c>
      <c r="AA218" s="20" t="n">
        <v>0</v>
      </c>
      <c r="AB218" s="24" t="n">
        <v>0</v>
      </c>
      <c r="AC218" s="24" t="n">
        <v>0</v>
      </c>
      <c r="AD218" s="24" t="n">
        <v>0</v>
      </c>
      <c r="AE218" s="19" t="n">
        <v>0</v>
      </c>
      <c r="AF218" s="20" t="n">
        <v>0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17" t="n">
        <v>216</v>
      </c>
      <c r="J219" s="17" t="n">
        <v>395</v>
      </c>
      <c r="K219" s="17" t="n">
        <v>-37</v>
      </c>
      <c r="L219" s="17" t="n">
        <v>90</v>
      </c>
      <c r="M219" s="21" t="n">
        <v/>
      </c>
      <c r="N219" s="21" t="n">
        <v/>
      </c>
      <c r="O219" s="21" t="n">
        <v/>
      </c>
      <c r="P219" s="21" t="n">
        <v>0.492017384127361</v>
      </c>
      <c r="Q219" s="22" t="n">
        <v>0</v>
      </c>
      <c r="R219" s="22" t="n">
        <v/>
      </c>
      <c r="S219" s="22" t="n">
        <v>0</v>
      </c>
      <c r="T219" s="22" t="n">
        <v>0</v>
      </c>
      <c r="U219" s="22" t="n">
        <v>0</v>
      </c>
      <c r="V219" s="17" t="n">
        <v>0</v>
      </c>
      <c r="W219" s="25" t="n">
        <v>0</v>
      </c>
      <c r="X219" s="25" t="n">
        <v>0</v>
      </c>
      <c r="Y219" s="25" t="n">
        <v>0</v>
      </c>
      <c r="Z219" s="22" t="n">
        <v>0</v>
      </c>
      <c r="AA219" s="22" t="n">
        <v>0</v>
      </c>
      <c r="AB219" s="25" t="n">
        <v>0</v>
      </c>
      <c r="AC219" s="25" t="n">
        <v>0</v>
      </c>
      <c r="AD219" s="25" t="n">
        <v>0</v>
      </c>
      <c r="AE219" s="21" t="n">
        <v>0</v>
      </c>
      <c r="AF219" s="22" t="n">
        <v>0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5" t="n">
        <v>216</v>
      </c>
      <c r="J220" s="15" t="n">
        <v>395</v>
      </c>
      <c r="K220" s="15" t="n">
        <v>-38</v>
      </c>
      <c r="L220" s="15" t="n">
        <v>90</v>
      </c>
      <c r="M220" s="19" t="n">
        <v/>
      </c>
      <c r="N220" s="19" t="n">
        <v/>
      </c>
      <c r="O220" s="19" t="n">
        <v/>
      </c>
      <c r="P220" s="19" t="n">
        <v>0.4904119031702885</v>
      </c>
      <c r="Q220" s="20" t="n">
        <v>0</v>
      </c>
      <c r="R220" s="20" t="n">
        <v/>
      </c>
      <c r="S220" s="20" t="n">
        <v>0</v>
      </c>
      <c r="T220" s="20" t="n">
        <v>0</v>
      </c>
      <c r="U220" s="20" t="n">
        <v>0</v>
      </c>
      <c r="V220" s="15" t="n">
        <v>0</v>
      </c>
      <c r="W220" s="24" t="n">
        <v>0</v>
      </c>
      <c r="X220" s="24" t="n">
        <v>0</v>
      </c>
      <c r="Y220" s="24" t="n">
        <v>0</v>
      </c>
      <c r="Z220" s="20" t="n">
        <v>0</v>
      </c>
      <c r="AA220" s="20" t="n">
        <v>0</v>
      </c>
      <c r="AB220" s="24" t="n">
        <v>0</v>
      </c>
      <c r="AC220" s="24" t="n">
        <v>0</v>
      </c>
      <c r="AD220" s="24" t="n">
        <v>0</v>
      </c>
      <c r="AE220" s="19" t="n">
        <v>0</v>
      </c>
      <c r="AF220" s="20" t="n">
        <v>0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17" t="n">
        <v>216</v>
      </c>
      <c r="J221" s="17" t="n">
        <v>395</v>
      </c>
      <c r="K221" s="17" t="n">
        <v>-39</v>
      </c>
      <c r="L221" s="17" t="n">
        <v>90</v>
      </c>
      <c r="M221" s="21" t="n">
        <v/>
      </c>
      <c r="N221" s="21" t="n">
        <v/>
      </c>
      <c r="O221" s="21" t="n">
        <v/>
      </c>
      <c r="P221" s="21" t="n">
        <v>0.4888116609897038</v>
      </c>
      <c r="Q221" s="22" t="n">
        <v>0</v>
      </c>
      <c r="R221" s="22" t="n">
        <v/>
      </c>
      <c r="S221" s="22" t="n">
        <v>0</v>
      </c>
      <c r="T221" s="22" t="n">
        <v>0</v>
      </c>
      <c r="U221" s="22" t="n">
        <v>0</v>
      </c>
      <c r="V221" s="17" t="n">
        <v>0</v>
      </c>
      <c r="W221" s="25" t="n">
        <v>0</v>
      </c>
      <c r="X221" s="25" t="n">
        <v>0</v>
      </c>
      <c r="Y221" s="25" t="n">
        <v>0</v>
      </c>
      <c r="Z221" s="22" t="n">
        <v>0</v>
      </c>
      <c r="AA221" s="22" t="n">
        <v>0</v>
      </c>
      <c r="AB221" s="25" t="n">
        <v>0</v>
      </c>
      <c r="AC221" s="25" t="n">
        <v>0</v>
      </c>
      <c r="AD221" s="25" t="n">
        <v>0</v>
      </c>
      <c r="AE221" s="21" t="n">
        <v>0</v>
      </c>
      <c r="AF221" s="22" t="n">
        <v>0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5" t="n">
        <v>216</v>
      </c>
      <c r="J222" s="15" t="n">
        <v>395</v>
      </c>
      <c r="K222" s="15" t="n">
        <v>-40</v>
      </c>
      <c r="L222" s="15" t="n">
        <v>90</v>
      </c>
      <c r="M222" s="19" t="n">
        <v/>
      </c>
      <c r="N222" s="19" t="n">
        <v/>
      </c>
      <c r="O222" s="19" t="n">
        <v/>
      </c>
      <c r="P222" s="19" t="n">
        <v>0.4872166404911785</v>
      </c>
      <c r="Q222" s="20" t="n">
        <v>0</v>
      </c>
      <c r="R222" s="20" t="n">
        <v/>
      </c>
      <c r="S222" s="20" t="n">
        <v>0</v>
      </c>
      <c r="T222" s="20" t="n">
        <v>0</v>
      </c>
      <c r="U222" s="20" t="n">
        <v>0</v>
      </c>
      <c r="V222" s="15" t="n">
        <v>0</v>
      </c>
      <c r="W222" s="24" t="n">
        <v>0</v>
      </c>
      <c r="X222" s="24" t="n">
        <v>0</v>
      </c>
      <c r="Y222" s="24" t="n">
        <v>0</v>
      </c>
      <c r="Z222" s="20" t="n">
        <v>0</v>
      </c>
      <c r="AA222" s="20" t="n">
        <v>0</v>
      </c>
      <c r="AB222" s="24" t="n">
        <v>0</v>
      </c>
      <c r="AC222" s="24" t="n">
        <v>0</v>
      </c>
      <c r="AD222" s="24" t="n">
        <v>0</v>
      </c>
      <c r="AE222" s="19" t="n">
        <v>0</v>
      </c>
      <c r="AF222" s="20" t="n">
        <v>0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17" t="n">
        <v>216</v>
      </c>
      <c r="J223" s="17" t="n">
        <v>395</v>
      </c>
      <c r="K223" s="17" t="n">
        <v>-41</v>
      </c>
      <c r="L223" s="17" t="n">
        <v>90</v>
      </c>
      <c r="M223" s="21" t="n">
        <v/>
      </c>
      <c r="N223" s="21" t="n">
        <v/>
      </c>
      <c r="O223" s="21" t="n">
        <v/>
      </c>
      <c r="P223" s="21" t="n">
        <v>0.4856268246360645</v>
      </c>
      <c r="Q223" s="22" t="n">
        <v>0</v>
      </c>
      <c r="R223" s="22" t="n">
        <v/>
      </c>
      <c r="S223" s="22" t="n">
        <v>0</v>
      </c>
      <c r="T223" s="22" t="n">
        <v>0</v>
      </c>
      <c r="U223" s="22" t="n">
        <v>0</v>
      </c>
      <c r="V223" s="17" t="n">
        <v>0</v>
      </c>
      <c r="W223" s="25" t="n">
        <v>0</v>
      </c>
      <c r="X223" s="25" t="n">
        <v>0</v>
      </c>
      <c r="Y223" s="25" t="n">
        <v>0</v>
      </c>
      <c r="Z223" s="22" t="n">
        <v>0</v>
      </c>
      <c r="AA223" s="22" t="n">
        <v>0</v>
      </c>
      <c r="AB223" s="25" t="n">
        <v>0</v>
      </c>
      <c r="AC223" s="25" t="n">
        <v>0</v>
      </c>
      <c r="AD223" s="25" t="n">
        <v>0</v>
      </c>
      <c r="AE223" s="21" t="n">
        <v>0</v>
      </c>
      <c r="AF223" s="22" t="n">
        <v>0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5" t="n">
        <v>216</v>
      </c>
      <c r="J224" s="15" t="n">
        <v>395</v>
      </c>
      <c r="K224" s="15" t="n">
        <v>-42</v>
      </c>
      <c r="L224" s="15" t="n">
        <v>90</v>
      </c>
      <c r="M224" s="19" t="n">
        <v/>
      </c>
      <c r="N224" s="19" t="n">
        <v/>
      </c>
      <c r="O224" s="19" t="n">
        <v/>
      </c>
      <c r="P224" s="19" t="n">
        <v>0.4840421964413116</v>
      </c>
      <c r="Q224" s="20" t="n">
        <v>0</v>
      </c>
      <c r="R224" s="20" t="n">
        <v/>
      </c>
      <c r="S224" s="20" t="n">
        <v>0</v>
      </c>
      <c r="T224" s="20" t="n">
        <v>0</v>
      </c>
      <c r="U224" s="20" t="n">
        <v>0</v>
      </c>
      <c r="V224" s="15" t="n">
        <v>0</v>
      </c>
      <c r="W224" s="24" t="n">
        <v>0</v>
      </c>
      <c r="X224" s="24" t="n">
        <v>0</v>
      </c>
      <c r="Y224" s="24" t="n">
        <v>0</v>
      </c>
      <c r="Z224" s="20" t="n">
        <v>0</v>
      </c>
      <c r="AA224" s="20" t="n">
        <v>0</v>
      </c>
      <c r="AB224" s="24" t="n">
        <v>0</v>
      </c>
      <c r="AC224" s="24" t="n">
        <v>0</v>
      </c>
      <c r="AD224" s="24" t="n">
        <v>0</v>
      </c>
      <c r="AE224" s="19" t="n">
        <v>0</v>
      </c>
      <c r="AF224" s="20" t="n">
        <v>0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17" t="n">
        <v>216</v>
      </c>
      <c r="J225" s="17" t="n">
        <v>395</v>
      </c>
      <c r="K225" s="17" t="n">
        <v>-43</v>
      </c>
      <c r="L225" s="17" t="n">
        <v>90</v>
      </c>
      <c r="M225" s="21" t="n">
        <v/>
      </c>
      <c r="N225" s="21" t="n">
        <v/>
      </c>
      <c r="O225" s="21" t="n">
        <v/>
      </c>
      <c r="P225" s="21" t="n">
        <v>0.4824627389792865</v>
      </c>
      <c r="Q225" s="22" t="n">
        <v>0</v>
      </c>
      <c r="R225" s="22" t="n">
        <v/>
      </c>
      <c r="S225" s="22" t="n">
        <v>0</v>
      </c>
      <c r="T225" s="22" t="n">
        <v>0</v>
      </c>
      <c r="U225" s="22" t="n">
        <v>0</v>
      </c>
      <c r="V225" s="17" t="n">
        <v>0</v>
      </c>
      <c r="W225" s="25" t="n">
        <v>0</v>
      </c>
      <c r="X225" s="25" t="n">
        <v>0</v>
      </c>
      <c r="Y225" s="25" t="n">
        <v>0</v>
      </c>
      <c r="Z225" s="22" t="n">
        <v>0</v>
      </c>
      <c r="AA225" s="22" t="n">
        <v>0</v>
      </c>
      <c r="AB225" s="25" t="n">
        <v>0</v>
      </c>
      <c r="AC225" s="25" t="n">
        <v>0</v>
      </c>
      <c r="AD225" s="25" t="n">
        <v>0</v>
      </c>
      <c r="AE225" s="21" t="n">
        <v>0</v>
      </c>
      <c r="AF225" s="22" t="n">
        <v>0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5" t="n">
        <v>216</v>
      </c>
      <c r="J226" s="15" t="n">
        <v>395</v>
      </c>
      <c r="K226" s="15" t="n">
        <v>-44</v>
      </c>
      <c r="L226" s="15" t="n">
        <v>90</v>
      </c>
      <c r="M226" s="19" t="n">
        <v/>
      </c>
      <c r="N226" s="19" t="n">
        <v/>
      </c>
      <c r="O226" s="19" t="n">
        <v/>
      </c>
      <c r="P226" s="19" t="n">
        <v>0.4808884353775915</v>
      </c>
      <c r="Q226" s="20" t="n">
        <v>0</v>
      </c>
      <c r="R226" s="20" t="n">
        <v/>
      </c>
      <c r="S226" s="20" t="n">
        <v>0</v>
      </c>
      <c r="T226" s="20" t="n">
        <v>0</v>
      </c>
      <c r="U226" s="20" t="n">
        <v>0</v>
      </c>
      <c r="V226" s="15" t="n">
        <v>0</v>
      </c>
      <c r="W226" s="24" t="n">
        <v>0</v>
      </c>
      <c r="X226" s="24" t="n">
        <v>0</v>
      </c>
      <c r="Y226" s="24" t="n">
        <v>0</v>
      </c>
      <c r="Z226" s="20" t="n">
        <v>0</v>
      </c>
      <c r="AA226" s="20" t="n">
        <v>0</v>
      </c>
      <c r="AB226" s="24" t="n">
        <v>0</v>
      </c>
      <c r="AC226" s="24" t="n">
        <v>0</v>
      </c>
      <c r="AD226" s="24" t="n">
        <v>0</v>
      </c>
      <c r="AE226" s="19" t="n">
        <v>0</v>
      </c>
      <c r="AF226" s="20" t="n">
        <v>0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17" t="n">
        <v>216</v>
      </c>
      <c r="J227" s="17" t="n">
        <v>395</v>
      </c>
      <c r="K227" s="17" t="n">
        <v>-45</v>
      </c>
      <c r="L227" s="17" t="n">
        <v>90</v>
      </c>
      <c r="M227" s="21" t="n">
        <v/>
      </c>
      <c r="N227" s="21" t="n">
        <v/>
      </c>
      <c r="O227" s="21" t="n">
        <v/>
      </c>
      <c r="P227" s="21" t="n">
        <v>0.4793192688188846</v>
      </c>
      <c r="Q227" s="22" t="n">
        <v>0</v>
      </c>
      <c r="R227" s="22" t="n">
        <v/>
      </c>
      <c r="S227" s="22" t="n">
        <v>0</v>
      </c>
      <c r="T227" s="22" t="n">
        <v>0</v>
      </c>
      <c r="U227" s="22" t="n">
        <v>0</v>
      </c>
      <c r="V227" s="17" t="n">
        <v>0</v>
      </c>
      <c r="W227" s="25" t="n">
        <v>0</v>
      </c>
      <c r="X227" s="25" t="n">
        <v>0</v>
      </c>
      <c r="Y227" s="25" t="n">
        <v>0</v>
      </c>
      <c r="Z227" s="22" t="n">
        <v>0</v>
      </c>
      <c r="AA227" s="22" t="n">
        <v>0</v>
      </c>
      <c r="AB227" s="25" t="n">
        <v>0</v>
      </c>
      <c r="AC227" s="25" t="n">
        <v>0</v>
      </c>
      <c r="AD227" s="25" t="n">
        <v>0</v>
      </c>
      <c r="AE227" s="21" t="n">
        <v>0</v>
      </c>
      <c r="AF227" s="22" t="n">
        <v>0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5" t="n">
        <v>216</v>
      </c>
      <c r="J228" s="15" t="n">
        <v>395</v>
      </c>
      <c r="K228" s="15" t="n">
        <v>-46</v>
      </c>
      <c r="L228" s="15" t="n">
        <v>90</v>
      </c>
      <c r="M228" s="19" t="n">
        <v/>
      </c>
      <c r="N228" s="19" t="n">
        <v/>
      </c>
      <c r="O228" s="19" t="n">
        <v/>
      </c>
      <c r="P228" s="19" t="n">
        <v>0.4777552225406998</v>
      </c>
      <c r="Q228" s="20" t="n">
        <v>0</v>
      </c>
      <c r="R228" s="20" t="n">
        <v/>
      </c>
      <c r="S228" s="20" t="n">
        <v>0</v>
      </c>
      <c r="T228" s="20" t="n">
        <v>0</v>
      </c>
      <c r="U228" s="20" t="n">
        <v>0</v>
      </c>
      <c r="V228" s="15" t="n">
        <v>0</v>
      </c>
      <c r="W228" s="24" t="n">
        <v>0</v>
      </c>
      <c r="X228" s="24" t="n">
        <v>0</v>
      </c>
      <c r="Y228" s="24" t="n">
        <v>0</v>
      </c>
      <c r="Z228" s="20" t="n">
        <v>0</v>
      </c>
      <c r="AA228" s="20" t="n">
        <v>0</v>
      </c>
      <c r="AB228" s="24" t="n">
        <v>0</v>
      </c>
      <c r="AC228" s="24" t="n">
        <v>0</v>
      </c>
      <c r="AD228" s="24" t="n">
        <v>0</v>
      </c>
      <c r="AE228" s="19" t="n">
        <v>0</v>
      </c>
      <c r="AF228" s="20" t="n">
        <v>0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17" t="n">
        <v>216</v>
      </c>
      <c r="J229" s="17" t="n">
        <v>395</v>
      </c>
      <c r="K229" s="17" t="n">
        <v>-47</v>
      </c>
      <c r="L229" s="17" t="n">
        <v>90</v>
      </c>
      <c r="M229" s="21" t="n">
        <v/>
      </c>
      <c r="N229" s="21" t="n">
        <v/>
      </c>
      <c r="O229" s="21" t="n">
        <v/>
      </c>
      <c r="P229" s="21" t="n">
        <v>0.476196279835268</v>
      </c>
      <c r="Q229" s="22" t="n">
        <v>0</v>
      </c>
      <c r="R229" s="22" t="n">
        <v/>
      </c>
      <c r="S229" s="22" t="n">
        <v>0</v>
      </c>
      <c r="T229" s="22" t="n">
        <v>0</v>
      </c>
      <c r="U229" s="22" t="n">
        <v>0</v>
      </c>
      <c r="V229" s="17" t="n">
        <v>0</v>
      </c>
      <c r="W229" s="25" t="n">
        <v>0</v>
      </c>
      <c r="X229" s="25" t="n">
        <v>0</v>
      </c>
      <c r="Y229" s="25" t="n">
        <v>0</v>
      </c>
      <c r="Z229" s="22" t="n">
        <v>0</v>
      </c>
      <c r="AA229" s="22" t="n">
        <v>0</v>
      </c>
      <c r="AB229" s="25" t="n">
        <v>0</v>
      </c>
      <c r="AC229" s="25" t="n">
        <v>0</v>
      </c>
      <c r="AD229" s="25" t="n">
        <v>0</v>
      </c>
      <c r="AE229" s="21" t="n">
        <v>0</v>
      </c>
      <c r="AF229" s="22" t="n">
        <v>0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5" t="n">
        <v>216</v>
      </c>
      <c r="J230" s="15" t="n">
        <v>395</v>
      </c>
      <c r="K230" s="15" t="n">
        <v>-48</v>
      </c>
      <c r="L230" s="15" t="n">
        <v>90</v>
      </c>
      <c r="M230" s="19" t="n">
        <v/>
      </c>
      <c r="N230" s="19" t="n">
        <v/>
      </c>
      <c r="O230" s="19" t="n">
        <v/>
      </c>
      <c r="P230" s="19" t="n">
        <v>0.4746424240493383</v>
      </c>
      <c r="Q230" s="20" t="n">
        <v>0</v>
      </c>
      <c r="R230" s="20" t="n">
        <v/>
      </c>
      <c r="S230" s="20" t="n">
        <v>0</v>
      </c>
      <c r="T230" s="20" t="n">
        <v>0</v>
      </c>
      <c r="U230" s="20" t="n">
        <v>0</v>
      </c>
      <c r="V230" s="15" t="n">
        <v>0</v>
      </c>
      <c r="W230" s="24" t="n">
        <v>0</v>
      </c>
      <c r="X230" s="24" t="n">
        <v>0</v>
      </c>
      <c r="Y230" s="24" t="n">
        <v>0</v>
      </c>
      <c r="Z230" s="20" t="n">
        <v>0</v>
      </c>
      <c r="AA230" s="20" t="n">
        <v>0</v>
      </c>
      <c r="AB230" s="24" t="n">
        <v>0</v>
      </c>
      <c r="AC230" s="24" t="n">
        <v>0</v>
      </c>
      <c r="AD230" s="24" t="n">
        <v>0</v>
      </c>
      <c r="AE230" s="19" t="n">
        <v>0</v>
      </c>
      <c r="AF230" s="20" t="n">
        <v>0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17" t="n">
        <v>216</v>
      </c>
      <c r="J231" s="17" t="n">
        <v>395</v>
      </c>
      <c r="K231" s="17" t="n">
        <v>-49</v>
      </c>
      <c r="L231" s="17" t="n">
        <v>90</v>
      </c>
      <c r="M231" s="21" t="n">
        <v/>
      </c>
      <c r="N231" s="21" t="n">
        <v/>
      </c>
      <c r="O231" s="21" t="n">
        <v/>
      </c>
      <c r="P231" s="21" t="n">
        <v>0.4730936385840007</v>
      </c>
      <c r="Q231" s="22" t="n">
        <v>0</v>
      </c>
      <c r="R231" s="22" t="n">
        <v/>
      </c>
      <c r="S231" s="22" t="n">
        <v>0</v>
      </c>
      <c r="T231" s="22" t="n">
        <v>0</v>
      </c>
      <c r="U231" s="22" t="n">
        <v>0</v>
      </c>
      <c r="V231" s="17" t="n">
        <v>0</v>
      </c>
      <c r="W231" s="25" t="n">
        <v>0</v>
      </c>
      <c r="X231" s="25" t="n">
        <v>0</v>
      </c>
      <c r="Y231" s="25" t="n">
        <v>0</v>
      </c>
      <c r="Z231" s="22" t="n">
        <v>0</v>
      </c>
      <c r="AA231" s="22" t="n">
        <v>0</v>
      </c>
      <c r="AB231" s="25" t="n">
        <v>0</v>
      </c>
      <c r="AC231" s="25" t="n">
        <v>0</v>
      </c>
      <c r="AD231" s="25" t="n">
        <v>0</v>
      </c>
      <c r="AE231" s="21" t="n">
        <v>0</v>
      </c>
      <c r="AF231" s="22" t="n">
        <v>0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5" t="n">
        <v>216</v>
      </c>
      <c r="J232" s="15" t="n">
        <v>395</v>
      </c>
      <c r="K232" s="15" t="n">
        <v>-50</v>
      </c>
      <c r="L232" s="15" t="n">
        <v>90</v>
      </c>
      <c r="M232" s="19" t="n">
        <v/>
      </c>
      <c r="N232" s="19" t="n">
        <v/>
      </c>
      <c r="O232" s="19" t="n">
        <v/>
      </c>
      <c r="P232" s="19" t="n">
        <v>0.4715499068945079</v>
      </c>
      <c r="Q232" s="20" t="n">
        <v>0</v>
      </c>
      <c r="R232" s="20" t="n">
        <v/>
      </c>
      <c r="S232" s="20" t="n">
        <v>0</v>
      </c>
      <c r="T232" s="20" t="n">
        <v>0</v>
      </c>
      <c r="U232" s="20" t="n">
        <v>0</v>
      </c>
      <c r="V232" s="15" t="n">
        <v>0</v>
      </c>
      <c r="W232" s="24" t="n">
        <v>0</v>
      </c>
      <c r="X232" s="24" t="n">
        <v>0</v>
      </c>
      <c r="Y232" s="24" t="n">
        <v>0</v>
      </c>
      <c r="Z232" s="20" t="n">
        <v>0</v>
      </c>
      <c r="AA232" s="20" t="n">
        <v>0</v>
      </c>
      <c r="AB232" s="24" t="n">
        <v>0</v>
      </c>
      <c r="AC232" s="24" t="n">
        <v>0</v>
      </c>
      <c r="AD232" s="24" t="n">
        <v>0</v>
      </c>
      <c r="AE232" s="19" t="n">
        <v>0</v>
      </c>
      <c r="AF232" s="20" t="n">
        <v>0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17" t="n">
        <v>216</v>
      </c>
      <c r="J233" s="17" t="n">
        <v>395</v>
      </c>
      <c r="K233" s="17" t="n">
        <v>-51</v>
      </c>
      <c r="L233" s="17" t="n">
        <v>90</v>
      </c>
      <c r="M233" s="21" t="n">
        <v/>
      </c>
      <c r="N233" s="21" t="n">
        <v/>
      </c>
      <c r="O233" s="21" t="n">
        <v/>
      </c>
      <c r="P233" s="21" t="n">
        <v>0.4700112124900995</v>
      </c>
      <c r="Q233" s="22" t="n">
        <v>0</v>
      </c>
      <c r="R233" s="22" t="n">
        <v/>
      </c>
      <c r="S233" s="22" t="n">
        <v>0</v>
      </c>
      <c r="T233" s="22" t="n">
        <v>0</v>
      </c>
      <c r="U233" s="22" t="n">
        <v>0</v>
      </c>
      <c r="V233" s="17" t="n">
        <v>0</v>
      </c>
      <c r="W233" s="25" t="n">
        <v>0</v>
      </c>
      <c r="X233" s="25" t="n">
        <v>0</v>
      </c>
      <c r="Y233" s="25" t="n">
        <v>0</v>
      </c>
      <c r="Z233" s="22" t="n">
        <v>0</v>
      </c>
      <c r="AA233" s="22" t="n">
        <v>0</v>
      </c>
      <c r="AB233" s="25" t="n">
        <v>0</v>
      </c>
      <c r="AC233" s="25" t="n">
        <v>0</v>
      </c>
      <c r="AD233" s="25" t="n">
        <v>0</v>
      </c>
      <c r="AE233" s="21" t="n">
        <v>0</v>
      </c>
      <c r="AF233" s="22" t="n">
        <v>0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5" t="n">
        <v>216</v>
      </c>
      <c r="J234" s="15" t="n">
        <v>395</v>
      </c>
      <c r="K234" s="15" t="n">
        <v>-52</v>
      </c>
      <c r="L234" s="15" t="n">
        <v>90</v>
      </c>
      <c r="M234" s="19" t="n">
        <v/>
      </c>
      <c r="N234" s="19" t="n">
        <v/>
      </c>
      <c r="O234" s="19" t="n">
        <v/>
      </c>
      <c r="P234" s="19" t="n">
        <v>0.4684775389338252</v>
      </c>
      <c r="Q234" s="20" t="n">
        <v>0</v>
      </c>
      <c r="R234" s="20" t="n">
        <v/>
      </c>
      <c r="S234" s="20" t="n">
        <v>0</v>
      </c>
      <c r="T234" s="20" t="n">
        <v>0</v>
      </c>
      <c r="U234" s="20" t="n">
        <v>0</v>
      </c>
      <c r="V234" s="15" t="n">
        <v>0</v>
      </c>
      <c r="W234" s="24" t="n">
        <v>0</v>
      </c>
      <c r="X234" s="24" t="n">
        <v>0</v>
      </c>
      <c r="Y234" s="24" t="n">
        <v>0</v>
      </c>
      <c r="Z234" s="20" t="n">
        <v>0</v>
      </c>
      <c r="AA234" s="20" t="n">
        <v>0</v>
      </c>
      <c r="AB234" s="24" t="n">
        <v>0</v>
      </c>
      <c r="AC234" s="24" t="n">
        <v>0</v>
      </c>
      <c r="AD234" s="24" t="n">
        <v>0</v>
      </c>
      <c r="AE234" s="19" t="n">
        <v>0</v>
      </c>
      <c r="AF234" s="20" t="n">
        <v>0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17" t="n">
        <v>216</v>
      </c>
      <c r="J235" s="17" t="n">
        <v>395</v>
      </c>
      <c r="K235" s="17" t="n">
        <v>-53</v>
      </c>
      <c r="L235" s="17" t="n">
        <v>90</v>
      </c>
      <c r="M235" s="21" t="n">
        <v/>
      </c>
      <c r="N235" s="21" t="n">
        <v/>
      </c>
      <c r="O235" s="21" t="n">
        <v/>
      </c>
      <c r="P235" s="21" t="n">
        <v>0.4669488698423694</v>
      </c>
      <c r="Q235" s="22" t="n">
        <v>0</v>
      </c>
      <c r="R235" s="22" t="n">
        <v/>
      </c>
      <c r="S235" s="22" t="n">
        <v>0</v>
      </c>
      <c r="T235" s="22" t="n">
        <v>0</v>
      </c>
      <c r="U235" s="22" t="n">
        <v>0</v>
      </c>
      <c r="V235" s="17" t="n">
        <v>0</v>
      </c>
      <c r="W235" s="25" t="n">
        <v>0</v>
      </c>
      <c r="X235" s="25" t="n">
        <v>0</v>
      </c>
      <c r="Y235" s="25" t="n">
        <v>0</v>
      </c>
      <c r="Z235" s="22" t="n">
        <v>0</v>
      </c>
      <c r="AA235" s="22" t="n">
        <v>0</v>
      </c>
      <c r="AB235" s="25" t="n">
        <v>0</v>
      </c>
      <c r="AC235" s="25" t="n">
        <v>0</v>
      </c>
      <c r="AD235" s="25" t="n">
        <v>0</v>
      </c>
      <c r="AE235" s="21" t="n">
        <v>0</v>
      </c>
      <c r="AF235" s="22" t="n">
        <v>0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5" t="n">
        <v>216</v>
      </c>
      <c r="J236" s="15" t="n">
        <v>395</v>
      </c>
      <c r="K236" s="15" t="n">
        <v>-54</v>
      </c>
      <c r="L236" s="15" t="n">
        <v>90</v>
      </c>
      <c r="M236" s="19" t="n">
        <v/>
      </c>
      <c r="N236" s="19" t="n">
        <v/>
      </c>
      <c r="O236" s="19" t="n">
        <v/>
      </c>
      <c r="P236" s="19" t="n">
        <v>0.4654251888858763</v>
      </c>
      <c r="Q236" s="20" t="n">
        <v>0</v>
      </c>
      <c r="R236" s="20" t="n">
        <v/>
      </c>
      <c r="S236" s="20" t="n">
        <v>0</v>
      </c>
      <c r="T236" s="20" t="n">
        <v>0</v>
      </c>
      <c r="U236" s="20" t="n">
        <v>0</v>
      </c>
      <c r="V236" s="15" t="n">
        <v>0</v>
      </c>
      <c r="W236" s="24" t="n">
        <v>0</v>
      </c>
      <c r="X236" s="24" t="n">
        <v>0</v>
      </c>
      <c r="Y236" s="24" t="n">
        <v>0</v>
      </c>
      <c r="Z236" s="20" t="n">
        <v>0</v>
      </c>
      <c r="AA236" s="20" t="n">
        <v>0</v>
      </c>
      <c r="AB236" s="24" t="n">
        <v>0</v>
      </c>
      <c r="AC236" s="24" t="n">
        <v>0</v>
      </c>
      <c r="AD236" s="24" t="n">
        <v>0</v>
      </c>
      <c r="AE236" s="19" t="n">
        <v>0</v>
      </c>
      <c r="AF236" s="20" t="n">
        <v>0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17" t="n">
        <v>216</v>
      </c>
      <c r="J237" s="17" t="n">
        <v>395</v>
      </c>
      <c r="K237" s="17" t="n">
        <v>-55</v>
      </c>
      <c r="L237" s="17" t="n">
        <v>90</v>
      </c>
      <c r="M237" s="21" t="n">
        <v/>
      </c>
      <c r="N237" s="21" t="n">
        <v/>
      </c>
      <c r="O237" s="21" t="n">
        <v/>
      </c>
      <c r="P237" s="21" t="n">
        <v>0.4639064797877752</v>
      </c>
      <c r="Q237" s="22" t="n">
        <v>0</v>
      </c>
      <c r="R237" s="22" t="n">
        <v/>
      </c>
      <c r="S237" s="22" t="n">
        <v>0</v>
      </c>
      <c r="T237" s="22" t="n">
        <v>0</v>
      </c>
      <c r="U237" s="22" t="n">
        <v>0</v>
      </c>
      <c r="V237" s="17" t="n">
        <v>0</v>
      </c>
      <c r="W237" s="25" t="n">
        <v>0</v>
      </c>
      <c r="X237" s="25" t="n">
        <v>0</v>
      </c>
      <c r="Y237" s="25" t="n">
        <v>0</v>
      </c>
      <c r="Z237" s="22" t="n">
        <v>0</v>
      </c>
      <c r="AA237" s="22" t="n">
        <v>0</v>
      </c>
      <c r="AB237" s="25" t="n">
        <v>0</v>
      </c>
      <c r="AC237" s="25" t="n">
        <v>0</v>
      </c>
      <c r="AD237" s="25" t="n">
        <v>0</v>
      </c>
      <c r="AE237" s="21" t="n">
        <v>0</v>
      </c>
      <c r="AF237" s="22" t="n">
        <v>0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5" t="n">
        <v>216</v>
      </c>
      <c r="J238" s="15" t="n">
        <v>395</v>
      </c>
      <c r="K238" s="15" t="n">
        <v>-56</v>
      </c>
      <c r="L238" s="15" t="n">
        <v>90</v>
      </c>
      <c r="M238" s="19" t="n">
        <v/>
      </c>
      <c r="N238" s="19" t="n">
        <v/>
      </c>
      <c r="O238" s="19" t="n">
        <v/>
      </c>
      <c r="P238" s="19" t="n">
        <v>0.4623927263246069</v>
      </c>
      <c r="Q238" s="20" t="n">
        <v>0</v>
      </c>
      <c r="R238" s="20" t="n">
        <v/>
      </c>
      <c r="S238" s="20" t="n">
        <v>0</v>
      </c>
      <c r="T238" s="20" t="n">
        <v>0</v>
      </c>
      <c r="U238" s="20" t="n">
        <v>0</v>
      </c>
      <c r="V238" s="15" t="n">
        <v>0</v>
      </c>
      <c r="W238" s="24" t="n">
        <v>0</v>
      </c>
      <c r="X238" s="24" t="n">
        <v>0</v>
      </c>
      <c r="Y238" s="24" t="n">
        <v>0</v>
      </c>
      <c r="Z238" s="20" t="n">
        <v>0</v>
      </c>
      <c r="AA238" s="20" t="n">
        <v>0</v>
      </c>
      <c r="AB238" s="24" t="n">
        <v>0</v>
      </c>
      <c r="AC238" s="24" t="n">
        <v>0</v>
      </c>
      <c r="AD238" s="24" t="n">
        <v>0</v>
      </c>
      <c r="AE238" s="19" t="n">
        <v>0</v>
      </c>
      <c r="AF238" s="20" t="n">
        <v>0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17" t="n">
        <v>216</v>
      </c>
      <c r="J239" s="17" t="n">
        <v>395</v>
      </c>
      <c r="K239" s="17" t="n">
        <v>-57</v>
      </c>
      <c r="L239" s="17" t="n">
        <v>90</v>
      </c>
      <c r="M239" s="21" t="n">
        <v/>
      </c>
      <c r="N239" s="21" t="n">
        <v/>
      </c>
      <c r="O239" s="21" t="n">
        <v/>
      </c>
      <c r="P239" s="21" t="n">
        <v>0.4608839123258503</v>
      </c>
      <c r="Q239" s="22" t="n">
        <v>0</v>
      </c>
      <c r="R239" s="22" t="n">
        <v/>
      </c>
      <c r="S239" s="22" t="n">
        <v>0</v>
      </c>
      <c r="T239" s="22" t="n">
        <v>0</v>
      </c>
      <c r="U239" s="22" t="n">
        <v>0</v>
      </c>
      <c r="V239" s="17" t="n">
        <v>0</v>
      </c>
      <c r="W239" s="25" t="n">
        <v>0</v>
      </c>
      <c r="X239" s="25" t="n">
        <v>0</v>
      </c>
      <c r="Y239" s="25" t="n">
        <v>0</v>
      </c>
      <c r="Z239" s="22" t="n">
        <v>0</v>
      </c>
      <c r="AA239" s="22" t="n">
        <v>0</v>
      </c>
      <c r="AB239" s="25" t="n">
        <v>0</v>
      </c>
      <c r="AC239" s="25" t="n">
        <v>0</v>
      </c>
      <c r="AD239" s="25" t="n">
        <v>0</v>
      </c>
      <c r="AE239" s="21" t="n">
        <v>0</v>
      </c>
      <c r="AF239" s="22" t="n">
        <v>0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5" t="n">
        <v>216</v>
      </c>
      <c r="J240" s="15" t="n">
        <v>395</v>
      </c>
      <c r="K240" s="15" t="n">
        <v>-58</v>
      </c>
      <c r="L240" s="15" t="n">
        <v>90</v>
      </c>
      <c r="M240" s="19" t="n">
        <v/>
      </c>
      <c r="N240" s="19" t="n">
        <v/>
      </c>
      <c r="O240" s="19" t="n">
        <v/>
      </c>
      <c r="P240" s="19" t="n">
        <v>0.4593800216737495</v>
      </c>
      <c r="Q240" s="20" t="n">
        <v>0</v>
      </c>
      <c r="R240" s="20" t="n">
        <v/>
      </c>
      <c r="S240" s="20" t="n">
        <v>0</v>
      </c>
      <c r="T240" s="20" t="n">
        <v>0</v>
      </c>
      <c r="U240" s="20" t="n">
        <v>0</v>
      </c>
      <c r="V240" s="15" t="n">
        <v>0</v>
      </c>
      <c r="W240" s="24" t="n">
        <v>0</v>
      </c>
      <c r="X240" s="24" t="n">
        <v>0</v>
      </c>
      <c r="Y240" s="24" t="n">
        <v>0</v>
      </c>
      <c r="Z240" s="20" t="n">
        <v>0</v>
      </c>
      <c r="AA240" s="20" t="n">
        <v>0</v>
      </c>
      <c r="AB240" s="24" t="n">
        <v>0</v>
      </c>
      <c r="AC240" s="24" t="n">
        <v>0</v>
      </c>
      <c r="AD240" s="24" t="n">
        <v>0</v>
      </c>
      <c r="AE240" s="19" t="n">
        <v>0</v>
      </c>
      <c r="AF240" s="20" t="n">
        <v>0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17" t="n">
        <v>216</v>
      </c>
      <c r="J241" s="17" t="n">
        <v>395</v>
      </c>
      <c r="K241" s="17" t="n">
        <v>-59</v>
      </c>
      <c r="L241" s="17" t="n">
        <v>90</v>
      </c>
      <c r="M241" s="21" t="n">
        <v/>
      </c>
      <c r="N241" s="21" t="n">
        <v/>
      </c>
      <c r="O241" s="21" t="n">
        <v/>
      </c>
      <c r="P241" s="21" t="n">
        <v>0.457881038303142</v>
      </c>
      <c r="Q241" s="22" t="n">
        <v>0</v>
      </c>
      <c r="R241" s="22" t="n">
        <v/>
      </c>
      <c r="S241" s="22" t="n">
        <v>0</v>
      </c>
      <c r="T241" s="22" t="n">
        <v>0</v>
      </c>
      <c r="U241" s="22" t="n">
        <v>0</v>
      </c>
      <c r="V241" s="17" t="n">
        <v>0</v>
      </c>
      <c r="W241" s="25" t="n">
        <v>0</v>
      </c>
      <c r="X241" s="25" t="n">
        <v>0</v>
      </c>
      <c r="Y241" s="25" t="n">
        <v>0</v>
      </c>
      <c r="Z241" s="22" t="n">
        <v>0</v>
      </c>
      <c r="AA241" s="22" t="n">
        <v>0</v>
      </c>
      <c r="AB241" s="25" t="n">
        <v>0</v>
      </c>
      <c r="AC241" s="25" t="n">
        <v>0</v>
      </c>
      <c r="AD241" s="25" t="n">
        <v>0</v>
      </c>
      <c r="AE241" s="21" t="n">
        <v>0</v>
      </c>
      <c r="AF241" s="22" t="n">
        <v>0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5" t="n">
        <v>216</v>
      </c>
      <c r="J242" s="15" t="n">
        <v>395</v>
      </c>
      <c r="K242" s="15" t="n">
        <v>-60</v>
      </c>
      <c r="L242" s="15" t="n">
        <v>90</v>
      </c>
      <c r="M242" s="19" t="n">
        <v/>
      </c>
      <c r="N242" s="19" t="n">
        <v/>
      </c>
      <c r="O242" s="19" t="n">
        <v/>
      </c>
      <c r="P242" s="19" t="n">
        <v>0.4563869462012866</v>
      </c>
      <c r="Q242" s="20" t="n">
        <v>0</v>
      </c>
      <c r="R242" s="20" t="n">
        <v/>
      </c>
      <c r="S242" s="20" t="n">
        <v>0</v>
      </c>
      <c r="T242" s="20" t="n">
        <v>0</v>
      </c>
      <c r="U242" s="20" t="n">
        <v>0</v>
      </c>
      <c r="V242" s="15" t="n">
        <v>0</v>
      </c>
      <c r="W242" s="24" t="n">
        <v>0</v>
      </c>
      <c r="X242" s="24" t="n">
        <v>0</v>
      </c>
      <c r="Y242" s="24" t="n">
        <v>0</v>
      </c>
      <c r="Z242" s="20" t="n">
        <v>0</v>
      </c>
      <c r="AA242" s="20" t="n">
        <v>0</v>
      </c>
      <c r="AB242" s="24" t="n">
        <v>0</v>
      </c>
      <c r="AC242" s="24" t="n">
        <v>0</v>
      </c>
      <c r="AD242" s="24" t="n">
        <v>0</v>
      </c>
      <c r="AE242" s="19" t="n">
        <v>0</v>
      </c>
      <c r="AF242" s="20" t="n">
        <v>0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17" t="n">
        <v>216</v>
      </c>
      <c r="J243" s="17" t="n">
        <v>395</v>
      </c>
      <c r="K243" s="17" t="n">
        <v>-61</v>
      </c>
      <c r="L243" s="17" t="n">
        <v>90</v>
      </c>
      <c r="M243" s="21" t="n">
        <v/>
      </c>
      <c r="N243" s="21" t="n">
        <v/>
      </c>
      <c r="O243" s="21" t="n">
        <v/>
      </c>
      <c r="P243" s="21" t="n">
        <v>0.4548977294076926</v>
      </c>
      <c r="Q243" s="22" t="n">
        <v>0</v>
      </c>
      <c r="R243" s="22" t="n">
        <v/>
      </c>
      <c r="S243" s="22" t="n">
        <v>0</v>
      </c>
      <c r="T243" s="22" t="n">
        <v>0</v>
      </c>
      <c r="U243" s="22" t="n">
        <v>0</v>
      </c>
      <c r="V243" s="17" t="n">
        <v>0</v>
      </c>
      <c r="W243" s="25" t="n">
        <v>0</v>
      </c>
      <c r="X243" s="25" t="n">
        <v>0</v>
      </c>
      <c r="Y243" s="25" t="n">
        <v>0</v>
      </c>
      <c r="Z243" s="22" t="n">
        <v>0</v>
      </c>
      <c r="AA243" s="22" t="n">
        <v>0</v>
      </c>
      <c r="AB243" s="25" t="n">
        <v>0</v>
      </c>
      <c r="AC243" s="25" t="n">
        <v>0</v>
      </c>
      <c r="AD243" s="25" t="n">
        <v>0</v>
      </c>
      <c r="AE243" s="21" t="n">
        <v>0</v>
      </c>
      <c r="AF243" s="22" t="n">
        <v>0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5" t="n">
        <v>216</v>
      </c>
      <c r="J244" s="15" t="n">
        <v>395</v>
      </c>
      <c r="K244" s="15" t="n">
        <v>-62</v>
      </c>
      <c r="L244" s="15" t="n">
        <v>90</v>
      </c>
      <c r="M244" s="19" t="n">
        <v/>
      </c>
      <c r="N244" s="19" t="n">
        <v/>
      </c>
      <c r="O244" s="19" t="n">
        <v/>
      </c>
      <c r="P244" s="19" t="n">
        <v>0.4534133720139496</v>
      </c>
      <c r="Q244" s="20" t="n">
        <v>0</v>
      </c>
      <c r="R244" s="20" t="n">
        <v/>
      </c>
      <c r="S244" s="20" t="n">
        <v>0</v>
      </c>
      <c r="T244" s="20" t="n">
        <v>0</v>
      </c>
      <c r="U244" s="20" t="n">
        <v>0</v>
      </c>
      <c r="V244" s="15" t="n">
        <v>0</v>
      </c>
      <c r="W244" s="24" t="n">
        <v>0</v>
      </c>
      <c r="X244" s="24" t="n">
        <v>0</v>
      </c>
      <c r="Y244" s="24" t="n">
        <v>0</v>
      </c>
      <c r="Z244" s="20" t="n">
        <v>0</v>
      </c>
      <c r="AA244" s="20" t="n">
        <v>0</v>
      </c>
      <c r="AB244" s="24" t="n">
        <v>0</v>
      </c>
      <c r="AC244" s="24" t="n">
        <v>0</v>
      </c>
      <c r="AD244" s="24" t="n">
        <v>0</v>
      </c>
      <c r="AE244" s="19" t="n">
        <v>0</v>
      </c>
      <c r="AF244" s="20" t="n">
        <v>0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17" t="n">
        <v>216</v>
      </c>
      <c r="J245" s="17" t="n">
        <v>395</v>
      </c>
      <c r="K245" s="17" t="n">
        <v>-63</v>
      </c>
      <c r="L245" s="17" t="n">
        <v>90</v>
      </c>
      <c r="M245" s="21" t="n">
        <v/>
      </c>
      <c r="N245" s="21" t="n">
        <v/>
      </c>
      <c r="O245" s="21" t="n">
        <v/>
      </c>
      <c r="P245" s="21" t="n">
        <v>0.4519338581635569</v>
      </c>
      <c r="Q245" s="22" t="n">
        <v>0</v>
      </c>
      <c r="R245" s="22" t="n">
        <v/>
      </c>
      <c r="S245" s="22" t="n">
        <v>0</v>
      </c>
      <c r="T245" s="22" t="n">
        <v>0</v>
      </c>
      <c r="U245" s="22" t="n">
        <v>0</v>
      </c>
      <c r="V245" s="17" t="n">
        <v>0</v>
      </c>
      <c r="W245" s="25" t="n">
        <v>0</v>
      </c>
      <c r="X245" s="25" t="n">
        <v>0</v>
      </c>
      <c r="Y245" s="25" t="n">
        <v>0</v>
      </c>
      <c r="Z245" s="22" t="n">
        <v>0</v>
      </c>
      <c r="AA245" s="22" t="n">
        <v>0</v>
      </c>
      <c r="AB245" s="25" t="n">
        <v>0</v>
      </c>
      <c r="AC245" s="25" t="n">
        <v>0</v>
      </c>
      <c r="AD245" s="25" t="n">
        <v>0</v>
      </c>
      <c r="AE245" s="21" t="n">
        <v>0</v>
      </c>
      <c r="AF245" s="22" t="n">
        <v>0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5" t="n">
        <v>216</v>
      </c>
      <c r="J246" s="15" t="n">
        <v>395</v>
      </c>
      <c r="K246" s="15" t="n">
        <v>-64</v>
      </c>
      <c r="L246" s="15" t="n">
        <v>90</v>
      </c>
      <c r="M246" s="19" t="n">
        <v/>
      </c>
      <c r="N246" s="19" t="n">
        <v/>
      </c>
      <c r="O246" s="19" t="n">
        <v/>
      </c>
      <c r="P246" s="19" t="n">
        <v>0.4504591720517547</v>
      </c>
      <c r="Q246" s="20" t="n">
        <v>0</v>
      </c>
      <c r="R246" s="20" t="n">
        <v/>
      </c>
      <c r="S246" s="20" t="n">
        <v>0</v>
      </c>
      <c r="T246" s="20" t="n">
        <v>0</v>
      </c>
      <c r="U246" s="20" t="n">
        <v>0</v>
      </c>
      <c r="V246" s="15" t="n">
        <v>0</v>
      </c>
      <c r="W246" s="24" t="n">
        <v>0</v>
      </c>
      <c r="X246" s="24" t="n">
        <v>0</v>
      </c>
      <c r="Y246" s="24" t="n">
        <v>0</v>
      </c>
      <c r="Z246" s="20" t="n">
        <v>0</v>
      </c>
      <c r="AA246" s="20" t="n">
        <v>0</v>
      </c>
      <c r="AB246" s="24" t="n">
        <v>0</v>
      </c>
      <c r="AC246" s="24" t="n">
        <v>0</v>
      </c>
      <c r="AD246" s="24" t="n">
        <v>0</v>
      </c>
      <c r="AE246" s="19" t="n">
        <v>0</v>
      </c>
      <c r="AF246" s="20" t="n">
        <v>0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17" t="n">
        <v>216</v>
      </c>
      <c r="J247" s="17" t="n">
        <v>395</v>
      </c>
      <c r="K247" s="17" t="n">
        <v>-65</v>
      </c>
      <c r="L247" s="17" t="n">
        <v>90</v>
      </c>
      <c r="M247" s="21" t="n">
        <v/>
      </c>
      <c r="N247" s="21" t="n">
        <v/>
      </c>
      <c r="O247" s="21" t="n">
        <v/>
      </c>
      <c r="P247" s="21" t="n">
        <v>0.4489892979253549</v>
      </c>
      <c r="Q247" s="22" t="n">
        <v>0</v>
      </c>
      <c r="R247" s="22" t="n">
        <v/>
      </c>
      <c r="S247" s="22" t="n">
        <v>0</v>
      </c>
      <c r="T247" s="22" t="n">
        <v>0</v>
      </c>
      <c r="U247" s="22" t="n">
        <v>0</v>
      </c>
      <c r="V247" s="17" t="n">
        <v>0</v>
      </c>
      <c r="W247" s="25" t="n">
        <v>0</v>
      </c>
      <c r="X247" s="25" t="n">
        <v>0</v>
      </c>
      <c r="Y247" s="25" t="n">
        <v>0</v>
      </c>
      <c r="Z247" s="22" t="n">
        <v>0</v>
      </c>
      <c r="AA247" s="22" t="n">
        <v>0</v>
      </c>
      <c r="AB247" s="25" t="n">
        <v>0</v>
      </c>
      <c r="AC247" s="25" t="n">
        <v>0</v>
      </c>
      <c r="AD247" s="25" t="n">
        <v>0</v>
      </c>
      <c r="AE247" s="21" t="n">
        <v>0</v>
      </c>
      <c r="AF247" s="22" t="n">
        <v>0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5" t="n">
        <v>216</v>
      </c>
      <c r="J248" s="15" t="n">
        <v>395</v>
      </c>
      <c r="K248" s="15" t="n">
        <v>-66</v>
      </c>
      <c r="L248" s="15" t="n">
        <v>90</v>
      </c>
      <c r="M248" s="19" t="n">
        <v/>
      </c>
      <c r="N248" s="19" t="n">
        <v/>
      </c>
      <c r="O248" s="19" t="n">
        <v/>
      </c>
      <c r="P248" s="19" t="n">
        <v>0.447524220082573</v>
      </c>
      <c r="Q248" s="20" t="n">
        <v>0</v>
      </c>
      <c r="R248" s="20" t="n">
        <v/>
      </c>
      <c r="S248" s="20" t="n">
        <v>0</v>
      </c>
      <c r="T248" s="20" t="n">
        <v>0</v>
      </c>
      <c r="U248" s="20" t="n">
        <v>0</v>
      </c>
      <c r="V248" s="15" t="n">
        <v>0</v>
      </c>
      <c r="W248" s="24" t="n">
        <v>0</v>
      </c>
      <c r="X248" s="24" t="n">
        <v>0</v>
      </c>
      <c r="Y248" s="24" t="n">
        <v>0</v>
      </c>
      <c r="Z248" s="20" t="n">
        <v>0</v>
      </c>
      <c r="AA248" s="20" t="n">
        <v>0</v>
      </c>
      <c r="AB248" s="24" t="n">
        <v>0</v>
      </c>
      <c r="AC248" s="24" t="n">
        <v>0</v>
      </c>
      <c r="AD248" s="24" t="n">
        <v>0</v>
      </c>
      <c r="AE248" s="19" t="n">
        <v>0</v>
      </c>
      <c r="AF248" s="20" t="n">
        <v>0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17" t="n">
        <v>216</v>
      </c>
      <c r="J249" s="17" t="n">
        <v>395</v>
      </c>
      <c r="K249" s="17" t="n">
        <v>-67</v>
      </c>
      <c r="L249" s="17" t="n">
        <v>90</v>
      </c>
      <c r="M249" s="21" t="n">
        <v/>
      </c>
      <c r="N249" s="21" t="n">
        <v/>
      </c>
      <c r="O249" s="21" t="n">
        <v/>
      </c>
      <c r="P249" s="21" t="n">
        <v>0.4460639228728604</v>
      </c>
      <c r="Q249" s="22" t="n">
        <v>0</v>
      </c>
      <c r="R249" s="22" t="n">
        <v/>
      </c>
      <c r="S249" s="22" t="n">
        <v>0</v>
      </c>
      <c r="T249" s="22" t="n">
        <v>0</v>
      </c>
      <c r="U249" s="22" t="n">
        <v>0</v>
      </c>
      <c r="V249" s="17" t="n">
        <v>0</v>
      </c>
      <c r="W249" s="25" t="n">
        <v>0</v>
      </c>
      <c r="X249" s="25" t="n">
        <v>0</v>
      </c>
      <c r="Y249" s="25" t="n">
        <v>0</v>
      </c>
      <c r="Z249" s="22" t="n">
        <v>0</v>
      </c>
      <c r="AA249" s="22" t="n">
        <v>0</v>
      </c>
      <c r="AB249" s="25" t="n">
        <v>0</v>
      </c>
      <c r="AC249" s="25" t="n">
        <v>0</v>
      </c>
      <c r="AD249" s="25" t="n">
        <v>0</v>
      </c>
      <c r="AE249" s="21" t="n">
        <v>0</v>
      </c>
      <c r="AF249" s="22" t="n">
        <v>0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5" t="n">
        <v>216</v>
      </c>
      <c r="J250" s="15" t="n">
        <v>395</v>
      </c>
      <c r="K250" s="15" t="n">
        <v>-68</v>
      </c>
      <c r="L250" s="15" t="n">
        <v>90</v>
      </c>
      <c r="M250" s="19" t="n">
        <v/>
      </c>
      <c r="N250" s="19" t="n">
        <v/>
      </c>
      <c r="O250" s="19" t="n">
        <v/>
      </c>
      <c r="P250" s="19" t="n">
        <v>0.4446083906967371</v>
      </c>
      <c r="Q250" s="20" t="n">
        <v>0</v>
      </c>
      <c r="R250" s="20" t="n">
        <v/>
      </c>
      <c r="S250" s="20" t="n">
        <v>0</v>
      </c>
      <c r="T250" s="20" t="n">
        <v>0</v>
      </c>
      <c r="U250" s="20" t="n">
        <v>0</v>
      </c>
      <c r="V250" s="15" t="n">
        <v>0</v>
      </c>
      <c r="W250" s="24" t="n">
        <v>0</v>
      </c>
      <c r="X250" s="24" t="n">
        <v>0</v>
      </c>
      <c r="Y250" s="24" t="n">
        <v>0</v>
      </c>
      <c r="Z250" s="20" t="n">
        <v>0</v>
      </c>
      <c r="AA250" s="20" t="n">
        <v>0</v>
      </c>
      <c r="AB250" s="24" t="n">
        <v>0</v>
      </c>
      <c r="AC250" s="24" t="n">
        <v>0</v>
      </c>
      <c r="AD250" s="24" t="n">
        <v>0</v>
      </c>
      <c r="AE250" s="19" t="n">
        <v>0</v>
      </c>
      <c r="AF250" s="20" t="n">
        <v>0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17" t="n">
        <v>216</v>
      </c>
      <c r="J251" s="17" t="n">
        <v>395</v>
      </c>
      <c r="K251" s="17" t="n">
        <v>-69</v>
      </c>
      <c r="L251" s="17" t="n">
        <v>90</v>
      </c>
      <c r="M251" s="21" t="n">
        <v/>
      </c>
      <c r="N251" s="21" t="n">
        <v/>
      </c>
      <c r="O251" s="21" t="n">
        <v/>
      </c>
      <c r="P251" s="21" t="n">
        <v>0.4431576080056249</v>
      </c>
      <c r="Q251" s="22" t="n">
        <v>0</v>
      </c>
      <c r="R251" s="22" t="n">
        <v/>
      </c>
      <c r="S251" s="22" t="n">
        <v>0</v>
      </c>
      <c r="T251" s="22" t="n">
        <v>0</v>
      </c>
      <c r="U251" s="22" t="n">
        <v>0</v>
      </c>
      <c r="V251" s="17" t="n">
        <v>0</v>
      </c>
      <c r="W251" s="25" t="n">
        <v>0</v>
      </c>
      <c r="X251" s="25" t="n">
        <v>0</v>
      </c>
      <c r="Y251" s="25" t="n">
        <v>0</v>
      </c>
      <c r="Z251" s="22" t="n">
        <v>0</v>
      </c>
      <c r="AA251" s="22" t="n">
        <v>0</v>
      </c>
      <c r="AB251" s="25" t="n">
        <v>0</v>
      </c>
      <c r="AC251" s="25" t="n">
        <v>0</v>
      </c>
      <c r="AD251" s="25" t="n">
        <v>0</v>
      </c>
      <c r="AE251" s="21" t="n">
        <v>0</v>
      </c>
      <c r="AF251" s="22" t="n">
        <v>0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5" t="n">
        <v>216</v>
      </c>
      <c r="J252" s="15" t="n">
        <v>395</v>
      </c>
      <c r="K252" s="15" t="n">
        <v>-70</v>
      </c>
      <c r="L252" s="15" t="n">
        <v>90</v>
      </c>
      <c r="M252" s="19" t="n">
        <v/>
      </c>
      <c r="N252" s="19" t="n">
        <v/>
      </c>
      <c r="O252" s="19" t="n">
        <v/>
      </c>
      <c r="P252" s="19" t="n">
        <v>0.4417115593016819</v>
      </c>
      <c r="Q252" s="20" t="n">
        <v>0</v>
      </c>
      <c r="R252" s="20" t="n">
        <v/>
      </c>
      <c r="S252" s="20" t="n">
        <v>0</v>
      </c>
      <c r="T252" s="20" t="n">
        <v>0</v>
      </c>
      <c r="U252" s="20" t="n">
        <v>0</v>
      </c>
      <c r="V252" s="15" t="n">
        <v>0</v>
      </c>
      <c r="W252" s="24" t="n">
        <v>0</v>
      </c>
      <c r="X252" s="24" t="n">
        <v>0</v>
      </c>
      <c r="Y252" s="24" t="n">
        <v>0</v>
      </c>
      <c r="Z252" s="20" t="n">
        <v>0</v>
      </c>
      <c r="AA252" s="20" t="n">
        <v>0</v>
      </c>
      <c r="AB252" s="24" t="n">
        <v>0</v>
      </c>
      <c r="AC252" s="24" t="n">
        <v>0</v>
      </c>
      <c r="AD252" s="24" t="n">
        <v>0</v>
      </c>
      <c r="AE252" s="19" t="n">
        <v>0</v>
      </c>
      <c r="AF252" s="20" t="n">
        <v>0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17" t="n">
        <v>216</v>
      </c>
      <c r="J253" s="17" t="n">
        <v>395</v>
      </c>
      <c r="K253" s="17" t="n">
        <v>-71</v>
      </c>
      <c r="L253" s="17" t="n">
        <v>90</v>
      </c>
      <c r="M253" s="21" t="n">
        <v/>
      </c>
      <c r="N253" s="21" t="n">
        <v/>
      </c>
      <c r="O253" s="21" t="n">
        <v/>
      </c>
      <c r="P253" s="21" t="n">
        <v>0.4402702291376362</v>
      </c>
      <c r="Q253" s="22" t="n">
        <v>0</v>
      </c>
      <c r="R253" s="22" t="n">
        <v/>
      </c>
      <c r="S253" s="22" t="n">
        <v>0</v>
      </c>
      <c r="T253" s="22" t="n">
        <v>0</v>
      </c>
      <c r="U253" s="22" t="n">
        <v>0</v>
      </c>
      <c r="V253" s="17" t="n">
        <v>0</v>
      </c>
      <c r="W253" s="25" t="n">
        <v>0</v>
      </c>
      <c r="X253" s="25" t="n">
        <v>0</v>
      </c>
      <c r="Y253" s="25" t="n">
        <v>0</v>
      </c>
      <c r="Z253" s="22" t="n">
        <v>0</v>
      </c>
      <c r="AA253" s="22" t="n">
        <v>0</v>
      </c>
      <c r="AB253" s="25" t="n">
        <v>0</v>
      </c>
      <c r="AC253" s="25" t="n">
        <v>0</v>
      </c>
      <c r="AD253" s="25" t="n">
        <v>0</v>
      </c>
      <c r="AE253" s="21" t="n">
        <v>0</v>
      </c>
      <c r="AF253" s="22" t="n">
        <v>0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5" t="n">
        <v>216</v>
      </c>
      <c r="J254" s="15" t="n">
        <v>395</v>
      </c>
      <c r="K254" s="15" t="n">
        <v>-72</v>
      </c>
      <c r="L254" s="15" t="n">
        <v>90</v>
      </c>
      <c r="M254" s="19" t="n">
        <v/>
      </c>
      <c r="N254" s="19" t="n">
        <v/>
      </c>
      <c r="O254" s="19" t="n">
        <v/>
      </c>
      <c r="P254" s="19" t="n">
        <v>0.4388336021166214</v>
      </c>
      <c r="Q254" s="20" t="n">
        <v>0</v>
      </c>
      <c r="R254" s="20" t="n">
        <v/>
      </c>
      <c r="S254" s="20" t="n">
        <v>0</v>
      </c>
      <c r="T254" s="20" t="n">
        <v>0</v>
      </c>
      <c r="U254" s="20" t="n">
        <v>0</v>
      </c>
      <c r="V254" s="15" t="n">
        <v>0</v>
      </c>
      <c r="W254" s="24" t="n">
        <v>0</v>
      </c>
      <c r="X254" s="24" t="n">
        <v>0</v>
      </c>
      <c r="Y254" s="24" t="n">
        <v>0</v>
      </c>
      <c r="Z254" s="20" t="n">
        <v>0</v>
      </c>
      <c r="AA254" s="20" t="n">
        <v>0</v>
      </c>
      <c r="AB254" s="24" t="n">
        <v>0</v>
      </c>
      <c r="AC254" s="24" t="n">
        <v>0</v>
      </c>
      <c r="AD254" s="24" t="n">
        <v>0</v>
      </c>
      <c r="AE254" s="19" t="n">
        <v>0</v>
      </c>
      <c r="AF254" s="20" t="n">
        <v>0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17" t="n">
        <v>216</v>
      </c>
      <c r="J255" s="17" t="n">
        <v>395</v>
      </c>
      <c r="K255" s="17" t="n">
        <v>-73</v>
      </c>
      <c r="L255" s="17" t="n">
        <v>90</v>
      </c>
      <c r="M255" s="21" t="n">
        <v/>
      </c>
      <c r="N255" s="21" t="n">
        <v/>
      </c>
      <c r="O255" s="21" t="n">
        <v/>
      </c>
      <c r="P255" s="21" t="n">
        <v>0.4374016628920118</v>
      </c>
      <c r="Q255" s="22" t="n">
        <v>0</v>
      </c>
      <c r="R255" s="22" t="n">
        <v/>
      </c>
      <c r="S255" s="22" t="n">
        <v>0</v>
      </c>
      <c r="T255" s="22" t="n">
        <v>0</v>
      </c>
      <c r="U255" s="22" t="n">
        <v>0</v>
      </c>
      <c r="V255" s="17" t="n">
        <v>0</v>
      </c>
      <c r="W255" s="25" t="n">
        <v>0</v>
      </c>
      <c r="X255" s="25" t="n">
        <v>0</v>
      </c>
      <c r="Y255" s="25" t="n">
        <v>0</v>
      </c>
      <c r="Z255" s="22" t="n">
        <v>0</v>
      </c>
      <c r="AA255" s="22" t="n">
        <v>0</v>
      </c>
      <c r="AB255" s="25" t="n">
        <v>0</v>
      </c>
      <c r="AC255" s="25" t="n">
        <v>0</v>
      </c>
      <c r="AD255" s="25" t="n">
        <v>0</v>
      </c>
      <c r="AE255" s="21" t="n">
        <v>0</v>
      </c>
      <c r="AF255" s="22" t="n">
        <v>0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5" t="n">
        <v>216</v>
      </c>
      <c r="J256" s="15" t="n">
        <v>395</v>
      </c>
      <c r="K256" s="15" t="n">
        <v>-74</v>
      </c>
      <c r="L256" s="15" t="n">
        <v>90</v>
      </c>
      <c r="M256" s="19" t="n">
        <v/>
      </c>
      <c r="N256" s="19" t="n">
        <v/>
      </c>
      <c r="O256" s="19" t="n">
        <v/>
      </c>
      <c r="P256" s="19" t="n">
        <v>0.4359743961672589</v>
      </c>
      <c r="Q256" s="20" t="n">
        <v>0</v>
      </c>
      <c r="R256" s="20" t="n">
        <v/>
      </c>
      <c r="S256" s="20" t="n">
        <v>0</v>
      </c>
      <c r="T256" s="20" t="n">
        <v>0</v>
      </c>
      <c r="U256" s="20" t="n">
        <v>0</v>
      </c>
      <c r="V256" s="15" t="n">
        <v>0</v>
      </c>
      <c r="W256" s="24" t="n">
        <v>0</v>
      </c>
      <c r="X256" s="24" t="n">
        <v>0</v>
      </c>
      <c r="Y256" s="24" t="n">
        <v>0</v>
      </c>
      <c r="Z256" s="20" t="n">
        <v>0</v>
      </c>
      <c r="AA256" s="20" t="n">
        <v>0</v>
      </c>
      <c r="AB256" s="24" t="n">
        <v>0</v>
      </c>
      <c r="AC256" s="24" t="n">
        <v>0</v>
      </c>
      <c r="AD256" s="24" t="n">
        <v>0</v>
      </c>
      <c r="AE256" s="19" t="n">
        <v>0</v>
      </c>
      <c r="AF256" s="20" t="n">
        <v>0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17" t="n">
        <v>216</v>
      </c>
      <c r="J257" s="17" t="n">
        <v>395</v>
      </c>
      <c r="K257" s="17" t="n">
        <v>-75</v>
      </c>
      <c r="L257" s="17" t="n">
        <v>90</v>
      </c>
      <c r="M257" s="21" t="n">
        <v/>
      </c>
      <c r="N257" s="21" t="n">
        <v/>
      </c>
      <c r="O257" s="21" t="n">
        <v/>
      </c>
      <c r="P257" s="21" t="n">
        <v>0.4345517866957275</v>
      </c>
      <c r="Q257" s="22" t="n">
        <v>0</v>
      </c>
      <c r="R257" s="22" t="n">
        <v/>
      </c>
      <c r="S257" s="22" t="n">
        <v>0</v>
      </c>
      <c r="T257" s="22" t="n">
        <v>0</v>
      </c>
      <c r="U257" s="22" t="n">
        <v>0</v>
      </c>
      <c r="V257" s="17" t="n">
        <v>0</v>
      </c>
      <c r="W257" s="25" t="n">
        <v>0</v>
      </c>
      <c r="X257" s="25" t="n">
        <v>0</v>
      </c>
      <c r="Y257" s="25" t="n">
        <v>0</v>
      </c>
      <c r="Z257" s="22" t="n">
        <v>0</v>
      </c>
      <c r="AA257" s="22" t="n">
        <v>0</v>
      </c>
      <c r="AB257" s="25" t="n">
        <v>0</v>
      </c>
      <c r="AC257" s="25" t="n">
        <v>0</v>
      </c>
      <c r="AD257" s="25" t="n">
        <v>0</v>
      </c>
      <c r="AE257" s="21" t="n">
        <v>0</v>
      </c>
      <c r="AF257" s="22" t="n">
        <v>0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5" t="n">
        <v>216</v>
      </c>
      <c r="J258" s="15" t="n">
        <v>395</v>
      </c>
      <c r="K258" s="15" t="n">
        <v>-76</v>
      </c>
      <c r="L258" s="15" t="n">
        <v>90</v>
      </c>
      <c r="M258" s="19" t="n">
        <v/>
      </c>
      <c r="N258" s="19" t="n">
        <v/>
      </c>
      <c r="O258" s="19" t="n">
        <v/>
      </c>
      <c r="P258" s="19" t="n">
        <v>0.433133819280533</v>
      </c>
      <c r="Q258" s="20" t="n">
        <v>0</v>
      </c>
      <c r="R258" s="20" t="n">
        <v/>
      </c>
      <c r="S258" s="20" t="n">
        <v>0</v>
      </c>
      <c r="T258" s="20" t="n">
        <v>0</v>
      </c>
      <c r="U258" s="20" t="n">
        <v>0</v>
      </c>
      <c r="V258" s="15" t="n">
        <v>0</v>
      </c>
      <c r="W258" s="24" t="n">
        <v>0</v>
      </c>
      <c r="X258" s="24" t="n">
        <v>0</v>
      </c>
      <c r="Y258" s="24" t="n">
        <v>0</v>
      </c>
      <c r="Z258" s="20" t="n">
        <v>0</v>
      </c>
      <c r="AA258" s="20" t="n">
        <v>0</v>
      </c>
      <c r="AB258" s="24" t="n">
        <v>0</v>
      </c>
      <c r="AC258" s="24" t="n">
        <v>0</v>
      </c>
      <c r="AD258" s="24" t="n">
        <v>0</v>
      </c>
      <c r="AE258" s="19" t="n">
        <v>0</v>
      </c>
      <c r="AF258" s="20" t="n">
        <v>0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17" t="n">
        <v>216</v>
      </c>
      <c r="J259" s="17" t="n">
        <v>395</v>
      </c>
      <c r="K259" s="17" t="n">
        <v>-77</v>
      </c>
      <c r="L259" s="17" t="n">
        <v>90</v>
      </c>
      <c r="M259" s="21" t="n">
        <v/>
      </c>
      <c r="N259" s="21" t="n">
        <v/>
      </c>
      <c r="O259" s="21" t="n">
        <v/>
      </c>
      <c r="P259" s="21" t="n">
        <v>0.4317204787743794</v>
      </c>
      <c r="Q259" s="22" t="n">
        <v>0</v>
      </c>
      <c r="R259" s="22" t="n">
        <v/>
      </c>
      <c r="S259" s="22" t="n">
        <v>0</v>
      </c>
      <c r="T259" s="22" t="n">
        <v>0</v>
      </c>
      <c r="U259" s="22" t="n">
        <v>0</v>
      </c>
      <c r="V259" s="17" t="n">
        <v>0</v>
      </c>
      <c r="W259" s="25" t="n">
        <v>0</v>
      </c>
      <c r="X259" s="25" t="n">
        <v>0</v>
      </c>
      <c r="Y259" s="25" t="n">
        <v>0</v>
      </c>
      <c r="Z259" s="22" t="n">
        <v>0</v>
      </c>
      <c r="AA259" s="22" t="n">
        <v>0</v>
      </c>
      <c r="AB259" s="25" t="n">
        <v>0</v>
      </c>
      <c r="AC259" s="25" t="n">
        <v>0</v>
      </c>
      <c r="AD259" s="25" t="n">
        <v>0</v>
      </c>
      <c r="AE259" s="21" t="n">
        <v>0</v>
      </c>
      <c r="AF259" s="22" t="n">
        <v>0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5" t="n">
        <v>216</v>
      </c>
      <c r="J260" s="15" t="n">
        <v>395</v>
      </c>
      <c r="K260" s="15" t="n">
        <v>-78</v>
      </c>
      <c r="L260" s="15" t="n">
        <v>90</v>
      </c>
      <c r="M260" s="19" t="n">
        <v/>
      </c>
      <c r="N260" s="19" t="n">
        <v/>
      </c>
      <c r="O260" s="19" t="n">
        <v/>
      </c>
      <c r="P260" s="19" t="n">
        <v>0.4303117500793968</v>
      </c>
      <c r="Q260" s="20" t="n">
        <v>0</v>
      </c>
      <c r="R260" s="20" t="n">
        <v/>
      </c>
      <c r="S260" s="20" t="n">
        <v>0</v>
      </c>
      <c r="T260" s="20" t="n">
        <v>0</v>
      </c>
      <c r="U260" s="20" t="n">
        <v>0</v>
      </c>
      <c r="V260" s="15" t="n">
        <v>0</v>
      </c>
      <c r="W260" s="24" t="n">
        <v>0</v>
      </c>
      <c r="X260" s="24" t="n">
        <v>0</v>
      </c>
      <c r="Y260" s="24" t="n">
        <v>0</v>
      </c>
      <c r="Z260" s="20" t="n">
        <v>0</v>
      </c>
      <c r="AA260" s="20" t="n">
        <v>0</v>
      </c>
      <c r="AB260" s="24" t="n">
        <v>0</v>
      </c>
      <c r="AC260" s="24" t="n">
        <v>0</v>
      </c>
      <c r="AD260" s="24" t="n">
        <v>0</v>
      </c>
      <c r="AE260" s="19" t="n">
        <v>0</v>
      </c>
      <c r="AF260" s="20" t="n">
        <v>0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17" t="n">
        <v>216</v>
      </c>
      <c r="J261" s="17" t="n">
        <v>395</v>
      </c>
      <c r="K261" s="17" t="n">
        <v>-79</v>
      </c>
      <c r="L261" s="17" t="n">
        <v>90</v>
      </c>
      <c r="M261" s="21" t="n">
        <v/>
      </c>
      <c r="N261" s="21" t="n">
        <v/>
      </c>
      <c r="O261" s="21" t="n">
        <v/>
      </c>
      <c r="P261" s="21" t="n">
        <v>0.4289076181469809</v>
      </c>
      <c r="Q261" s="22" t="n">
        <v>0</v>
      </c>
      <c r="R261" s="22" t="n">
        <v/>
      </c>
      <c r="S261" s="22" t="n">
        <v>0</v>
      </c>
      <c r="T261" s="22" t="n">
        <v>0</v>
      </c>
      <c r="U261" s="22" t="n">
        <v>0</v>
      </c>
      <c r="V261" s="17" t="n">
        <v>0</v>
      </c>
      <c r="W261" s="25" t="n">
        <v>0</v>
      </c>
      <c r="X261" s="25" t="n">
        <v>0</v>
      </c>
      <c r="Y261" s="25" t="n">
        <v>0</v>
      </c>
      <c r="Z261" s="22" t="n">
        <v>0</v>
      </c>
      <c r="AA261" s="22" t="n">
        <v>0</v>
      </c>
      <c r="AB261" s="25" t="n">
        <v>0</v>
      </c>
      <c r="AC261" s="25" t="n">
        <v>0</v>
      </c>
      <c r="AD261" s="25" t="n">
        <v>0</v>
      </c>
      <c r="AE261" s="21" t="n">
        <v>0</v>
      </c>
      <c r="AF261" s="22" t="n">
        <v>0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5" t="n">
        <v>216</v>
      </c>
      <c r="J262" s="15" t="n">
        <v>395</v>
      </c>
      <c r="K262" s="15" t="n">
        <v>-80</v>
      </c>
      <c r="L262" s="15" t="n">
        <v>90</v>
      </c>
      <c r="M262" s="19" t="n">
        <v/>
      </c>
      <c r="N262" s="19" t="n">
        <v/>
      </c>
      <c r="O262" s="19" t="n">
        <v/>
      </c>
      <c r="P262" s="19" t="n">
        <v>0.4275080679776315</v>
      </c>
      <c r="Q262" s="20" t="n">
        <v>0</v>
      </c>
      <c r="R262" s="20" t="n">
        <v/>
      </c>
      <c r="S262" s="20" t="n">
        <v>0</v>
      </c>
      <c r="T262" s="20" t="n">
        <v>0</v>
      </c>
      <c r="U262" s="20" t="n">
        <v>0</v>
      </c>
      <c r="V262" s="15" t="n">
        <v>0</v>
      </c>
      <c r="W262" s="24" t="n">
        <v>0</v>
      </c>
      <c r="X262" s="24" t="n">
        <v>0</v>
      </c>
      <c r="Y262" s="24" t="n">
        <v>0</v>
      </c>
      <c r="Z262" s="20" t="n">
        <v>0</v>
      </c>
      <c r="AA262" s="20" t="n">
        <v>0</v>
      </c>
      <c r="AB262" s="24" t="n">
        <v>0</v>
      </c>
      <c r="AC262" s="24" t="n">
        <v>0</v>
      </c>
      <c r="AD262" s="24" t="n">
        <v>0</v>
      </c>
      <c r="AE262" s="19" t="n">
        <v>0</v>
      </c>
      <c r="AF262" s="20" t="n">
        <v>0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17" t="n">
        <v>216</v>
      </c>
      <c r="J263" s="17" t="n">
        <v>395</v>
      </c>
      <c r="K263" s="17" t="n">
        <v>-81</v>
      </c>
      <c r="L263" s="17" t="n">
        <v>90</v>
      </c>
      <c r="M263" s="21" t="n">
        <v/>
      </c>
      <c r="N263" s="21" t="n">
        <v/>
      </c>
      <c r="O263" s="21" t="n">
        <v/>
      </c>
      <c r="P263" s="21" t="n">
        <v>0.4261130846207929</v>
      </c>
      <c r="Q263" s="22" t="n">
        <v>0</v>
      </c>
      <c r="R263" s="22" t="n">
        <v/>
      </c>
      <c r="S263" s="22" t="n">
        <v>0</v>
      </c>
      <c r="T263" s="22" t="n">
        <v>0</v>
      </c>
      <c r="U263" s="22" t="n">
        <v>0</v>
      </c>
      <c r="V263" s="17" t="n">
        <v>0</v>
      </c>
      <c r="W263" s="25" t="n">
        <v>0</v>
      </c>
      <c r="X263" s="25" t="n">
        <v>0</v>
      </c>
      <c r="Y263" s="25" t="n">
        <v>0</v>
      </c>
      <c r="Z263" s="22" t="n">
        <v>0</v>
      </c>
      <c r="AA263" s="22" t="n">
        <v>0</v>
      </c>
      <c r="AB263" s="25" t="n">
        <v>0</v>
      </c>
      <c r="AC263" s="25" t="n">
        <v>0</v>
      </c>
      <c r="AD263" s="25" t="n">
        <v>0</v>
      </c>
      <c r="AE263" s="21" t="n">
        <v>0</v>
      </c>
      <c r="AF263" s="22" t="n">
        <v>0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5" t="n">
        <v>216</v>
      </c>
      <c r="J264" s="15" t="n">
        <v>395</v>
      </c>
      <c r="K264" s="15" t="n">
        <v>-82</v>
      </c>
      <c r="L264" s="15" t="n">
        <v>90</v>
      </c>
      <c r="M264" s="19" t="n">
        <v/>
      </c>
      <c r="N264" s="19" t="n">
        <v/>
      </c>
      <c r="O264" s="19" t="n">
        <v/>
      </c>
      <c r="P264" s="19" t="n">
        <v>0.4247226531746938</v>
      </c>
      <c r="Q264" s="20" t="n">
        <v>0</v>
      </c>
      <c r="R264" s="20" t="n">
        <v/>
      </c>
      <c r="S264" s="20" t="n">
        <v>0</v>
      </c>
      <c r="T264" s="20" t="n">
        <v>0</v>
      </c>
      <c r="U264" s="20" t="n">
        <v>0</v>
      </c>
      <c r="V264" s="15" t="n">
        <v>0</v>
      </c>
      <c r="W264" s="24" t="n">
        <v>0</v>
      </c>
      <c r="X264" s="24" t="n">
        <v>0</v>
      </c>
      <c r="Y264" s="24" t="n">
        <v>0</v>
      </c>
      <c r="Z264" s="20" t="n">
        <v>0</v>
      </c>
      <c r="AA264" s="20" t="n">
        <v>0</v>
      </c>
      <c r="AB264" s="24" t="n">
        <v>0</v>
      </c>
      <c r="AC264" s="24" t="n">
        <v>0</v>
      </c>
      <c r="AD264" s="24" t="n">
        <v>0</v>
      </c>
      <c r="AE264" s="19" t="n">
        <v>0</v>
      </c>
      <c r="AF264" s="20" t="n">
        <v>0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17" t="n">
        <v>216</v>
      </c>
      <c r="J265" s="17" t="n">
        <v>395</v>
      </c>
      <c r="K265" s="17" t="n">
        <v>-83</v>
      </c>
      <c r="L265" s="17" t="n">
        <v>90</v>
      </c>
      <c r="M265" s="21" t="n">
        <v/>
      </c>
      <c r="N265" s="21" t="n">
        <v/>
      </c>
      <c r="O265" s="21" t="n">
        <v/>
      </c>
      <c r="P265" s="21" t="n">
        <v>0.4233367587861883</v>
      </c>
      <c r="Q265" s="22" t="n">
        <v>0</v>
      </c>
      <c r="R265" s="22" t="n">
        <v/>
      </c>
      <c r="S265" s="22" t="n">
        <v>0</v>
      </c>
      <c r="T265" s="22" t="n">
        <v>0</v>
      </c>
      <c r="U265" s="22" t="n">
        <v>0</v>
      </c>
      <c r="V265" s="17" t="n">
        <v>0</v>
      </c>
      <c r="W265" s="25" t="n">
        <v>0</v>
      </c>
      <c r="X265" s="25" t="n">
        <v>0</v>
      </c>
      <c r="Y265" s="25" t="n">
        <v>0</v>
      </c>
      <c r="Z265" s="22" t="n">
        <v>0</v>
      </c>
      <c r="AA265" s="22" t="n">
        <v>0</v>
      </c>
      <c r="AB265" s="25" t="n">
        <v>0</v>
      </c>
      <c r="AC265" s="25" t="n">
        <v>0</v>
      </c>
      <c r="AD265" s="25" t="n">
        <v>0</v>
      </c>
      <c r="AE265" s="21" t="n">
        <v>0</v>
      </c>
      <c r="AF265" s="22" t="n">
        <v>0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5" t="n">
        <v>216</v>
      </c>
      <c r="J266" s="15" t="n">
        <v>395</v>
      </c>
      <c r="K266" s="15" t="n">
        <v>-84</v>
      </c>
      <c r="L266" s="15" t="n">
        <v>90</v>
      </c>
      <c r="M266" s="19" t="n">
        <v/>
      </c>
      <c r="N266" s="19" t="n">
        <v/>
      </c>
      <c r="O266" s="19" t="n">
        <v/>
      </c>
      <c r="P266" s="19" t="n">
        <v>0.4219553866505971</v>
      </c>
      <c r="Q266" s="20" t="n">
        <v>0</v>
      </c>
      <c r="R266" s="20" t="n">
        <v/>
      </c>
      <c r="S266" s="20" t="n">
        <v>0</v>
      </c>
      <c r="T266" s="20" t="n">
        <v>0</v>
      </c>
      <c r="U266" s="20" t="n">
        <v>0</v>
      </c>
      <c r="V266" s="15" t="n">
        <v>0</v>
      </c>
      <c r="W266" s="24" t="n">
        <v>0</v>
      </c>
      <c r="X266" s="24" t="n">
        <v>0</v>
      </c>
      <c r="Y266" s="24" t="n">
        <v>0</v>
      </c>
      <c r="Z266" s="20" t="n">
        <v>0</v>
      </c>
      <c r="AA266" s="20" t="n">
        <v>0</v>
      </c>
      <c r="AB266" s="24" t="n">
        <v>0</v>
      </c>
      <c r="AC266" s="24" t="n">
        <v>0</v>
      </c>
      <c r="AD266" s="24" t="n">
        <v>0</v>
      </c>
      <c r="AE266" s="19" t="n">
        <v>0</v>
      </c>
      <c r="AF266" s="20" t="n">
        <v>0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17" t="n">
        <v>216</v>
      </c>
      <c r="J267" s="17" t="n">
        <v>395</v>
      </c>
      <c r="K267" s="17" t="n">
        <v>-85</v>
      </c>
      <c r="L267" s="17" t="n">
        <v>90</v>
      </c>
      <c r="M267" s="21" t="n">
        <v/>
      </c>
      <c r="N267" s="21" t="n">
        <v/>
      </c>
      <c r="O267" s="21" t="n">
        <v/>
      </c>
      <c r="P267" s="21" t="n">
        <v>0.4205785220115495</v>
      </c>
      <c r="Q267" s="22" t="n">
        <v>0</v>
      </c>
      <c r="R267" s="22" t="n">
        <v/>
      </c>
      <c r="S267" s="22" t="n">
        <v>0</v>
      </c>
      <c r="T267" s="22" t="n">
        <v>0</v>
      </c>
      <c r="U267" s="22" t="n">
        <v>0</v>
      </c>
      <c r="V267" s="17" t="n">
        <v>0</v>
      </c>
      <c r="W267" s="25" t="n">
        <v>0</v>
      </c>
      <c r="X267" s="25" t="n">
        <v>0</v>
      </c>
      <c r="Y267" s="25" t="n">
        <v>0</v>
      </c>
      <c r="Z267" s="22" t="n">
        <v>0</v>
      </c>
      <c r="AA267" s="22" t="n">
        <v>0</v>
      </c>
      <c r="AB267" s="25" t="n">
        <v>0</v>
      </c>
      <c r="AC267" s="25" t="n">
        <v>0</v>
      </c>
      <c r="AD267" s="25" t="n">
        <v>0</v>
      </c>
      <c r="AE267" s="21" t="n">
        <v>0</v>
      </c>
      <c r="AF267" s="22" t="n">
        <v>0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5" t="n">
        <v>216</v>
      </c>
      <c r="J268" s="15" t="n">
        <v>395</v>
      </c>
      <c r="K268" s="15" t="n">
        <v>-86</v>
      </c>
      <c r="L268" s="15" t="n">
        <v>90</v>
      </c>
      <c r="M268" s="19" t="n">
        <v/>
      </c>
      <c r="N268" s="19" t="n">
        <v/>
      </c>
      <c r="O268" s="19" t="n">
        <v/>
      </c>
      <c r="P268" s="19" t="n">
        <v>0.4192061501608256</v>
      </c>
      <c r="Q268" s="20" t="n">
        <v>0</v>
      </c>
      <c r="R268" s="20" t="n">
        <v/>
      </c>
      <c r="S268" s="20" t="n">
        <v>0</v>
      </c>
      <c r="T268" s="20" t="n">
        <v>0</v>
      </c>
      <c r="U268" s="20" t="n">
        <v>0</v>
      </c>
      <c r="V268" s="15" t="n">
        <v>0</v>
      </c>
      <c r="W268" s="24" t="n">
        <v>0</v>
      </c>
      <c r="X268" s="24" t="n">
        <v>0</v>
      </c>
      <c r="Y268" s="24" t="n">
        <v>0</v>
      </c>
      <c r="Z268" s="20" t="n">
        <v>0</v>
      </c>
      <c r="AA268" s="20" t="n">
        <v>0</v>
      </c>
      <c r="AB268" s="24" t="n">
        <v>0</v>
      </c>
      <c r="AC268" s="24" t="n">
        <v>0</v>
      </c>
      <c r="AD268" s="24" t="n">
        <v>0</v>
      </c>
      <c r="AE268" s="19" t="n">
        <v>0</v>
      </c>
      <c r="AF268" s="20" t="n">
        <v>0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17" t="n">
        <v>216</v>
      </c>
      <c r="J269" s="17" t="n">
        <v>395</v>
      </c>
      <c r="K269" s="17" t="n">
        <v>-87</v>
      </c>
      <c r="L269" s="17" t="n">
        <v>90</v>
      </c>
      <c r="M269" s="21" t="n">
        <v/>
      </c>
      <c r="N269" s="21" t="n">
        <v/>
      </c>
      <c r="O269" s="21" t="n">
        <v/>
      </c>
      <c r="P269" s="21" t="n">
        <v>0.4178382564381992</v>
      </c>
      <c r="Q269" s="22" t="n">
        <v>0</v>
      </c>
      <c r="R269" s="22" t="n">
        <v/>
      </c>
      <c r="S269" s="22" t="n">
        <v>0</v>
      </c>
      <c r="T269" s="22" t="n">
        <v>0</v>
      </c>
      <c r="U269" s="22" t="n">
        <v>0</v>
      </c>
      <c r="V269" s="17" t="n">
        <v>0</v>
      </c>
      <c r="W269" s="25" t="n">
        <v>0</v>
      </c>
      <c r="X269" s="25" t="n">
        <v>0</v>
      </c>
      <c r="Y269" s="25" t="n">
        <v>0</v>
      </c>
      <c r="Z269" s="22" t="n">
        <v>0</v>
      </c>
      <c r="AA269" s="22" t="n">
        <v>0</v>
      </c>
      <c r="AB269" s="25" t="n">
        <v>0</v>
      </c>
      <c r="AC269" s="25" t="n">
        <v>0</v>
      </c>
      <c r="AD269" s="25" t="n">
        <v>0</v>
      </c>
      <c r="AE269" s="21" t="n">
        <v>0</v>
      </c>
      <c r="AF269" s="22" t="n">
        <v>0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5" t="n">
        <v>216</v>
      </c>
      <c r="J270" s="15" t="n">
        <v>395</v>
      </c>
      <c r="K270" s="15" t="n">
        <v>-88</v>
      </c>
      <c r="L270" s="15" t="n">
        <v>90</v>
      </c>
      <c r="M270" s="19" t="n">
        <v/>
      </c>
      <c r="N270" s="19" t="n">
        <v/>
      </c>
      <c r="O270" s="19" t="n">
        <v/>
      </c>
      <c r="P270" s="19" t="n">
        <v>0.4164748262312815</v>
      </c>
      <c r="Q270" s="20" t="n">
        <v>0</v>
      </c>
      <c r="R270" s="20" t="n">
        <v/>
      </c>
      <c r="S270" s="20" t="n">
        <v>0</v>
      </c>
      <c r="T270" s="20" t="n">
        <v>0</v>
      </c>
      <c r="U270" s="20" t="n">
        <v>0</v>
      </c>
      <c r="V270" s="15" t="n">
        <v>0</v>
      </c>
      <c r="W270" s="24" t="n">
        <v>0</v>
      </c>
      <c r="X270" s="24" t="n">
        <v>0</v>
      </c>
      <c r="Y270" s="24" t="n">
        <v>0</v>
      </c>
      <c r="Z270" s="20" t="n">
        <v>0</v>
      </c>
      <c r="AA270" s="20" t="n">
        <v>0</v>
      </c>
      <c r="AB270" s="24" t="n">
        <v>0</v>
      </c>
      <c r="AC270" s="24" t="n">
        <v>0</v>
      </c>
      <c r="AD270" s="24" t="n">
        <v>0</v>
      </c>
      <c r="AE270" s="19" t="n">
        <v>0</v>
      </c>
      <c r="AF270" s="20" t="n">
        <v>0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17" t="n">
        <v>216</v>
      </c>
      <c r="J271" s="17" t="n">
        <v>395</v>
      </c>
      <c r="K271" s="17" t="n">
        <v>-89</v>
      </c>
      <c r="L271" s="17" t="n">
        <v>90</v>
      </c>
      <c r="M271" s="21" t="n">
        <v/>
      </c>
      <c r="N271" s="21" t="n">
        <v/>
      </c>
      <c r="O271" s="21" t="n">
        <v/>
      </c>
      <c r="P271" s="21" t="n">
        <v>0.4151158449753645</v>
      </c>
      <c r="Q271" s="22" t="n">
        <v>0</v>
      </c>
      <c r="R271" s="22" t="n">
        <v/>
      </c>
      <c r="S271" s="22" t="n">
        <v>0</v>
      </c>
      <c r="T271" s="22" t="n">
        <v>0</v>
      </c>
      <c r="U271" s="22" t="n">
        <v>0</v>
      </c>
      <c r="V271" s="17" t="n">
        <v>0</v>
      </c>
      <c r="W271" s="25" t="n">
        <v>0</v>
      </c>
      <c r="X271" s="25" t="n">
        <v>0</v>
      </c>
      <c r="Y271" s="25" t="n">
        <v>0</v>
      </c>
      <c r="Z271" s="22" t="n">
        <v>0</v>
      </c>
      <c r="AA271" s="22" t="n">
        <v>0</v>
      </c>
      <c r="AB271" s="25" t="n">
        <v>0</v>
      </c>
      <c r="AC271" s="25" t="n">
        <v>0</v>
      </c>
      <c r="AD271" s="25" t="n">
        <v>0</v>
      </c>
      <c r="AE271" s="21" t="n">
        <v>0</v>
      </c>
      <c r="AF271" s="22" t="n">
        <v>0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5" t="n">
        <v>216</v>
      </c>
      <c r="J272" s="15" t="n">
        <v>395</v>
      </c>
      <c r="K272" s="15" t="n">
        <v>-90</v>
      </c>
      <c r="L272" s="15" t="n">
        <v>90</v>
      </c>
      <c r="M272" s="19" t="n">
        <v/>
      </c>
      <c r="N272" s="19" t="n">
        <v/>
      </c>
      <c r="O272" s="19" t="n">
        <v/>
      </c>
      <c r="P272" s="19" t="n">
        <v>0.4137612981532659</v>
      </c>
      <c r="Q272" s="20" t="n">
        <v>0</v>
      </c>
      <c r="R272" s="20" t="n">
        <v/>
      </c>
      <c r="S272" s="20" t="n">
        <v>0</v>
      </c>
      <c r="T272" s="20" t="n">
        <v>0</v>
      </c>
      <c r="U272" s="20" t="n">
        <v>0</v>
      </c>
      <c r="V272" s="15" t="n">
        <v>0</v>
      </c>
      <c r="W272" s="24" t="n">
        <v>0</v>
      </c>
      <c r="X272" s="24" t="n">
        <v>0</v>
      </c>
      <c r="Y272" s="24" t="n">
        <v>0</v>
      </c>
      <c r="Z272" s="20" t="n">
        <v>0</v>
      </c>
      <c r="AA272" s="20" t="n">
        <v>0</v>
      </c>
      <c r="AB272" s="24" t="n">
        <v>0</v>
      </c>
      <c r="AC272" s="24" t="n">
        <v>0</v>
      </c>
      <c r="AD272" s="24" t="n">
        <v>0</v>
      </c>
      <c r="AE272" s="19" t="n">
        <v>0</v>
      </c>
      <c r="AF272" s="20" t="n">
        <v>0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17" t="n">
        <v>216</v>
      </c>
      <c r="J273" s="17" t="n">
        <v>395</v>
      </c>
      <c r="K273" s="17" t="n">
        <v>-91</v>
      </c>
      <c r="L273" s="17" t="n">
        <v>90</v>
      </c>
      <c r="M273" s="21" t="n">
        <v/>
      </c>
      <c r="N273" s="21" t="n">
        <v/>
      </c>
      <c r="O273" s="21" t="n">
        <v/>
      </c>
      <c r="P273" s="21" t="n">
        <v>0.4124111712951736</v>
      </c>
      <c r="Q273" s="22" t="n">
        <v>0</v>
      </c>
      <c r="R273" s="22" t="n">
        <v/>
      </c>
      <c r="S273" s="22" t="n">
        <v>0</v>
      </c>
      <c r="T273" s="22" t="n">
        <v>0</v>
      </c>
      <c r="U273" s="22" t="n">
        <v>0</v>
      </c>
      <c r="V273" s="17" t="n">
        <v>0</v>
      </c>
      <c r="W273" s="25" t="n">
        <v>0</v>
      </c>
      <c r="X273" s="25" t="n">
        <v>0</v>
      </c>
      <c r="Y273" s="25" t="n">
        <v>0</v>
      </c>
      <c r="Z273" s="22" t="n">
        <v>0</v>
      </c>
      <c r="AA273" s="22" t="n">
        <v>0</v>
      </c>
      <c r="AB273" s="25" t="n">
        <v>0</v>
      </c>
      <c r="AC273" s="25" t="n">
        <v>0</v>
      </c>
      <c r="AD273" s="25" t="n">
        <v>0</v>
      </c>
      <c r="AE273" s="21" t="n">
        <v>0</v>
      </c>
      <c r="AF273" s="22" t="n">
        <v>0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5" t="n">
        <v>216</v>
      </c>
      <c r="J274" s="15" t="n">
        <v>395</v>
      </c>
      <c r="K274" s="15" t="n">
        <v>-92</v>
      </c>
      <c r="L274" s="15" t="n">
        <v>90</v>
      </c>
      <c r="M274" s="19" t="n">
        <v/>
      </c>
      <c r="N274" s="19" t="n">
        <v/>
      </c>
      <c r="O274" s="19" t="n">
        <v/>
      </c>
      <c r="P274" s="19" t="n">
        <v>0.4110654499784915</v>
      </c>
      <c r="Q274" s="20" t="n">
        <v>0</v>
      </c>
      <c r="R274" s="20" t="n">
        <v/>
      </c>
      <c r="S274" s="20" t="n">
        <v>0</v>
      </c>
      <c r="T274" s="20" t="n">
        <v>0</v>
      </c>
      <c r="U274" s="20" t="n">
        <v>0</v>
      </c>
      <c r="V274" s="15" t="n">
        <v>0</v>
      </c>
      <c r="W274" s="24" t="n">
        <v>0</v>
      </c>
      <c r="X274" s="24" t="n">
        <v>0</v>
      </c>
      <c r="Y274" s="24" t="n">
        <v>0</v>
      </c>
      <c r="Z274" s="20" t="n">
        <v>0</v>
      </c>
      <c r="AA274" s="20" t="n">
        <v>0</v>
      </c>
      <c r="AB274" s="24" t="n">
        <v>0</v>
      </c>
      <c r="AC274" s="24" t="n">
        <v>0</v>
      </c>
      <c r="AD274" s="24" t="n">
        <v>0</v>
      </c>
      <c r="AE274" s="19" t="n">
        <v>0</v>
      </c>
      <c r="AF274" s="20" t="n">
        <v>0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17" t="n">
        <v>216</v>
      </c>
      <c r="J275" s="17" t="n">
        <v>395</v>
      </c>
      <c r="K275" s="17" t="n">
        <v>-93</v>
      </c>
      <c r="L275" s="17" t="n">
        <v>90</v>
      </c>
      <c r="M275" s="21" t="n">
        <v/>
      </c>
      <c r="N275" s="21" t="n">
        <v/>
      </c>
      <c r="O275" s="21" t="n">
        <v/>
      </c>
      <c r="P275" s="21" t="n">
        <v>0.4097241198276852</v>
      </c>
      <c r="Q275" s="22" t="n">
        <v>0</v>
      </c>
      <c r="R275" s="22" t="n">
        <v/>
      </c>
      <c r="S275" s="22" t="n">
        <v>0</v>
      </c>
      <c r="T275" s="22" t="n">
        <v>0</v>
      </c>
      <c r="U275" s="22" t="n">
        <v>0</v>
      </c>
      <c r="V275" s="17" t="n">
        <v>0</v>
      </c>
      <c r="W275" s="25" t="n">
        <v>0</v>
      </c>
      <c r="X275" s="25" t="n">
        <v>0</v>
      </c>
      <c r="Y275" s="25" t="n">
        <v>0</v>
      </c>
      <c r="Z275" s="22" t="n">
        <v>0</v>
      </c>
      <c r="AA275" s="22" t="n">
        <v>0</v>
      </c>
      <c r="AB275" s="25" t="n">
        <v>0</v>
      </c>
      <c r="AC275" s="25" t="n">
        <v>0</v>
      </c>
      <c r="AD275" s="25" t="n">
        <v>0</v>
      </c>
      <c r="AE275" s="21" t="n">
        <v>0</v>
      </c>
      <c r="AF275" s="22" t="n">
        <v>0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5" t="n">
        <v>216</v>
      </c>
      <c r="J276" s="15" t="n">
        <v>395</v>
      </c>
      <c r="K276" s="15" t="n">
        <v>-94</v>
      </c>
      <c r="L276" s="15" t="n">
        <v>90</v>
      </c>
      <c r="M276" s="19" t="n">
        <v/>
      </c>
      <c r="N276" s="19" t="n">
        <v/>
      </c>
      <c r="O276" s="19" t="n">
        <v/>
      </c>
      <c r="P276" s="19" t="n">
        <v>0.4083871665141284</v>
      </c>
      <c r="Q276" s="20" t="n">
        <v>0</v>
      </c>
      <c r="R276" s="20" t="n">
        <v/>
      </c>
      <c r="S276" s="20" t="n">
        <v>0</v>
      </c>
      <c r="T276" s="20" t="n">
        <v>0</v>
      </c>
      <c r="U276" s="20" t="n">
        <v>0</v>
      </c>
      <c r="V276" s="15" t="n">
        <v>0</v>
      </c>
      <c r="W276" s="24" t="n">
        <v>0</v>
      </c>
      <c r="X276" s="24" t="n">
        <v>0</v>
      </c>
      <c r="Y276" s="24" t="n">
        <v>0</v>
      </c>
      <c r="Z276" s="20" t="n">
        <v>0</v>
      </c>
      <c r="AA276" s="20" t="n">
        <v>0</v>
      </c>
      <c r="AB276" s="24" t="n">
        <v>0</v>
      </c>
      <c r="AC276" s="24" t="n">
        <v>0</v>
      </c>
      <c r="AD276" s="24" t="n">
        <v>0</v>
      </c>
      <c r="AE276" s="19" t="n">
        <v>0</v>
      </c>
      <c r="AF276" s="20" t="n">
        <v>0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17" t="n">
        <v>216</v>
      </c>
      <c r="J277" s="17" t="n">
        <v>395</v>
      </c>
      <c r="K277" s="17" t="n">
        <v>-95</v>
      </c>
      <c r="L277" s="17" t="n">
        <v>90</v>
      </c>
      <c r="M277" s="21" t="n">
        <v/>
      </c>
      <c r="N277" s="21" t="n">
        <v/>
      </c>
      <c r="O277" s="21" t="n">
        <v/>
      </c>
      <c r="P277" s="21" t="n">
        <v>0.40705457575595</v>
      </c>
      <c r="Q277" s="22" t="n">
        <v>0</v>
      </c>
      <c r="R277" s="22" t="n">
        <v/>
      </c>
      <c r="S277" s="22" t="n">
        <v>0</v>
      </c>
      <c r="T277" s="22" t="n">
        <v>0</v>
      </c>
      <c r="U277" s="22" t="n">
        <v>0</v>
      </c>
      <c r="V277" s="17" t="n">
        <v>0</v>
      </c>
      <c r="W277" s="25" t="n">
        <v>0</v>
      </c>
      <c r="X277" s="25" t="n">
        <v>0</v>
      </c>
      <c r="Y277" s="25" t="n">
        <v>0</v>
      </c>
      <c r="Z277" s="22" t="n">
        <v>0</v>
      </c>
      <c r="AA277" s="22" t="n">
        <v>0</v>
      </c>
      <c r="AB277" s="25" t="n">
        <v>0</v>
      </c>
      <c r="AC277" s="25" t="n">
        <v>0</v>
      </c>
      <c r="AD277" s="25" t="n">
        <v>0</v>
      </c>
      <c r="AE277" s="21" t="n">
        <v>0</v>
      </c>
      <c r="AF277" s="22" t="n">
        <v>0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5" t="n">
        <v>216</v>
      </c>
      <c r="J278" s="15" t="n">
        <v>395</v>
      </c>
      <c r="K278" s="15" t="n">
        <v>-96</v>
      </c>
      <c r="L278" s="15" t="n">
        <v>90</v>
      </c>
      <c r="M278" s="19" t="n">
        <v/>
      </c>
      <c r="N278" s="19" t="n">
        <v/>
      </c>
      <c r="O278" s="19" t="n">
        <v/>
      </c>
      <c r="P278" s="19" t="n">
        <v>0.4057263333178815</v>
      </c>
      <c r="Q278" s="20" t="n">
        <v>0</v>
      </c>
      <c r="R278" s="20" t="n">
        <v/>
      </c>
      <c r="S278" s="20" t="n">
        <v>0</v>
      </c>
      <c r="T278" s="20" t="n">
        <v>0</v>
      </c>
      <c r="U278" s="20" t="n">
        <v>0</v>
      </c>
      <c r="V278" s="15" t="n">
        <v>0</v>
      </c>
      <c r="W278" s="24" t="n">
        <v>0</v>
      </c>
      <c r="X278" s="24" t="n">
        <v>0</v>
      </c>
      <c r="Y278" s="24" t="n">
        <v>0</v>
      </c>
      <c r="Z278" s="20" t="n">
        <v>0</v>
      </c>
      <c r="AA278" s="20" t="n">
        <v>0</v>
      </c>
      <c r="AB278" s="24" t="n">
        <v>0</v>
      </c>
      <c r="AC278" s="24" t="n">
        <v>0</v>
      </c>
      <c r="AD278" s="24" t="n">
        <v>0</v>
      </c>
      <c r="AE278" s="19" t="n">
        <v>0</v>
      </c>
      <c r="AF278" s="20" t="n">
        <v>0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17" t="n">
        <v>216</v>
      </c>
      <c r="J279" s="17" t="n">
        <v>395</v>
      </c>
      <c r="K279" s="17" t="n">
        <v>-97</v>
      </c>
      <c r="L279" s="17" t="n">
        <v>90</v>
      </c>
      <c r="M279" s="21" t="n">
        <v/>
      </c>
      <c r="N279" s="21" t="n">
        <v/>
      </c>
      <c r="O279" s="21" t="n">
        <v/>
      </c>
      <c r="P279" s="21" t="n">
        <v>0.404402425011105</v>
      </c>
      <c r="Q279" s="22" t="n">
        <v>0</v>
      </c>
      <c r="R279" s="22" t="n">
        <v/>
      </c>
      <c r="S279" s="22" t="n">
        <v>0</v>
      </c>
      <c r="T279" s="22" t="n">
        <v>0</v>
      </c>
      <c r="U279" s="22" t="n">
        <v>0</v>
      </c>
      <c r="V279" s="17" t="n">
        <v>0</v>
      </c>
      <c r="W279" s="25" t="n">
        <v>0</v>
      </c>
      <c r="X279" s="25" t="n">
        <v>0</v>
      </c>
      <c r="Y279" s="25" t="n">
        <v>0</v>
      </c>
      <c r="Z279" s="22" t="n">
        <v>0</v>
      </c>
      <c r="AA279" s="22" t="n">
        <v>0</v>
      </c>
      <c r="AB279" s="25" t="n">
        <v>0</v>
      </c>
      <c r="AC279" s="25" t="n">
        <v>0</v>
      </c>
      <c r="AD279" s="25" t="n">
        <v>0</v>
      </c>
      <c r="AE279" s="21" t="n">
        <v>0</v>
      </c>
      <c r="AF279" s="22" t="n">
        <v>0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5" t="n">
        <v>216</v>
      </c>
      <c r="J280" s="15" t="n">
        <v>395</v>
      </c>
      <c r="K280" s="15" t="n">
        <v>-98</v>
      </c>
      <c r="L280" s="15" t="n">
        <v>90</v>
      </c>
      <c r="M280" s="19" t="n">
        <v/>
      </c>
      <c r="N280" s="19" t="n">
        <v/>
      </c>
      <c r="O280" s="19" t="n">
        <v/>
      </c>
      <c r="P280" s="19" t="n">
        <v>0.4030828366931012</v>
      </c>
      <c r="Q280" s="20" t="n">
        <v>0</v>
      </c>
      <c r="R280" s="20" t="n">
        <v/>
      </c>
      <c r="S280" s="20" t="n">
        <v>0</v>
      </c>
      <c r="T280" s="20" t="n">
        <v>0</v>
      </c>
      <c r="U280" s="20" t="n">
        <v>0</v>
      </c>
      <c r="V280" s="15" t="n">
        <v>0</v>
      </c>
      <c r="W280" s="24" t="n">
        <v>0</v>
      </c>
      <c r="X280" s="24" t="n">
        <v>0</v>
      </c>
      <c r="Y280" s="24" t="n">
        <v>0</v>
      </c>
      <c r="Z280" s="20" t="n">
        <v>0</v>
      </c>
      <c r="AA280" s="20" t="n">
        <v>0</v>
      </c>
      <c r="AB280" s="24" t="n">
        <v>0</v>
      </c>
      <c r="AC280" s="24" t="n">
        <v>0</v>
      </c>
      <c r="AD280" s="24" t="n">
        <v>0</v>
      </c>
      <c r="AE280" s="19" t="n">
        <v>0</v>
      </c>
      <c r="AF280" s="20" t="n">
        <v>0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17" t="n">
        <v>216</v>
      </c>
      <c r="J281" s="17" t="n">
        <v>395</v>
      </c>
      <c r="K281" s="17" t="n">
        <v>-99</v>
      </c>
      <c r="L281" s="17" t="n">
        <v>90</v>
      </c>
      <c r="M281" s="21" t="n">
        <v/>
      </c>
      <c r="N281" s="21" t="n">
        <v/>
      </c>
      <c r="O281" s="21" t="n">
        <v/>
      </c>
      <c r="P281" s="21" t="n">
        <v>0.4017675542674989</v>
      </c>
      <c r="Q281" s="22" t="n">
        <v>0</v>
      </c>
      <c r="R281" s="22" t="n">
        <v/>
      </c>
      <c r="S281" s="22" t="n">
        <v>0</v>
      </c>
      <c r="T281" s="22" t="n">
        <v>0</v>
      </c>
      <c r="U281" s="22" t="n">
        <v>0</v>
      </c>
      <c r="V281" s="17" t="n">
        <v>0</v>
      </c>
      <c r="W281" s="25" t="n">
        <v>0</v>
      </c>
      <c r="X281" s="25" t="n">
        <v>0</v>
      </c>
      <c r="Y281" s="25" t="n">
        <v>0</v>
      </c>
      <c r="Z281" s="22" t="n">
        <v>0</v>
      </c>
      <c r="AA281" s="22" t="n">
        <v>0</v>
      </c>
      <c r="AB281" s="25" t="n">
        <v>0</v>
      </c>
      <c r="AC281" s="25" t="n">
        <v>0</v>
      </c>
      <c r="AD281" s="25" t="n">
        <v>0</v>
      </c>
      <c r="AE281" s="21" t="n">
        <v>0</v>
      </c>
      <c r="AF281" s="22" t="n">
        <v>0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5" t="n">
        <v>216</v>
      </c>
      <c r="J282" s="15" t="n">
        <v>395</v>
      </c>
      <c r="K282" s="15" t="n">
        <v>-100</v>
      </c>
      <c r="L282" s="15" t="n">
        <v>90</v>
      </c>
      <c r="M282" s="19" t="n">
        <v/>
      </c>
      <c r="N282" s="19" t="n">
        <v/>
      </c>
      <c r="O282" s="19" t="n">
        <v/>
      </c>
      <c r="P282" s="19" t="n">
        <v>0.4004565636839242</v>
      </c>
      <c r="Q282" s="20" t="n">
        <v>0</v>
      </c>
      <c r="R282" s="20" t="n">
        <v/>
      </c>
      <c r="S282" s="20" t="n">
        <v>0</v>
      </c>
      <c r="T282" s="20" t="n">
        <v>0</v>
      </c>
      <c r="U282" s="20" t="n">
        <v>0</v>
      </c>
      <c r="V282" s="15" t="n">
        <v>0</v>
      </c>
      <c r="W282" s="24" t="n">
        <v>0</v>
      </c>
      <c r="X282" s="24" t="n">
        <v>0</v>
      </c>
      <c r="Y282" s="24" t="n">
        <v>0</v>
      </c>
      <c r="Z282" s="20" t="n">
        <v>0</v>
      </c>
      <c r="AA282" s="20" t="n">
        <v>0</v>
      </c>
      <c r="AB282" s="24" t="n">
        <v>0</v>
      </c>
      <c r="AC282" s="24" t="n">
        <v>0</v>
      </c>
      <c r="AD282" s="24" t="n">
        <v>0</v>
      </c>
      <c r="AE282" s="19" t="n">
        <v>0</v>
      </c>
      <c r="AF282" s="20" t="n">
        <v>0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17" t="n">
        <v>216</v>
      </c>
      <c r="J283" s="17" t="n">
        <v>395</v>
      </c>
      <c r="K283" s="17" t="n">
        <v>-101</v>
      </c>
      <c r="L283" s="17" t="n">
        <v>90</v>
      </c>
      <c r="M283" s="21" t="n">
        <v/>
      </c>
      <c r="N283" s="21" t="n">
        <v/>
      </c>
      <c r="O283" s="21" t="n">
        <v/>
      </c>
      <c r="P283" s="21" t="n">
        <v>0.3991498509378502</v>
      </c>
      <c r="Q283" s="22" t="n">
        <v>0</v>
      </c>
      <c r="R283" s="22" t="n">
        <v/>
      </c>
      <c r="S283" s="22" t="n">
        <v>0</v>
      </c>
      <c r="T283" s="22" t="n">
        <v>0</v>
      </c>
      <c r="U283" s="22" t="n">
        <v>0</v>
      </c>
      <c r="V283" s="17" t="n">
        <v>0</v>
      </c>
      <c r="W283" s="25" t="n">
        <v>0</v>
      </c>
      <c r="X283" s="25" t="n">
        <v>0</v>
      </c>
      <c r="Y283" s="25" t="n">
        <v>0</v>
      </c>
      <c r="Z283" s="22" t="n">
        <v>0</v>
      </c>
      <c r="AA283" s="22" t="n">
        <v>0</v>
      </c>
      <c r="AB283" s="25" t="n">
        <v>0</v>
      </c>
      <c r="AC283" s="25" t="n">
        <v>0</v>
      </c>
      <c r="AD283" s="25" t="n">
        <v>0</v>
      </c>
      <c r="AE283" s="21" t="n">
        <v>0</v>
      </c>
      <c r="AF283" s="22" t="n">
        <v>0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5" t="n">
        <v>216</v>
      </c>
      <c r="J284" s="15" t="n">
        <v>395</v>
      </c>
      <c r="K284" s="15" t="n">
        <v>-102</v>
      </c>
      <c r="L284" s="15" t="n">
        <v>90</v>
      </c>
      <c r="M284" s="19" t="n">
        <v/>
      </c>
      <c r="N284" s="19" t="n">
        <v/>
      </c>
      <c r="O284" s="19" t="n">
        <v/>
      </c>
      <c r="P284" s="19" t="n">
        <v>0.3978474020704477</v>
      </c>
      <c r="Q284" s="20" t="n">
        <v>0</v>
      </c>
      <c r="R284" s="20" t="n">
        <v/>
      </c>
      <c r="S284" s="20" t="n">
        <v>0</v>
      </c>
      <c r="T284" s="20" t="n">
        <v>0</v>
      </c>
      <c r="U284" s="20" t="n">
        <v>0</v>
      </c>
      <c r="V284" s="15" t="n">
        <v>0</v>
      </c>
      <c r="W284" s="24" t="n">
        <v>0</v>
      </c>
      <c r="X284" s="24" t="n">
        <v>0</v>
      </c>
      <c r="Y284" s="24" t="n">
        <v>0</v>
      </c>
      <c r="Z284" s="20" t="n">
        <v>0</v>
      </c>
      <c r="AA284" s="20" t="n">
        <v>0</v>
      </c>
      <c r="AB284" s="24" t="n">
        <v>0</v>
      </c>
      <c r="AC284" s="24" t="n">
        <v>0</v>
      </c>
      <c r="AD284" s="24" t="n">
        <v>0</v>
      </c>
      <c r="AE284" s="19" t="n">
        <v>0</v>
      </c>
      <c r="AF284" s="20" t="n">
        <v>0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17" t="n">
        <v>216</v>
      </c>
      <c r="J285" s="17" t="n">
        <v>395</v>
      </c>
      <c r="K285" s="17" t="n">
        <v>-103</v>
      </c>
      <c r="L285" s="17" t="n">
        <v>90</v>
      </c>
      <c r="M285" s="21" t="n">
        <v/>
      </c>
      <c r="N285" s="21" t="n">
        <v/>
      </c>
      <c r="O285" s="21" t="n">
        <v/>
      </c>
      <c r="P285" s="21" t="n">
        <v>0.3965492031684359</v>
      </c>
      <c r="Q285" s="22" t="n">
        <v>0</v>
      </c>
      <c r="R285" s="22" t="n">
        <v/>
      </c>
      <c r="S285" s="22" t="n">
        <v>0</v>
      </c>
      <c r="T285" s="22" t="n">
        <v>0</v>
      </c>
      <c r="U285" s="22" t="n">
        <v>0</v>
      </c>
      <c r="V285" s="17" t="n">
        <v>0</v>
      </c>
      <c r="W285" s="25" t="n">
        <v>0</v>
      </c>
      <c r="X285" s="25" t="n">
        <v>0</v>
      </c>
      <c r="Y285" s="25" t="n">
        <v>0</v>
      </c>
      <c r="Z285" s="22" t="n">
        <v>0</v>
      </c>
      <c r="AA285" s="22" t="n">
        <v>0</v>
      </c>
      <c r="AB285" s="25" t="n">
        <v>0</v>
      </c>
      <c r="AC285" s="25" t="n">
        <v>0</v>
      </c>
      <c r="AD285" s="25" t="n">
        <v>0</v>
      </c>
      <c r="AE285" s="21" t="n">
        <v>0</v>
      </c>
      <c r="AF285" s="22" t="n">
        <v>0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5" t="n">
        <v>216</v>
      </c>
      <c r="J286" s="15" t="n">
        <v>395</v>
      </c>
      <c r="K286" s="15" t="n">
        <v>-104</v>
      </c>
      <c r="L286" s="15" t="n">
        <v>90</v>
      </c>
      <c r="M286" s="19" t="n">
        <v/>
      </c>
      <c r="N286" s="19" t="n">
        <v/>
      </c>
      <c r="O286" s="19" t="n">
        <v/>
      </c>
      <c r="P286" s="19" t="n">
        <v>0.3952552403639339</v>
      </c>
      <c r="Q286" s="20" t="n">
        <v>0</v>
      </c>
      <c r="R286" s="20" t="n">
        <v/>
      </c>
      <c r="S286" s="20" t="n">
        <v>0</v>
      </c>
      <c r="T286" s="20" t="n">
        <v>0</v>
      </c>
      <c r="U286" s="20" t="n">
        <v>0</v>
      </c>
      <c r="V286" s="15" t="n">
        <v>0</v>
      </c>
      <c r="W286" s="24" t="n">
        <v>0</v>
      </c>
      <c r="X286" s="24" t="n">
        <v>0</v>
      </c>
      <c r="Y286" s="24" t="n">
        <v>0</v>
      </c>
      <c r="Z286" s="20" t="n">
        <v>0</v>
      </c>
      <c r="AA286" s="20" t="n">
        <v>0</v>
      </c>
      <c r="AB286" s="24" t="n">
        <v>0</v>
      </c>
      <c r="AC286" s="24" t="n">
        <v>0</v>
      </c>
      <c r="AD286" s="24" t="n">
        <v>0</v>
      </c>
      <c r="AE286" s="19" t="n">
        <v>0</v>
      </c>
      <c r="AF286" s="20" t="n">
        <v>0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17" t="n">
        <v>216</v>
      </c>
      <c r="J287" s="17" t="n">
        <v>395</v>
      </c>
      <c r="K287" s="17" t="n">
        <v>-105</v>
      </c>
      <c r="L287" s="17" t="n">
        <v>90</v>
      </c>
      <c r="M287" s="21" t="n">
        <v/>
      </c>
      <c r="N287" s="21" t="n">
        <v/>
      </c>
      <c r="O287" s="21" t="n">
        <v/>
      </c>
      <c r="P287" s="21" t="n">
        <v>0.3939654998343124</v>
      </c>
      <c r="Q287" s="22" t="n">
        <v>0</v>
      </c>
      <c r="R287" s="22" t="n">
        <v/>
      </c>
      <c r="S287" s="22" t="n">
        <v>0</v>
      </c>
      <c r="T287" s="22" t="n">
        <v>0</v>
      </c>
      <c r="U287" s="22" t="n">
        <v>0</v>
      </c>
      <c r="V287" s="17" t="n">
        <v>0</v>
      </c>
      <c r="W287" s="25" t="n">
        <v>0</v>
      </c>
      <c r="X287" s="25" t="n">
        <v>0</v>
      </c>
      <c r="Y287" s="25" t="n">
        <v>0</v>
      </c>
      <c r="Z287" s="22" t="n">
        <v>0</v>
      </c>
      <c r="AA287" s="22" t="n">
        <v>0</v>
      </c>
      <c r="AB287" s="25" t="n">
        <v>0</v>
      </c>
      <c r="AC287" s="25" t="n">
        <v>0</v>
      </c>
      <c r="AD287" s="25" t="n">
        <v>0</v>
      </c>
      <c r="AE287" s="21" t="n">
        <v>0</v>
      </c>
      <c r="AF287" s="22" t="n">
        <v>0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5" t="n">
        <v>216</v>
      </c>
      <c r="J288" s="15" t="n">
        <v>395</v>
      </c>
      <c r="K288" s="15" t="n">
        <v>-106</v>
      </c>
      <c r="L288" s="15" t="n">
        <v>90</v>
      </c>
      <c r="M288" s="19" t="n">
        <v/>
      </c>
      <c r="N288" s="19" t="n">
        <v/>
      </c>
      <c r="O288" s="19" t="n">
        <v/>
      </c>
      <c r="P288" s="19" t="n">
        <v>0.3926799678020463</v>
      </c>
      <c r="Q288" s="20" t="n">
        <v>0</v>
      </c>
      <c r="R288" s="20" t="n">
        <v/>
      </c>
      <c r="S288" s="20" t="n">
        <v>0</v>
      </c>
      <c r="T288" s="20" t="n">
        <v>0</v>
      </c>
      <c r="U288" s="20" t="n">
        <v>0</v>
      </c>
      <c r="V288" s="15" t="n">
        <v>0</v>
      </c>
      <c r="W288" s="24" t="n">
        <v>0</v>
      </c>
      <c r="X288" s="24" t="n">
        <v>0</v>
      </c>
      <c r="Y288" s="24" t="n">
        <v>0</v>
      </c>
      <c r="Z288" s="20" t="n">
        <v>0</v>
      </c>
      <c r="AA288" s="20" t="n">
        <v>0</v>
      </c>
      <c r="AB288" s="24" t="n">
        <v>0</v>
      </c>
      <c r="AC288" s="24" t="n">
        <v>0</v>
      </c>
      <c r="AD288" s="24" t="n">
        <v>0</v>
      </c>
      <c r="AE288" s="19" t="n">
        <v>0</v>
      </c>
      <c r="AF288" s="20" t="n">
        <v>0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17" t="n">
        <v>216</v>
      </c>
      <c r="J289" s="17" t="n">
        <v>395</v>
      </c>
      <c r="K289" s="17" t="n">
        <v>-107</v>
      </c>
      <c r="L289" s="17" t="n">
        <v>90</v>
      </c>
      <c r="M289" s="21" t="n">
        <v/>
      </c>
      <c r="N289" s="21" t="n">
        <v/>
      </c>
      <c r="O289" s="21" t="n">
        <v/>
      </c>
      <c r="P289" s="21" t="n">
        <v>0.3913986305345671</v>
      </c>
      <c r="Q289" s="22" t="n">
        <v>0</v>
      </c>
      <c r="R289" s="22" t="n">
        <v/>
      </c>
      <c r="S289" s="22" t="n">
        <v>0</v>
      </c>
      <c r="T289" s="22" t="n">
        <v>0</v>
      </c>
      <c r="U289" s="22" t="n">
        <v>0</v>
      </c>
      <c r="V289" s="17" t="n">
        <v>0</v>
      </c>
      <c r="W289" s="25" t="n">
        <v>0</v>
      </c>
      <c r="X289" s="25" t="n">
        <v>0</v>
      </c>
      <c r="Y289" s="25" t="n">
        <v>0</v>
      </c>
      <c r="Z289" s="22" t="n">
        <v>0</v>
      </c>
      <c r="AA289" s="22" t="n">
        <v>0</v>
      </c>
      <c r="AB289" s="25" t="n">
        <v>0</v>
      </c>
      <c r="AC289" s="25" t="n">
        <v>0</v>
      </c>
      <c r="AD289" s="25" t="n">
        <v>0</v>
      </c>
      <c r="AE289" s="21" t="n">
        <v>0</v>
      </c>
      <c r="AF289" s="22" t="n">
        <v>0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5" t="n">
        <v>216</v>
      </c>
      <c r="J290" s="15" t="n">
        <v>395</v>
      </c>
      <c r="K290" s="15" t="n">
        <v>-108</v>
      </c>
      <c r="L290" s="15" t="n">
        <v>90</v>
      </c>
      <c r="M290" s="19" t="n">
        <v/>
      </c>
      <c r="N290" s="19" t="n">
        <v/>
      </c>
      <c r="O290" s="19" t="n">
        <v/>
      </c>
      <c r="P290" s="19" t="n">
        <v>0.3901214743441166</v>
      </c>
      <c r="Q290" s="20" t="n">
        <v>0</v>
      </c>
      <c r="R290" s="20" t="n">
        <v/>
      </c>
      <c r="S290" s="20" t="n">
        <v>0</v>
      </c>
      <c r="T290" s="20" t="n">
        <v>0</v>
      </c>
      <c r="U290" s="20" t="n">
        <v>0</v>
      </c>
      <c r="V290" s="15" t="n">
        <v>0</v>
      </c>
      <c r="W290" s="24" t="n">
        <v>0</v>
      </c>
      <c r="X290" s="24" t="n">
        <v>0</v>
      </c>
      <c r="Y290" s="24" t="n">
        <v>0</v>
      </c>
      <c r="Z290" s="20" t="n">
        <v>0</v>
      </c>
      <c r="AA290" s="20" t="n">
        <v>0</v>
      </c>
      <c r="AB290" s="24" t="n">
        <v>0</v>
      </c>
      <c r="AC290" s="24" t="n">
        <v>0</v>
      </c>
      <c r="AD290" s="24" t="n">
        <v>0</v>
      </c>
      <c r="AE290" s="19" t="n">
        <v>0</v>
      </c>
      <c r="AF290" s="20" t="n">
        <v>0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17" t="n">
        <v>216</v>
      </c>
      <c r="J291" s="17" t="n">
        <v>395</v>
      </c>
      <c r="K291" s="17" t="n">
        <v>-109</v>
      </c>
      <c r="L291" s="17" t="n">
        <v>90</v>
      </c>
      <c r="M291" s="21" t="n">
        <v/>
      </c>
      <c r="N291" s="21" t="n">
        <v/>
      </c>
      <c r="O291" s="21" t="n">
        <v/>
      </c>
      <c r="P291" s="21" t="n">
        <v>0.3888484855876007</v>
      </c>
      <c r="Q291" s="22" t="n">
        <v>0</v>
      </c>
      <c r="R291" s="22" t="n">
        <v/>
      </c>
      <c r="S291" s="22" t="n">
        <v>0</v>
      </c>
      <c r="T291" s="22" t="n">
        <v>0</v>
      </c>
      <c r="U291" s="22" t="n">
        <v>0</v>
      </c>
      <c r="V291" s="17" t="n">
        <v>0</v>
      </c>
      <c r="W291" s="25" t="n">
        <v>0</v>
      </c>
      <c r="X291" s="25" t="n">
        <v>0</v>
      </c>
      <c r="Y291" s="25" t="n">
        <v>0</v>
      </c>
      <c r="Z291" s="22" t="n">
        <v>0</v>
      </c>
      <c r="AA291" s="22" t="n">
        <v>0</v>
      </c>
      <c r="AB291" s="25" t="n">
        <v>0</v>
      </c>
      <c r="AC291" s="25" t="n">
        <v>0</v>
      </c>
      <c r="AD291" s="25" t="n">
        <v>0</v>
      </c>
      <c r="AE291" s="21" t="n">
        <v>0</v>
      </c>
      <c r="AF291" s="22" t="n">
        <v>0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5" t="n">
        <v>216</v>
      </c>
      <c r="J292" s="15" t="n">
        <v>395</v>
      </c>
      <c r="K292" s="15" t="n">
        <v>-110</v>
      </c>
      <c r="L292" s="15" t="n">
        <v>90</v>
      </c>
      <c r="M292" s="19" t="n">
        <v/>
      </c>
      <c r="N292" s="19" t="n">
        <v/>
      </c>
      <c r="O292" s="19" t="n">
        <v/>
      </c>
      <c r="P292" s="19" t="n">
        <v>0.3875796506664432</v>
      </c>
      <c r="Q292" s="20" t="n">
        <v>0</v>
      </c>
      <c r="R292" s="20" t="n">
        <v/>
      </c>
      <c r="S292" s="20" t="n">
        <v>0</v>
      </c>
      <c r="T292" s="20" t="n">
        <v>0</v>
      </c>
      <c r="U292" s="20" t="n">
        <v>0</v>
      </c>
      <c r="V292" s="15" t="n">
        <v>0</v>
      </c>
      <c r="W292" s="24" t="n">
        <v>0</v>
      </c>
      <c r="X292" s="24" t="n">
        <v>0</v>
      </c>
      <c r="Y292" s="24" t="n">
        <v>0</v>
      </c>
      <c r="Z292" s="20" t="n">
        <v>0</v>
      </c>
      <c r="AA292" s="20" t="n">
        <v>0</v>
      </c>
      <c r="AB292" s="24" t="n">
        <v>0</v>
      </c>
      <c r="AC292" s="24" t="n">
        <v>0</v>
      </c>
      <c r="AD292" s="24" t="n">
        <v>0</v>
      </c>
      <c r="AE292" s="19" t="n">
        <v>0</v>
      </c>
      <c r="AF292" s="20" t="n">
        <v>0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17" t="n">
        <v>216</v>
      </c>
      <c r="J293" s="17" t="n">
        <v>395</v>
      </c>
      <c r="K293" s="17" t="n">
        <v>-111</v>
      </c>
      <c r="L293" s="17" t="n">
        <v>90</v>
      </c>
      <c r="M293" s="21" t="n">
        <v/>
      </c>
      <c r="N293" s="21" t="n">
        <v/>
      </c>
      <c r="O293" s="21" t="n">
        <v/>
      </c>
      <c r="P293" s="21" t="n">
        <v>0.3863149560264411</v>
      </c>
      <c r="Q293" s="22" t="n">
        <v>0</v>
      </c>
      <c r="R293" s="22" t="n">
        <v/>
      </c>
      <c r="S293" s="22" t="n">
        <v>0</v>
      </c>
      <c r="T293" s="22" t="n">
        <v>0</v>
      </c>
      <c r="U293" s="22" t="n">
        <v>0</v>
      </c>
      <c r="V293" s="17" t="n">
        <v>0</v>
      </c>
      <c r="W293" s="25" t="n">
        <v>0</v>
      </c>
      <c r="X293" s="25" t="n">
        <v>0</v>
      </c>
      <c r="Y293" s="25" t="n">
        <v>0</v>
      </c>
      <c r="Z293" s="22" t="n">
        <v>0</v>
      </c>
      <c r="AA293" s="22" t="n">
        <v>0</v>
      </c>
      <c r="AB293" s="25" t="n">
        <v>0</v>
      </c>
      <c r="AC293" s="25" t="n">
        <v>0</v>
      </c>
      <c r="AD293" s="25" t="n">
        <v>0</v>
      </c>
      <c r="AE293" s="21" t="n">
        <v>0</v>
      </c>
      <c r="AF293" s="22" t="n">
        <v>0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5" t="n">
        <v>216</v>
      </c>
      <c r="J294" s="15" t="n">
        <v>395</v>
      </c>
      <c r="K294" s="15" t="n">
        <v>-112</v>
      </c>
      <c r="L294" s="15" t="n">
        <v>90</v>
      </c>
      <c r="M294" s="19" t="n">
        <v/>
      </c>
      <c r="N294" s="19" t="n">
        <v/>
      </c>
      <c r="O294" s="19" t="n">
        <v/>
      </c>
      <c r="P294" s="19" t="n">
        <v>0.3850543881576192</v>
      </c>
      <c r="Q294" s="20" t="n">
        <v>0</v>
      </c>
      <c r="R294" s="20" t="n">
        <v/>
      </c>
      <c r="S294" s="20" t="n">
        <v>0</v>
      </c>
      <c r="T294" s="20" t="n">
        <v>0</v>
      </c>
      <c r="U294" s="20" t="n">
        <v>0</v>
      </c>
      <c r="V294" s="15" t="n">
        <v>0</v>
      </c>
      <c r="W294" s="24" t="n">
        <v>0</v>
      </c>
      <c r="X294" s="24" t="n">
        <v>0</v>
      </c>
      <c r="Y294" s="24" t="n">
        <v>0</v>
      </c>
      <c r="Z294" s="20" t="n">
        <v>0</v>
      </c>
      <c r="AA294" s="20" t="n">
        <v>0</v>
      </c>
      <c r="AB294" s="24" t="n">
        <v>0</v>
      </c>
      <c r="AC294" s="24" t="n">
        <v>0</v>
      </c>
      <c r="AD294" s="24" t="n">
        <v>0</v>
      </c>
      <c r="AE294" s="19" t="n">
        <v>0</v>
      </c>
      <c r="AF294" s="20" t="n">
        <v>0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17" t="n">
        <v>216</v>
      </c>
      <c r="J295" s="17" t="n">
        <v>395</v>
      </c>
      <c r="K295" s="17" t="n">
        <v>-113</v>
      </c>
      <c r="L295" s="17" t="n">
        <v>90</v>
      </c>
      <c r="M295" s="21" t="n">
        <v/>
      </c>
      <c r="N295" s="21" t="n">
        <v/>
      </c>
      <c r="O295" s="21" t="n">
        <v/>
      </c>
      <c r="P295" s="21" t="n">
        <v>0.3837979335940865</v>
      </c>
      <c r="Q295" s="22" t="n">
        <v>0</v>
      </c>
      <c r="R295" s="22" t="n">
        <v/>
      </c>
      <c r="S295" s="22" t="n">
        <v>0</v>
      </c>
      <c r="T295" s="22" t="n">
        <v>0</v>
      </c>
      <c r="U295" s="22" t="n">
        <v>0</v>
      </c>
      <c r="V295" s="17" t="n">
        <v>0</v>
      </c>
      <c r="W295" s="25" t="n">
        <v>0</v>
      </c>
      <c r="X295" s="25" t="n">
        <v>0</v>
      </c>
      <c r="Y295" s="25" t="n">
        <v>0</v>
      </c>
      <c r="Z295" s="22" t="n">
        <v>0</v>
      </c>
      <c r="AA295" s="22" t="n">
        <v>0</v>
      </c>
      <c r="AB295" s="25" t="n">
        <v>0</v>
      </c>
      <c r="AC295" s="25" t="n">
        <v>0</v>
      </c>
      <c r="AD295" s="25" t="n">
        <v>0</v>
      </c>
      <c r="AE295" s="21" t="n">
        <v>0</v>
      </c>
      <c r="AF295" s="22" t="n">
        <v>0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5" t="n">
        <v>216</v>
      </c>
      <c r="J296" s="15" t="n">
        <v>395</v>
      </c>
      <c r="K296" s="15" t="n">
        <v>-114</v>
      </c>
      <c r="L296" s="15" t="n">
        <v>90</v>
      </c>
      <c r="M296" s="19" t="n">
        <v/>
      </c>
      <c r="N296" s="19" t="n">
        <v/>
      </c>
      <c r="O296" s="19" t="n">
        <v/>
      </c>
      <c r="P296" s="19" t="n">
        <v>0.3825455789138918</v>
      </c>
      <c r="Q296" s="20" t="n">
        <v>0</v>
      </c>
      <c r="R296" s="20" t="n">
        <v/>
      </c>
      <c r="S296" s="20" t="n">
        <v>0</v>
      </c>
      <c r="T296" s="20" t="n">
        <v>0</v>
      </c>
      <c r="U296" s="20" t="n">
        <v>0</v>
      </c>
      <c r="V296" s="15" t="n">
        <v>0</v>
      </c>
      <c r="W296" s="24" t="n">
        <v>0</v>
      </c>
      <c r="X296" s="24" t="n">
        <v>0</v>
      </c>
      <c r="Y296" s="24" t="n">
        <v>0</v>
      </c>
      <c r="Z296" s="20" t="n">
        <v>0</v>
      </c>
      <c r="AA296" s="20" t="n">
        <v>0</v>
      </c>
      <c r="AB296" s="24" t="n">
        <v>0</v>
      </c>
      <c r="AC296" s="24" t="n">
        <v>0</v>
      </c>
      <c r="AD296" s="24" t="n">
        <v>0</v>
      </c>
      <c r="AE296" s="19" t="n">
        <v>0</v>
      </c>
      <c r="AF296" s="20" t="n">
        <v>0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17" t="n">
        <v>216</v>
      </c>
      <c r="J297" s="17" t="n">
        <v>395</v>
      </c>
      <c r="K297" s="17" t="n">
        <v>-115</v>
      </c>
      <c r="L297" s="17" t="n">
        <v>90</v>
      </c>
      <c r="M297" s="21" t="n">
        <v/>
      </c>
      <c r="N297" s="21" t="n">
        <v/>
      </c>
      <c r="O297" s="21" t="n">
        <v/>
      </c>
      <c r="P297" s="21" t="n">
        <v>0.3812973107388805</v>
      </c>
      <c r="Q297" s="22" t="n">
        <v>0</v>
      </c>
      <c r="R297" s="22" t="n">
        <v/>
      </c>
      <c r="S297" s="22" t="n">
        <v>0</v>
      </c>
      <c r="T297" s="22" t="n">
        <v>0</v>
      </c>
      <c r="U297" s="22" t="n">
        <v>0</v>
      </c>
      <c r="V297" s="17" t="n">
        <v>0</v>
      </c>
      <c r="W297" s="25" t="n">
        <v>0</v>
      </c>
      <c r="X297" s="25" t="n">
        <v>0</v>
      </c>
      <c r="Y297" s="25" t="n">
        <v>0</v>
      </c>
      <c r="Z297" s="22" t="n">
        <v>0</v>
      </c>
      <c r="AA297" s="22" t="n">
        <v>0</v>
      </c>
      <c r="AB297" s="25" t="n">
        <v>0</v>
      </c>
      <c r="AC297" s="25" t="n">
        <v>0</v>
      </c>
      <c r="AD297" s="25" t="n">
        <v>0</v>
      </c>
      <c r="AE297" s="21" t="n">
        <v>0</v>
      </c>
      <c r="AF297" s="22" t="n">
        <v>0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5" t="n">
        <v>216</v>
      </c>
      <c r="J298" s="15" t="n">
        <v>395</v>
      </c>
      <c r="K298" s="15" t="n">
        <v>-116</v>
      </c>
      <c r="L298" s="15" t="n">
        <v>90</v>
      </c>
      <c r="M298" s="19" t="n">
        <v/>
      </c>
      <c r="N298" s="19" t="n">
        <v/>
      </c>
      <c r="O298" s="19" t="n">
        <v/>
      </c>
      <c r="P298" s="19" t="n">
        <v>0.3800531157345516</v>
      </c>
      <c r="Q298" s="20" t="n">
        <v>0</v>
      </c>
      <c r="R298" s="20" t="n">
        <v/>
      </c>
      <c r="S298" s="20" t="n">
        <v>0</v>
      </c>
      <c r="T298" s="20" t="n">
        <v>0</v>
      </c>
      <c r="U298" s="20" t="n">
        <v>0</v>
      </c>
      <c r="V298" s="15" t="n">
        <v>0</v>
      </c>
      <c r="W298" s="24" t="n">
        <v>0</v>
      </c>
      <c r="X298" s="24" t="n">
        <v>0</v>
      </c>
      <c r="Y298" s="24" t="n">
        <v>0</v>
      </c>
      <c r="Z298" s="20" t="n">
        <v>0</v>
      </c>
      <c r="AA298" s="20" t="n">
        <v>0</v>
      </c>
      <c r="AB298" s="24" t="n">
        <v>0</v>
      </c>
      <c r="AC298" s="24" t="n">
        <v>0</v>
      </c>
      <c r="AD298" s="24" t="n">
        <v>0</v>
      </c>
      <c r="AE298" s="19" t="n">
        <v>0</v>
      </c>
      <c r="AF298" s="20" t="n">
        <v>0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17" t="n">
        <v>216</v>
      </c>
      <c r="J299" s="17" t="n">
        <v>395</v>
      </c>
      <c r="K299" s="17" t="n">
        <v>-117</v>
      </c>
      <c r="L299" s="17" t="n">
        <v>90</v>
      </c>
      <c r="M299" s="21" t="n">
        <v/>
      </c>
      <c r="N299" s="21" t="n">
        <v/>
      </c>
      <c r="O299" s="21" t="n">
        <v/>
      </c>
      <c r="P299" s="21" t="n">
        <v>0.3788129806099156</v>
      </c>
      <c r="Q299" s="22" t="n">
        <v>0</v>
      </c>
      <c r="R299" s="22" t="n">
        <v/>
      </c>
      <c r="S299" s="22" t="n">
        <v>0</v>
      </c>
      <c r="T299" s="22" t="n">
        <v>0</v>
      </c>
      <c r="U299" s="22" t="n">
        <v>0</v>
      </c>
      <c r="V299" s="17" t="n">
        <v>0</v>
      </c>
      <c r="W299" s="25" t="n">
        <v>0</v>
      </c>
      <c r="X299" s="25" t="n">
        <v>0</v>
      </c>
      <c r="Y299" s="25" t="n">
        <v>0</v>
      </c>
      <c r="Z299" s="22" t="n">
        <v>0</v>
      </c>
      <c r="AA299" s="22" t="n">
        <v>0</v>
      </c>
      <c r="AB299" s="25" t="n">
        <v>0</v>
      </c>
      <c r="AC299" s="25" t="n">
        <v>0</v>
      </c>
      <c r="AD299" s="25" t="n">
        <v>0</v>
      </c>
      <c r="AE299" s="21" t="n">
        <v>0</v>
      </c>
      <c r="AF299" s="22" t="n">
        <v>0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5" t="n">
        <v>216</v>
      </c>
      <c r="J300" s="15" t="n">
        <v>395</v>
      </c>
      <c r="K300" s="15" t="n">
        <v>-118</v>
      </c>
      <c r="L300" s="15" t="n">
        <v>90</v>
      </c>
      <c r="M300" s="19" t="n">
        <v/>
      </c>
      <c r="N300" s="19" t="n">
        <v/>
      </c>
      <c r="O300" s="19" t="n">
        <v/>
      </c>
      <c r="P300" s="19" t="n">
        <v>0.377576892117352</v>
      </c>
      <c r="Q300" s="20" t="n">
        <v>0</v>
      </c>
      <c r="R300" s="20" t="n">
        <v/>
      </c>
      <c r="S300" s="20" t="n">
        <v>0</v>
      </c>
      <c r="T300" s="20" t="n">
        <v>0</v>
      </c>
      <c r="U300" s="20" t="n">
        <v>0</v>
      </c>
      <c r="V300" s="15" t="n">
        <v>0</v>
      </c>
      <c r="W300" s="24" t="n">
        <v>0</v>
      </c>
      <c r="X300" s="24" t="n">
        <v>0</v>
      </c>
      <c r="Y300" s="24" t="n">
        <v>0</v>
      </c>
      <c r="Z300" s="20" t="n">
        <v>0</v>
      </c>
      <c r="AA300" s="20" t="n">
        <v>0</v>
      </c>
      <c r="AB300" s="24" t="n">
        <v>0</v>
      </c>
      <c r="AC300" s="24" t="n">
        <v>0</v>
      </c>
      <c r="AD300" s="24" t="n">
        <v>0</v>
      </c>
      <c r="AE300" s="19" t="n">
        <v>0</v>
      </c>
      <c r="AF300" s="20" t="n">
        <v>0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17" t="n">
        <v>216</v>
      </c>
      <c r="J301" s="17" t="n">
        <v>395</v>
      </c>
      <c r="K301" s="17" t="n">
        <v>-119</v>
      </c>
      <c r="L301" s="17" t="n">
        <v>90</v>
      </c>
      <c r="M301" s="21" t="n">
        <v/>
      </c>
      <c r="N301" s="21" t="n">
        <v/>
      </c>
      <c r="O301" s="21" t="n">
        <v/>
      </c>
      <c r="P301" s="21" t="n">
        <v>0.3763448370524681</v>
      </c>
      <c r="Q301" s="22" t="n">
        <v>0</v>
      </c>
      <c r="R301" s="22" t="n">
        <v/>
      </c>
      <c r="S301" s="22" t="n">
        <v>0</v>
      </c>
      <c r="T301" s="22" t="n">
        <v>0</v>
      </c>
      <c r="U301" s="22" t="n">
        <v>0</v>
      </c>
      <c r="V301" s="17" t="n">
        <v>0</v>
      </c>
      <c r="W301" s="25" t="n">
        <v>0</v>
      </c>
      <c r="X301" s="25" t="n">
        <v>0</v>
      </c>
      <c r="Y301" s="25" t="n">
        <v>0</v>
      </c>
      <c r="Z301" s="22" t="n">
        <v>0</v>
      </c>
      <c r="AA301" s="22" t="n">
        <v>0</v>
      </c>
      <c r="AB301" s="25" t="n">
        <v>0</v>
      </c>
      <c r="AC301" s="25" t="n">
        <v>0</v>
      </c>
      <c r="AD301" s="25" t="n">
        <v>0</v>
      </c>
      <c r="AE301" s="21" t="n">
        <v>0</v>
      </c>
      <c r="AF301" s="22" t="n">
        <v>0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5" t="n">
        <v>216</v>
      </c>
      <c r="J302" s="15" t="n">
        <v>395</v>
      </c>
      <c r="K302" s="15" t="n">
        <v>-120</v>
      </c>
      <c r="L302" s="15" t="n">
        <v>90</v>
      </c>
      <c r="M302" s="19" t="n">
        <v/>
      </c>
      <c r="N302" s="19" t="n">
        <v/>
      </c>
      <c r="O302" s="19" t="n">
        <v/>
      </c>
      <c r="P302" s="19" t="n">
        <v>0.3751168022539581</v>
      </c>
      <c r="Q302" s="20" t="n">
        <v>0</v>
      </c>
      <c r="R302" s="20" t="n">
        <v/>
      </c>
      <c r="S302" s="20" t="n">
        <v>0</v>
      </c>
      <c r="T302" s="20" t="n">
        <v>0</v>
      </c>
      <c r="U302" s="20" t="n">
        <v>0</v>
      </c>
      <c r="V302" s="15" t="n">
        <v>0</v>
      </c>
      <c r="W302" s="24" t="n">
        <v>0</v>
      </c>
      <c r="X302" s="24" t="n">
        <v>0</v>
      </c>
      <c r="Y302" s="24" t="n">
        <v>0</v>
      </c>
      <c r="Z302" s="20" t="n">
        <v>0</v>
      </c>
      <c r="AA302" s="20" t="n">
        <v>0</v>
      </c>
      <c r="AB302" s="24" t="n">
        <v>0</v>
      </c>
      <c r="AC302" s="24" t="n">
        <v>0</v>
      </c>
      <c r="AD302" s="24" t="n">
        <v>0</v>
      </c>
      <c r="AE302" s="19" t="n">
        <v>0</v>
      </c>
      <c r="AF302" s="20" t="n">
        <v>0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17" t="n">
        <v>216</v>
      </c>
      <c r="J303" s="17" t="n">
        <v>395</v>
      </c>
      <c r="K303" s="17" t="n">
        <v>-121</v>
      </c>
      <c r="L303" s="17" t="n">
        <v>90</v>
      </c>
      <c r="M303" s="21" t="n">
        <v/>
      </c>
      <c r="N303" s="21" t="n">
        <v/>
      </c>
      <c r="O303" s="21" t="n">
        <v/>
      </c>
      <c r="P303" s="21" t="n">
        <v>0.373892774603462</v>
      </c>
      <c r="Q303" s="22" t="n">
        <v>0</v>
      </c>
      <c r="R303" s="22" t="n">
        <v/>
      </c>
      <c r="S303" s="22" t="n">
        <v>0</v>
      </c>
      <c r="T303" s="22" t="n">
        <v>0</v>
      </c>
      <c r="U303" s="22" t="n">
        <v>0</v>
      </c>
      <c r="V303" s="17" t="n">
        <v>0</v>
      </c>
      <c r="W303" s="25" t="n">
        <v>0</v>
      </c>
      <c r="X303" s="25" t="n">
        <v>0</v>
      </c>
      <c r="Y303" s="25" t="n">
        <v>0</v>
      </c>
      <c r="Z303" s="22" t="n">
        <v>0</v>
      </c>
      <c r="AA303" s="22" t="n">
        <v>0</v>
      </c>
      <c r="AB303" s="25" t="n">
        <v>0</v>
      </c>
      <c r="AC303" s="25" t="n">
        <v>0</v>
      </c>
      <c r="AD303" s="25" t="n">
        <v>0</v>
      </c>
      <c r="AE303" s="21" t="n">
        <v>0</v>
      </c>
      <c r="AF303" s="22" t="n">
        <v>0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5" t="n">
        <v>216</v>
      </c>
      <c r="J304" s="15" t="n">
        <v>395</v>
      </c>
      <c r="K304" s="15" t="n">
        <v>-122</v>
      </c>
      <c r="L304" s="15" t="n">
        <v>90</v>
      </c>
      <c r="M304" s="19" t="n">
        <v/>
      </c>
      <c r="N304" s="19" t="n">
        <v/>
      </c>
      <c r="O304" s="19" t="n">
        <v/>
      </c>
      <c r="P304" s="19" t="n">
        <v>0.372672741025426</v>
      </c>
      <c r="Q304" s="20" t="n">
        <v>0</v>
      </c>
      <c r="R304" s="20" t="n">
        <v/>
      </c>
      <c r="S304" s="20" t="n">
        <v>0</v>
      </c>
      <c r="T304" s="20" t="n">
        <v>0</v>
      </c>
      <c r="U304" s="20" t="n">
        <v>0</v>
      </c>
      <c r="V304" s="15" t="n">
        <v>0</v>
      </c>
      <c r="W304" s="24" t="n">
        <v>0</v>
      </c>
      <c r="X304" s="24" t="n">
        <v>0</v>
      </c>
      <c r="Y304" s="24" t="n">
        <v>0</v>
      </c>
      <c r="Z304" s="20" t="n">
        <v>0</v>
      </c>
      <c r="AA304" s="20" t="n">
        <v>0</v>
      </c>
      <c r="AB304" s="24" t="n">
        <v>0</v>
      </c>
      <c r="AC304" s="24" t="n">
        <v>0</v>
      </c>
      <c r="AD304" s="24" t="n">
        <v>0</v>
      </c>
      <c r="AE304" s="19" t="n">
        <v>0</v>
      </c>
      <c r="AF304" s="20" t="n">
        <v>0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17" t="n">
        <v>216</v>
      </c>
      <c r="J305" s="17" t="n">
        <v>395</v>
      </c>
      <c r="K305" s="17" t="n">
        <v>-123</v>
      </c>
      <c r="L305" s="17" t="n">
        <v>90</v>
      </c>
      <c r="M305" s="21" t="n">
        <v/>
      </c>
      <c r="N305" s="21" t="n">
        <v/>
      </c>
      <c r="O305" s="21" t="n">
        <v/>
      </c>
      <c r="P305" s="21" t="n">
        <v>0.3714566884869623</v>
      </c>
      <c r="Q305" s="22" t="n">
        <v>0</v>
      </c>
      <c r="R305" s="22" t="n">
        <v/>
      </c>
      <c r="S305" s="22" t="n">
        <v>0</v>
      </c>
      <c r="T305" s="22" t="n">
        <v>0</v>
      </c>
      <c r="U305" s="22" t="n">
        <v>0</v>
      </c>
      <c r="V305" s="17" t="n">
        <v>0</v>
      </c>
      <c r="W305" s="25" t="n">
        <v>0</v>
      </c>
      <c r="X305" s="25" t="n">
        <v>0</v>
      </c>
      <c r="Y305" s="25" t="n">
        <v>0</v>
      </c>
      <c r="Z305" s="22" t="n">
        <v>0</v>
      </c>
      <c r="AA305" s="22" t="n">
        <v>0</v>
      </c>
      <c r="AB305" s="25" t="n">
        <v>0</v>
      </c>
      <c r="AC305" s="25" t="n">
        <v>0</v>
      </c>
      <c r="AD305" s="25" t="n">
        <v>0</v>
      </c>
      <c r="AE305" s="21" t="n">
        <v>0</v>
      </c>
      <c r="AF305" s="22" t="n">
        <v>0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5" t="n">
        <v>216</v>
      </c>
      <c r="J306" s="15" t="n">
        <v>395</v>
      </c>
      <c r="K306" s="15" t="n">
        <v>-124</v>
      </c>
      <c r="L306" s="15" t="n">
        <v>90</v>
      </c>
      <c r="M306" s="19" t="n">
        <v/>
      </c>
      <c r="N306" s="19" t="n">
        <v/>
      </c>
      <c r="O306" s="19" t="n">
        <v/>
      </c>
      <c r="P306" s="19" t="n">
        <v>0.3702446039977105</v>
      </c>
      <c r="Q306" s="20" t="n">
        <v>0</v>
      </c>
      <c r="R306" s="20" t="n">
        <v/>
      </c>
      <c r="S306" s="20" t="n">
        <v>0</v>
      </c>
      <c r="T306" s="20" t="n">
        <v>0</v>
      </c>
      <c r="U306" s="20" t="n">
        <v>0</v>
      </c>
      <c r="V306" s="15" t="n">
        <v>0</v>
      </c>
      <c r="W306" s="24" t="n">
        <v>0</v>
      </c>
      <c r="X306" s="24" t="n">
        <v>0</v>
      </c>
      <c r="Y306" s="24" t="n">
        <v>0</v>
      </c>
      <c r="Z306" s="20" t="n">
        <v>0</v>
      </c>
      <c r="AA306" s="20" t="n">
        <v>0</v>
      </c>
      <c r="AB306" s="24" t="n">
        <v>0</v>
      </c>
      <c r="AC306" s="24" t="n">
        <v>0</v>
      </c>
      <c r="AD306" s="24" t="n">
        <v>0</v>
      </c>
      <c r="AE306" s="19" t="n">
        <v>0</v>
      </c>
      <c r="AF306" s="20" t="n">
        <v>0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17" t="n">
        <v>216</v>
      </c>
      <c r="J307" s="17" t="n">
        <v>395</v>
      </c>
      <c r="K307" s="17" t="n">
        <v>-125</v>
      </c>
      <c r="L307" s="17" t="n">
        <v>90</v>
      </c>
      <c r="M307" s="21" t="n">
        <v/>
      </c>
      <c r="N307" s="21" t="n">
        <v/>
      </c>
      <c r="O307" s="21" t="n">
        <v/>
      </c>
      <c r="P307" s="21" t="n">
        <v>0.3690364746096983</v>
      </c>
      <c r="Q307" s="22" t="n">
        <v>0</v>
      </c>
      <c r="R307" s="22" t="n">
        <v/>
      </c>
      <c r="S307" s="22" t="n">
        <v>0</v>
      </c>
      <c r="T307" s="22" t="n">
        <v>0</v>
      </c>
      <c r="U307" s="22" t="n">
        <v>0</v>
      </c>
      <c r="V307" s="17" t="n">
        <v>0</v>
      </c>
      <c r="W307" s="25" t="n">
        <v>0</v>
      </c>
      <c r="X307" s="25" t="n">
        <v>0</v>
      </c>
      <c r="Y307" s="25" t="n">
        <v>0</v>
      </c>
      <c r="Z307" s="22" t="n">
        <v>0</v>
      </c>
      <c r="AA307" s="22" t="n">
        <v>0</v>
      </c>
      <c r="AB307" s="25" t="n">
        <v>0</v>
      </c>
      <c r="AC307" s="25" t="n">
        <v>0</v>
      </c>
      <c r="AD307" s="25" t="n">
        <v>0</v>
      </c>
      <c r="AE307" s="21" t="n">
        <v>0</v>
      </c>
      <c r="AF307" s="22" t="n">
        <v>0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5" t="n">
        <v>216</v>
      </c>
      <c r="J308" s="15" t="n">
        <v>395</v>
      </c>
      <c r="K308" s="15" t="n">
        <v>-126</v>
      </c>
      <c r="L308" s="15" t="n">
        <v>90</v>
      </c>
      <c r="M308" s="19" t="n">
        <v/>
      </c>
      <c r="N308" s="19" t="n">
        <v/>
      </c>
      <c r="O308" s="19" t="n">
        <v/>
      </c>
      <c r="P308" s="19" t="n">
        <v>0.3678322874172034</v>
      </c>
      <c r="Q308" s="20" t="n">
        <v>0</v>
      </c>
      <c r="R308" s="20" t="n">
        <v/>
      </c>
      <c r="S308" s="20" t="n">
        <v>0</v>
      </c>
      <c r="T308" s="20" t="n">
        <v>0</v>
      </c>
      <c r="U308" s="20" t="n">
        <v>0</v>
      </c>
      <c r="V308" s="15" t="n">
        <v>0</v>
      </c>
      <c r="W308" s="24" t="n">
        <v>0</v>
      </c>
      <c r="X308" s="24" t="n">
        <v>0</v>
      </c>
      <c r="Y308" s="24" t="n">
        <v>0</v>
      </c>
      <c r="Z308" s="20" t="n">
        <v>0</v>
      </c>
      <c r="AA308" s="20" t="n">
        <v>0</v>
      </c>
      <c r="AB308" s="24" t="n">
        <v>0</v>
      </c>
      <c r="AC308" s="24" t="n">
        <v>0</v>
      </c>
      <c r="AD308" s="24" t="n">
        <v>0</v>
      </c>
      <c r="AE308" s="19" t="n">
        <v>0</v>
      </c>
      <c r="AF308" s="20" t="n">
        <v>0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17" t="n">
        <v>216</v>
      </c>
      <c r="J309" s="17" t="n">
        <v>395</v>
      </c>
      <c r="K309" s="17" t="n">
        <v>-127</v>
      </c>
      <c r="L309" s="17" t="n">
        <v>90</v>
      </c>
      <c r="M309" s="21" t="n">
        <v/>
      </c>
      <c r="N309" s="21" t="n">
        <v/>
      </c>
      <c r="O309" s="21" t="n">
        <v/>
      </c>
      <c r="P309" s="21" t="n">
        <v>0.3666320295566156</v>
      </c>
      <c r="Q309" s="22" t="n">
        <v>0</v>
      </c>
      <c r="R309" s="22" t="n">
        <v/>
      </c>
      <c r="S309" s="22" t="n">
        <v>0</v>
      </c>
      <c r="T309" s="22" t="n">
        <v>0</v>
      </c>
      <c r="U309" s="22" t="n">
        <v>0</v>
      </c>
      <c r="V309" s="17" t="n">
        <v>0</v>
      </c>
      <c r="W309" s="25" t="n">
        <v>0</v>
      </c>
      <c r="X309" s="25" t="n">
        <v>0</v>
      </c>
      <c r="Y309" s="25" t="n">
        <v>0</v>
      </c>
      <c r="Z309" s="22" t="n">
        <v>0</v>
      </c>
      <c r="AA309" s="22" t="n">
        <v>0</v>
      </c>
      <c r="AB309" s="25" t="n">
        <v>0</v>
      </c>
      <c r="AC309" s="25" t="n">
        <v>0</v>
      </c>
      <c r="AD309" s="25" t="n">
        <v>0</v>
      </c>
      <c r="AE309" s="21" t="n">
        <v>0</v>
      </c>
      <c r="AF309" s="22" t="n">
        <v>0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5" t="n">
        <v>216</v>
      </c>
      <c r="J310" s="15" t="n">
        <v>395</v>
      </c>
      <c r="K310" s="15" t="n">
        <v>-128</v>
      </c>
      <c r="L310" s="15" t="n">
        <v>90</v>
      </c>
      <c r="M310" s="19" t="n">
        <v/>
      </c>
      <c r="N310" s="19" t="n">
        <v/>
      </c>
      <c r="O310" s="19" t="n">
        <v/>
      </c>
      <c r="P310" s="19" t="n">
        <v>0.3654356882062993</v>
      </c>
      <c r="Q310" s="20" t="n">
        <v>0</v>
      </c>
      <c r="R310" s="20" t="n">
        <v/>
      </c>
      <c r="S310" s="20" t="n">
        <v>0</v>
      </c>
      <c r="T310" s="20" t="n">
        <v>0</v>
      </c>
      <c r="U310" s="20" t="n">
        <v>0</v>
      </c>
      <c r="V310" s="15" t="n">
        <v>0</v>
      </c>
      <c r="W310" s="24" t="n">
        <v>0</v>
      </c>
      <c r="X310" s="24" t="n">
        <v>0</v>
      </c>
      <c r="Y310" s="24" t="n">
        <v>0</v>
      </c>
      <c r="Z310" s="20" t="n">
        <v>0</v>
      </c>
      <c r="AA310" s="20" t="n">
        <v>0</v>
      </c>
      <c r="AB310" s="24" t="n">
        <v>0</v>
      </c>
      <c r="AC310" s="24" t="n">
        <v>0</v>
      </c>
      <c r="AD310" s="24" t="n">
        <v>0</v>
      </c>
      <c r="AE310" s="19" t="n">
        <v>0</v>
      </c>
      <c r="AF310" s="20" t="n">
        <v>0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17" t="n">
        <v>216</v>
      </c>
      <c r="J311" s="17" t="n">
        <v>395</v>
      </c>
      <c r="K311" s="17" t="n">
        <v>-129</v>
      </c>
      <c r="L311" s="17" t="n">
        <v>90</v>
      </c>
      <c r="M311" s="21" t="n">
        <v/>
      </c>
      <c r="N311" s="21" t="n">
        <v/>
      </c>
      <c r="O311" s="21" t="n">
        <v/>
      </c>
      <c r="P311" s="21" t="n">
        <v>0.364243250586457</v>
      </c>
      <c r="Q311" s="22" t="n">
        <v>0</v>
      </c>
      <c r="R311" s="22" t="n">
        <v/>
      </c>
      <c r="S311" s="22" t="n">
        <v>0</v>
      </c>
      <c r="T311" s="22" t="n">
        <v>0</v>
      </c>
      <c r="U311" s="22" t="n">
        <v>0</v>
      </c>
      <c r="V311" s="17" t="n">
        <v>0</v>
      </c>
      <c r="W311" s="25" t="n">
        <v>0</v>
      </c>
      <c r="X311" s="25" t="n">
        <v>0</v>
      </c>
      <c r="Y311" s="25" t="n">
        <v>0</v>
      </c>
      <c r="Z311" s="22" t="n">
        <v>0</v>
      </c>
      <c r="AA311" s="22" t="n">
        <v>0</v>
      </c>
      <c r="AB311" s="25" t="n">
        <v>0</v>
      </c>
      <c r="AC311" s="25" t="n">
        <v>0</v>
      </c>
      <c r="AD311" s="25" t="n">
        <v>0</v>
      </c>
      <c r="AE311" s="21" t="n">
        <v>0</v>
      </c>
      <c r="AF311" s="22" t="n">
        <v>0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5" t="n">
        <v>216</v>
      </c>
      <c r="J312" s="15" t="n">
        <v>395</v>
      </c>
      <c r="K312" s="15" t="n">
        <v>-130</v>
      </c>
      <c r="L312" s="15" t="n">
        <v>90</v>
      </c>
      <c r="M312" s="19" t="n">
        <v/>
      </c>
      <c r="N312" s="19" t="n">
        <v/>
      </c>
      <c r="O312" s="19" t="n">
        <v/>
      </c>
      <c r="P312" s="19" t="n">
        <v>0.363054703958992</v>
      </c>
      <c r="Q312" s="20" t="n">
        <v>0</v>
      </c>
      <c r="R312" s="20" t="n">
        <v/>
      </c>
      <c r="S312" s="20" t="n">
        <v>0</v>
      </c>
      <c r="T312" s="20" t="n">
        <v>0</v>
      </c>
      <c r="U312" s="20" t="n">
        <v>0</v>
      </c>
      <c r="V312" s="15" t="n">
        <v>0</v>
      </c>
      <c r="W312" s="24" t="n">
        <v>0</v>
      </c>
      <c r="X312" s="24" t="n">
        <v>0</v>
      </c>
      <c r="Y312" s="24" t="n">
        <v>0</v>
      </c>
      <c r="Z312" s="20" t="n">
        <v>0</v>
      </c>
      <c r="AA312" s="20" t="n">
        <v>0</v>
      </c>
      <c r="AB312" s="24" t="n">
        <v>0</v>
      </c>
      <c r="AC312" s="24" t="n">
        <v>0</v>
      </c>
      <c r="AD312" s="24" t="n">
        <v>0</v>
      </c>
      <c r="AE312" s="19" t="n">
        <v>0</v>
      </c>
      <c r="AF312" s="20" t="n">
        <v>0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17" t="n">
        <v>216</v>
      </c>
      <c r="J313" s="17" t="n">
        <v>395</v>
      </c>
      <c r="K313" s="17" t="n">
        <v>-131</v>
      </c>
      <c r="L313" s="17" t="n">
        <v>90</v>
      </c>
      <c r="M313" s="21" t="n">
        <v/>
      </c>
      <c r="N313" s="21" t="n">
        <v/>
      </c>
      <c r="O313" s="21" t="n">
        <v/>
      </c>
      <c r="P313" s="21" t="n">
        <v>0.361870035627373</v>
      </c>
      <c r="Q313" s="22" t="n">
        <v>0</v>
      </c>
      <c r="R313" s="22" t="n">
        <v/>
      </c>
      <c r="S313" s="22" t="n">
        <v>0</v>
      </c>
      <c r="T313" s="22" t="n">
        <v>0</v>
      </c>
      <c r="U313" s="22" t="n">
        <v>0</v>
      </c>
      <c r="V313" s="17" t="n">
        <v>0</v>
      </c>
      <c r="W313" s="25" t="n">
        <v>0</v>
      </c>
      <c r="X313" s="25" t="n">
        <v>0</v>
      </c>
      <c r="Y313" s="25" t="n">
        <v>0</v>
      </c>
      <c r="Z313" s="22" t="n">
        <v>0</v>
      </c>
      <c r="AA313" s="22" t="n">
        <v>0</v>
      </c>
      <c r="AB313" s="25" t="n">
        <v>0</v>
      </c>
      <c r="AC313" s="25" t="n">
        <v>0</v>
      </c>
      <c r="AD313" s="25" t="n">
        <v>0</v>
      </c>
      <c r="AE313" s="21" t="n">
        <v>0</v>
      </c>
      <c r="AF313" s="22" t="n">
        <v>0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5" t="n">
        <v>216</v>
      </c>
      <c r="J314" s="15" t="n">
        <v>395</v>
      </c>
      <c r="K314" s="15" t="n">
        <v>-132</v>
      </c>
      <c r="L314" s="15" t="n">
        <v>90</v>
      </c>
      <c r="M314" s="19" t="n">
        <v/>
      </c>
      <c r="N314" s="19" t="n">
        <v/>
      </c>
      <c r="O314" s="19" t="n">
        <v/>
      </c>
      <c r="P314" s="19" t="n">
        <v>0.360689232936498</v>
      </c>
      <c r="Q314" s="20" t="n">
        <v>0</v>
      </c>
      <c r="R314" s="20" t="n">
        <v/>
      </c>
      <c r="S314" s="20" t="n">
        <v>0</v>
      </c>
      <c r="T314" s="20" t="n">
        <v>0</v>
      </c>
      <c r="U314" s="20" t="n">
        <v>0</v>
      </c>
      <c r="V314" s="15" t="n">
        <v>0</v>
      </c>
      <c r="W314" s="24" t="n">
        <v>0</v>
      </c>
      <c r="X314" s="24" t="n">
        <v>0</v>
      </c>
      <c r="Y314" s="24" t="n">
        <v>0</v>
      </c>
      <c r="Z314" s="20" t="n">
        <v>0</v>
      </c>
      <c r="AA314" s="20" t="n">
        <v>0</v>
      </c>
      <c r="AB314" s="24" t="n">
        <v>0</v>
      </c>
      <c r="AC314" s="24" t="n">
        <v>0</v>
      </c>
      <c r="AD314" s="24" t="n">
        <v>0</v>
      </c>
      <c r="AE314" s="19" t="n">
        <v>0</v>
      </c>
      <c r="AF314" s="20" t="n">
        <v>0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17" t="n">
        <v>216</v>
      </c>
      <c r="J315" s="17" t="n">
        <v>395</v>
      </c>
      <c r="K315" s="17" t="n">
        <v>-133</v>
      </c>
      <c r="L315" s="17" t="n">
        <v>90</v>
      </c>
      <c r="M315" s="21" t="n">
        <v/>
      </c>
      <c r="N315" s="21" t="n">
        <v/>
      </c>
      <c r="O315" s="21" t="n">
        <v/>
      </c>
      <c r="P315" s="21" t="n">
        <v>0.3595122832725594</v>
      </c>
      <c r="Q315" s="22" t="n">
        <v>0</v>
      </c>
      <c r="R315" s="22" t="n">
        <v/>
      </c>
      <c r="S315" s="22" t="n">
        <v>0</v>
      </c>
      <c r="T315" s="22" t="n">
        <v>0</v>
      </c>
      <c r="U315" s="22" t="n">
        <v>0</v>
      </c>
      <c r="V315" s="17" t="n">
        <v>0</v>
      </c>
      <c r="W315" s="25" t="n">
        <v>0</v>
      </c>
      <c r="X315" s="25" t="n">
        <v>0</v>
      </c>
      <c r="Y315" s="25" t="n">
        <v>0</v>
      </c>
      <c r="Z315" s="22" t="n">
        <v>0</v>
      </c>
      <c r="AA315" s="22" t="n">
        <v>0</v>
      </c>
      <c r="AB315" s="25" t="n">
        <v>0</v>
      </c>
      <c r="AC315" s="25" t="n">
        <v>0</v>
      </c>
      <c r="AD315" s="25" t="n">
        <v>0</v>
      </c>
      <c r="AE315" s="21" t="n">
        <v>0</v>
      </c>
      <c r="AF315" s="22" t="n">
        <v>0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5" t="n">
        <v>216</v>
      </c>
      <c r="J316" s="15" t="n">
        <v>395</v>
      </c>
      <c r="K316" s="15" t="n">
        <v>-134</v>
      </c>
      <c r="L316" s="15" t="n">
        <v>90</v>
      </c>
      <c r="M316" s="19" t="n">
        <v/>
      </c>
      <c r="N316" s="19" t="n">
        <v/>
      </c>
      <c r="O316" s="19" t="n">
        <v/>
      </c>
      <c r="P316" s="19" t="n">
        <v>0.3583391740629094</v>
      </c>
      <c r="Q316" s="20" t="n">
        <v>0</v>
      </c>
      <c r="R316" s="20" t="n">
        <v/>
      </c>
      <c r="S316" s="20" t="n">
        <v>0</v>
      </c>
      <c r="T316" s="20" t="n">
        <v>0</v>
      </c>
      <c r="U316" s="20" t="n">
        <v>0</v>
      </c>
      <c r="V316" s="15" t="n">
        <v>0</v>
      </c>
      <c r="W316" s="24" t="n">
        <v>0</v>
      </c>
      <c r="X316" s="24" t="n">
        <v>0</v>
      </c>
      <c r="Y316" s="24" t="n">
        <v>0</v>
      </c>
      <c r="Z316" s="20" t="n">
        <v>0</v>
      </c>
      <c r="AA316" s="20" t="n">
        <v>0</v>
      </c>
      <c r="AB316" s="24" t="n">
        <v>0</v>
      </c>
      <c r="AC316" s="24" t="n">
        <v>0</v>
      </c>
      <c r="AD316" s="24" t="n">
        <v>0</v>
      </c>
      <c r="AE316" s="19" t="n">
        <v>0</v>
      </c>
      <c r="AF316" s="20" t="n">
        <v>0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17" t="n">
        <v>216</v>
      </c>
      <c r="J317" s="17" t="n">
        <v>395</v>
      </c>
      <c r="K317" s="17" t="n">
        <v>-135</v>
      </c>
      <c r="L317" s="17" t="n">
        <v>90</v>
      </c>
      <c r="M317" s="21" t="n">
        <v/>
      </c>
      <c r="N317" s="21" t="n">
        <v/>
      </c>
      <c r="O317" s="21" t="n">
        <v/>
      </c>
      <c r="P317" s="21" t="n">
        <v>0.3571698927759251</v>
      </c>
      <c r="Q317" s="22" t="n">
        <v>0</v>
      </c>
      <c r="R317" s="22" t="n">
        <v/>
      </c>
      <c r="S317" s="22" t="n">
        <v>0</v>
      </c>
      <c r="T317" s="22" t="n">
        <v>0</v>
      </c>
      <c r="U317" s="22" t="n">
        <v>0</v>
      </c>
      <c r="V317" s="17" t="n">
        <v>0</v>
      </c>
      <c r="W317" s="25" t="n">
        <v>0</v>
      </c>
      <c r="X317" s="25" t="n">
        <v>0</v>
      </c>
      <c r="Y317" s="25" t="n">
        <v>0</v>
      </c>
      <c r="Z317" s="22" t="n">
        <v>0</v>
      </c>
      <c r="AA317" s="22" t="n">
        <v>0</v>
      </c>
      <c r="AB317" s="25" t="n">
        <v>0</v>
      </c>
      <c r="AC317" s="25" t="n">
        <v>0</v>
      </c>
      <c r="AD317" s="25" t="n">
        <v>0</v>
      </c>
      <c r="AE317" s="21" t="n">
        <v>0</v>
      </c>
      <c r="AF317" s="22" t="n">
        <v>0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5" t="n">
        <v>216</v>
      </c>
      <c r="J318" s="15" t="n">
        <v>395</v>
      </c>
      <c r="K318" s="15" t="n">
        <v>-136</v>
      </c>
      <c r="L318" s="15" t="n">
        <v>90</v>
      </c>
      <c r="M318" s="19" t="n">
        <v/>
      </c>
      <c r="N318" s="19" t="n">
        <v/>
      </c>
      <c r="O318" s="19" t="n">
        <v/>
      </c>
      <c r="P318" s="19" t="n">
        <v>0.3560044269208753</v>
      </c>
      <c r="Q318" s="20" t="n">
        <v>0</v>
      </c>
      <c r="R318" s="20" t="n">
        <v/>
      </c>
      <c r="S318" s="20" t="n">
        <v>0</v>
      </c>
      <c r="T318" s="20" t="n">
        <v>0</v>
      </c>
      <c r="U318" s="20" t="n">
        <v>0</v>
      </c>
      <c r="V318" s="15" t="n">
        <v>0</v>
      </c>
      <c r="W318" s="24" t="n">
        <v>0</v>
      </c>
      <c r="X318" s="24" t="n">
        <v>0</v>
      </c>
      <c r="Y318" s="24" t="n">
        <v>0</v>
      </c>
      <c r="Z318" s="20" t="n">
        <v>0</v>
      </c>
      <c r="AA318" s="20" t="n">
        <v>0</v>
      </c>
      <c r="AB318" s="24" t="n">
        <v>0</v>
      </c>
      <c r="AC318" s="24" t="n">
        <v>0</v>
      </c>
      <c r="AD318" s="24" t="n">
        <v>0</v>
      </c>
      <c r="AE318" s="19" t="n">
        <v>0</v>
      </c>
      <c r="AF318" s="20" t="n">
        <v>0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17" t="n">
        <v>216</v>
      </c>
      <c r="J319" s="17" t="n">
        <v>395</v>
      </c>
      <c r="K319" s="17" t="n">
        <v>-137</v>
      </c>
      <c r="L319" s="17" t="n">
        <v>90</v>
      </c>
      <c r="M319" s="21" t="n">
        <v/>
      </c>
      <c r="N319" s="21" t="n">
        <v/>
      </c>
      <c r="O319" s="21" t="n">
        <v/>
      </c>
      <c r="P319" s="21" t="n">
        <v>0.3548427640477866</v>
      </c>
      <c r="Q319" s="22" t="n">
        <v>0</v>
      </c>
      <c r="R319" s="22" t="n">
        <v/>
      </c>
      <c r="S319" s="22" t="n">
        <v>0</v>
      </c>
      <c r="T319" s="22" t="n">
        <v>0</v>
      </c>
      <c r="U319" s="22" t="n">
        <v>0</v>
      </c>
      <c r="V319" s="17" t="n">
        <v>0</v>
      </c>
      <c r="W319" s="25" t="n">
        <v>0</v>
      </c>
      <c r="X319" s="25" t="n">
        <v>0</v>
      </c>
      <c r="Y319" s="25" t="n">
        <v>0</v>
      </c>
      <c r="Z319" s="22" t="n">
        <v>0</v>
      </c>
      <c r="AA319" s="22" t="n">
        <v>0</v>
      </c>
      <c r="AB319" s="25" t="n">
        <v>0</v>
      </c>
      <c r="AC319" s="25" t="n">
        <v>0</v>
      </c>
      <c r="AD319" s="25" t="n">
        <v>0</v>
      </c>
      <c r="AE319" s="21" t="n">
        <v>0</v>
      </c>
      <c r="AF319" s="22" t="n">
        <v>0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5" t="n">
        <v>216</v>
      </c>
      <c r="J320" s="15" t="n">
        <v>395</v>
      </c>
      <c r="K320" s="15" t="n">
        <v>-138</v>
      </c>
      <c r="L320" s="15" t="n">
        <v>90</v>
      </c>
      <c r="M320" s="19" t="n">
        <v/>
      </c>
      <c r="N320" s="19" t="n">
        <v/>
      </c>
      <c r="O320" s="19" t="n">
        <v/>
      </c>
      <c r="P320" s="19" t="n">
        <v>0.3536848917473108</v>
      </c>
      <c r="Q320" s="20" t="n">
        <v>0</v>
      </c>
      <c r="R320" s="20" t="n">
        <v/>
      </c>
      <c r="S320" s="20" t="n">
        <v>0</v>
      </c>
      <c r="T320" s="20" t="n">
        <v>0</v>
      </c>
      <c r="U320" s="20" t="n">
        <v>0</v>
      </c>
      <c r="V320" s="15" t="n">
        <v>0</v>
      </c>
      <c r="W320" s="24" t="n">
        <v>0</v>
      </c>
      <c r="X320" s="24" t="n">
        <v>0</v>
      </c>
      <c r="Y320" s="24" t="n">
        <v>0</v>
      </c>
      <c r="Z320" s="20" t="n">
        <v>0</v>
      </c>
      <c r="AA320" s="20" t="n">
        <v>0</v>
      </c>
      <c r="AB320" s="24" t="n">
        <v>0</v>
      </c>
      <c r="AC320" s="24" t="n">
        <v>0</v>
      </c>
      <c r="AD320" s="24" t="n">
        <v>0</v>
      </c>
      <c r="AE320" s="19" t="n">
        <v>0</v>
      </c>
      <c r="AF320" s="20" t="n">
        <v>0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17" t="n">
        <v>216</v>
      </c>
      <c r="J321" s="17" t="n">
        <v>395</v>
      </c>
      <c r="K321" s="17" t="n">
        <v>-139</v>
      </c>
      <c r="L321" s="17" t="n">
        <v>90</v>
      </c>
      <c r="M321" s="21" t="n">
        <v/>
      </c>
      <c r="N321" s="21" t="n">
        <v/>
      </c>
      <c r="O321" s="21" t="n">
        <v/>
      </c>
      <c r="P321" s="21" t="n">
        <v>0.3525307976505917</v>
      </c>
      <c r="Q321" s="22" t="n">
        <v>0</v>
      </c>
      <c r="R321" s="22" t="n">
        <v/>
      </c>
      <c r="S321" s="22" t="n">
        <v>0</v>
      </c>
      <c r="T321" s="22" t="n">
        <v>0</v>
      </c>
      <c r="U321" s="22" t="n">
        <v>0</v>
      </c>
      <c r="V321" s="17" t="n">
        <v>0</v>
      </c>
      <c r="W321" s="25" t="n">
        <v>0</v>
      </c>
      <c r="X321" s="25" t="n">
        <v>0</v>
      </c>
      <c r="Y321" s="25" t="n">
        <v>0</v>
      </c>
      <c r="Z321" s="22" t="n">
        <v>0</v>
      </c>
      <c r="AA321" s="22" t="n">
        <v>0</v>
      </c>
      <c r="AB321" s="25" t="n">
        <v>0</v>
      </c>
      <c r="AC321" s="25" t="n">
        <v>0</v>
      </c>
      <c r="AD321" s="25" t="n">
        <v>0</v>
      </c>
      <c r="AE321" s="21" t="n">
        <v>0</v>
      </c>
      <c r="AF321" s="22" t="n">
        <v>0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5" t="n">
        <v>216</v>
      </c>
      <c r="J322" s="15" t="n">
        <v>395</v>
      </c>
      <c r="K322" s="15" t="n">
        <v>-140</v>
      </c>
      <c r="L322" s="15" t="n">
        <v>90</v>
      </c>
      <c r="M322" s="19" t="n">
        <v/>
      </c>
      <c r="N322" s="19" t="n">
        <v/>
      </c>
      <c r="O322" s="19" t="n">
        <v/>
      </c>
      <c r="P322" s="19" t="n">
        <v>0.3513804694291338</v>
      </c>
      <c r="Q322" s="20" t="n">
        <v>0</v>
      </c>
      <c r="R322" s="20" t="n">
        <v/>
      </c>
      <c r="S322" s="20" t="n">
        <v>0</v>
      </c>
      <c r="T322" s="20" t="n">
        <v>0</v>
      </c>
      <c r="U322" s="20" t="n">
        <v>0</v>
      </c>
      <c r="V322" s="15" t="n">
        <v>0</v>
      </c>
      <c r="W322" s="24" t="n">
        <v>0</v>
      </c>
      <c r="X322" s="24" t="n">
        <v>0</v>
      </c>
      <c r="Y322" s="24" t="n">
        <v>0</v>
      </c>
      <c r="Z322" s="20" t="n">
        <v>0</v>
      </c>
      <c r="AA322" s="20" t="n">
        <v>0</v>
      </c>
      <c r="AB322" s="24" t="n">
        <v>0</v>
      </c>
      <c r="AC322" s="24" t="n">
        <v>0</v>
      </c>
      <c r="AD322" s="24" t="n">
        <v>0</v>
      </c>
      <c r="AE322" s="19" t="n">
        <v>0</v>
      </c>
      <c r="AF322" s="20" t="n">
        <v>0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17" t="n">
        <v>216</v>
      </c>
      <c r="J323" s="17" t="n">
        <v>395</v>
      </c>
      <c r="K323" s="17" t="n">
        <v>-141</v>
      </c>
      <c r="L323" s="17" t="n">
        <v>90</v>
      </c>
      <c r="M323" s="21" t="n">
        <v/>
      </c>
      <c r="N323" s="21" t="n">
        <v/>
      </c>
      <c r="O323" s="21" t="n">
        <v/>
      </c>
      <c r="P323" s="21" t="n">
        <v>0.35023389479467</v>
      </c>
      <c r="Q323" s="22" t="n">
        <v>0</v>
      </c>
      <c r="R323" s="22" t="n">
        <v/>
      </c>
      <c r="S323" s="22" t="n">
        <v>0</v>
      </c>
      <c r="T323" s="22" t="n">
        <v>0</v>
      </c>
      <c r="U323" s="22" t="n">
        <v>0</v>
      </c>
      <c r="V323" s="17" t="n">
        <v>0</v>
      </c>
      <c r="W323" s="25" t="n">
        <v>0</v>
      </c>
      <c r="X323" s="25" t="n">
        <v>0</v>
      </c>
      <c r="Y323" s="25" t="n">
        <v>0</v>
      </c>
      <c r="Z323" s="22" t="n">
        <v>0</v>
      </c>
      <c r="AA323" s="22" t="n">
        <v>0</v>
      </c>
      <c r="AB323" s="25" t="n">
        <v>0</v>
      </c>
      <c r="AC323" s="25" t="n">
        <v>0</v>
      </c>
      <c r="AD323" s="25" t="n">
        <v>0</v>
      </c>
      <c r="AE323" s="21" t="n">
        <v>0</v>
      </c>
      <c r="AF323" s="22" t="n">
        <v>0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5" t="n">
        <v>216</v>
      </c>
      <c r="J324" s="15" t="n">
        <v>395</v>
      </c>
      <c r="K324" s="15" t="n">
        <v>-142</v>
      </c>
      <c r="L324" s="15" t="n">
        <v>90</v>
      </c>
      <c r="M324" s="19" t="n">
        <v/>
      </c>
      <c r="N324" s="19" t="n">
        <v/>
      </c>
      <c r="O324" s="19" t="n">
        <v/>
      </c>
      <c r="P324" s="19" t="n">
        <v>0.3490910614990306</v>
      </c>
      <c r="Q324" s="20" t="n">
        <v>0</v>
      </c>
      <c r="R324" s="20" t="n">
        <v/>
      </c>
      <c r="S324" s="20" t="n">
        <v>0</v>
      </c>
      <c r="T324" s="20" t="n">
        <v>0</v>
      </c>
      <c r="U324" s="20" t="n">
        <v>0</v>
      </c>
      <c r="V324" s="15" t="n">
        <v>0</v>
      </c>
      <c r="W324" s="24" t="n">
        <v>0</v>
      </c>
      <c r="X324" s="24" t="n">
        <v>0</v>
      </c>
      <c r="Y324" s="24" t="n">
        <v>0</v>
      </c>
      <c r="Z324" s="20" t="n">
        <v>0</v>
      </c>
      <c r="AA324" s="20" t="n">
        <v>0</v>
      </c>
      <c r="AB324" s="24" t="n">
        <v>0</v>
      </c>
      <c r="AC324" s="24" t="n">
        <v>0</v>
      </c>
      <c r="AD324" s="24" t="n">
        <v>0</v>
      </c>
      <c r="AE324" s="19" t="n">
        <v>0</v>
      </c>
      <c r="AF324" s="20" t="n">
        <v>0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17" t="n">
        <v>216</v>
      </c>
      <c r="J325" s="17" t="n">
        <v>395</v>
      </c>
      <c r="K325" s="17" t="n">
        <v>-143</v>
      </c>
      <c r="L325" s="17" t="n">
        <v>90</v>
      </c>
      <c r="M325" s="21" t="n">
        <v/>
      </c>
      <c r="N325" s="21" t="n">
        <v/>
      </c>
      <c r="O325" s="21" t="n">
        <v/>
      </c>
      <c r="P325" s="21" t="n">
        <v>0.3479519573340123</v>
      </c>
      <c r="Q325" s="22" t="n">
        <v>0</v>
      </c>
      <c r="R325" s="22" t="n">
        <v/>
      </c>
      <c r="S325" s="22" t="n">
        <v>0</v>
      </c>
      <c r="T325" s="22" t="n">
        <v>0</v>
      </c>
      <c r="U325" s="22" t="n">
        <v>0</v>
      </c>
      <c r="V325" s="17" t="n">
        <v>0</v>
      </c>
      <c r="W325" s="25" t="n">
        <v>0</v>
      </c>
      <c r="X325" s="25" t="n">
        <v>0</v>
      </c>
      <c r="Y325" s="25" t="n">
        <v>0</v>
      </c>
      <c r="Z325" s="22" t="n">
        <v>0</v>
      </c>
      <c r="AA325" s="22" t="n">
        <v>0</v>
      </c>
      <c r="AB325" s="25" t="n">
        <v>0</v>
      </c>
      <c r="AC325" s="25" t="n">
        <v>0</v>
      </c>
      <c r="AD325" s="25" t="n">
        <v>0</v>
      </c>
      <c r="AE325" s="21" t="n">
        <v>0</v>
      </c>
      <c r="AF325" s="22" t="n">
        <v>0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5" t="n">
        <v>216</v>
      </c>
      <c r="J326" s="15" t="n">
        <v>395</v>
      </c>
      <c r="K326" s="15" t="n">
        <v>-144</v>
      </c>
      <c r="L326" s="15" t="n">
        <v>90</v>
      </c>
      <c r="M326" s="19" t="n">
        <v/>
      </c>
      <c r="N326" s="19" t="n">
        <v/>
      </c>
      <c r="O326" s="19" t="n">
        <v/>
      </c>
      <c r="P326" s="19" t="n">
        <v>0.3468165701312478</v>
      </c>
      <c r="Q326" s="20" t="n">
        <v>0</v>
      </c>
      <c r="R326" s="20" t="n">
        <v/>
      </c>
      <c r="S326" s="20" t="n">
        <v>0</v>
      </c>
      <c r="T326" s="20" t="n">
        <v>0</v>
      </c>
      <c r="U326" s="20" t="n">
        <v>0</v>
      </c>
      <c r="V326" s="15" t="n">
        <v>0</v>
      </c>
      <c r="W326" s="24" t="n">
        <v>0</v>
      </c>
      <c r="X326" s="24" t="n">
        <v>0</v>
      </c>
      <c r="Y326" s="24" t="n">
        <v>0</v>
      </c>
      <c r="Z326" s="20" t="n">
        <v>0</v>
      </c>
      <c r="AA326" s="20" t="n">
        <v>0</v>
      </c>
      <c r="AB326" s="24" t="n">
        <v>0</v>
      </c>
      <c r="AC326" s="24" t="n">
        <v>0</v>
      </c>
      <c r="AD326" s="24" t="n">
        <v>0</v>
      </c>
      <c r="AE326" s="19" t="n">
        <v>0</v>
      </c>
      <c r="AF326" s="20" t="n">
        <v>0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17" t="n">
        <v>216</v>
      </c>
      <c r="J327" s="17" t="n">
        <v>395</v>
      </c>
      <c r="K327" s="17" t="n">
        <v>-145</v>
      </c>
      <c r="L327" s="17" t="n">
        <v>90</v>
      </c>
      <c r="M327" s="21" t="n">
        <v/>
      </c>
      <c r="N327" s="21" t="n">
        <v/>
      </c>
      <c r="O327" s="21" t="n">
        <v/>
      </c>
      <c r="P327" s="21" t="n">
        <v>0.3456848877620762</v>
      </c>
      <c r="Q327" s="22" t="n">
        <v>0</v>
      </c>
      <c r="R327" s="22" t="n">
        <v/>
      </c>
      <c r="S327" s="22" t="n">
        <v>0</v>
      </c>
      <c r="T327" s="22" t="n">
        <v>0</v>
      </c>
      <c r="U327" s="22" t="n">
        <v>0</v>
      </c>
      <c r="V327" s="17" t="n">
        <v>0</v>
      </c>
      <c r="W327" s="25" t="n">
        <v>0</v>
      </c>
      <c r="X327" s="25" t="n">
        <v>0</v>
      </c>
      <c r="Y327" s="25" t="n">
        <v>0</v>
      </c>
      <c r="Z327" s="22" t="n">
        <v>0</v>
      </c>
      <c r="AA327" s="22" t="n">
        <v>0</v>
      </c>
      <c r="AB327" s="25" t="n">
        <v>0</v>
      </c>
      <c r="AC327" s="25" t="n">
        <v>0</v>
      </c>
      <c r="AD327" s="25" t="n">
        <v>0</v>
      </c>
      <c r="AE327" s="21" t="n">
        <v>0</v>
      </c>
      <c r="AF327" s="22" t="n">
        <v>0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5" t="n">
        <v>216</v>
      </c>
      <c r="J328" s="15" t="n">
        <v>395</v>
      </c>
      <c r="K328" s="15" t="n">
        <v>-146</v>
      </c>
      <c r="L328" s="15" t="n">
        <v>90</v>
      </c>
      <c r="M328" s="19" t="n">
        <v/>
      </c>
      <c r="N328" s="19" t="n">
        <v/>
      </c>
      <c r="O328" s="19" t="n">
        <v/>
      </c>
      <c r="P328" s="19" t="n">
        <v>0.3445568981374127</v>
      </c>
      <c r="Q328" s="20" t="n">
        <v>0</v>
      </c>
      <c r="R328" s="20" t="n">
        <v/>
      </c>
      <c r="S328" s="20" t="n">
        <v>0</v>
      </c>
      <c r="T328" s="20" t="n">
        <v>0</v>
      </c>
      <c r="U328" s="20" t="n">
        <v>0</v>
      </c>
      <c r="V328" s="15" t="n">
        <v>0</v>
      </c>
      <c r="W328" s="24" t="n">
        <v>0</v>
      </c>
      <c r="X328" s="24" t="n">
        <v>0</v>
      </c>
      <c r="Y328" s="24" t="n">
        <v>0</v>
      </c>
      <c r="Z328" s="20" t="n">
        <v>0</v>
      </c>
      <c r="AA328" s="20" t="n">
        <v>0</v>
      </c>
      <c r="AB328" s="24" t="n">
        <v>0</v>
      </c>
      <c r="AC328" s="24" t="n">
        <v>0</v>
      </c>
      <c r="AD328" s="24" t="n">
        <v>0</v>
      </c>
      <c r="AE328" s="19" t="n">
        <v>0</v>
      </c>
      <c r="AF328" s="20" t="n">
        <v>0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17" t="n">
        <v>216</v>
      </c>
      <c r="J329" s="17" t="n">
        <v>395</v>
      </c>
      <c r="K329" s="17" t="n">
        <v>-147</v>
      </c>
      <c r="L329" s="17" t="n">
        <v>90</v>
      </c>
      <c r="M329" s="21" t="n">
        <v/>
      </c>
      <c r="N329" s="21" t="n">
        <v/>
      </c>
      <c r="O329" s="21" t="n">
        <v/>
      </c>
      <c r="P329" s="21" t="n">
        <v>0.3434325892076202</v>
      </c>
      <c r="Q329" s="22" t="n">
        <v>0</v>
      </c>
      <c r="R329" s="22" t="n">
        <v/>
      </c>
      <c r="S329" s="22" t="n">
        <v>0</v>
      </c>
      <c r="T329" s="22" t="n">
        <v>0</v>
      </c>
      <c r="U329" s="22" t="n">
        <v>0</v>
      </c>
      <c r="V329" s="17" t="n">
        <v>0</v>
      </c>
      <c r="W329" s="25" t="n">
        <v>0</v>
      </c>
      <c r="X329" s="25" t="n">
        <v>0</v>
      </c>
      <c r="Y329" s="25" t="n">
        <v>0</v>
      </c>
      <c r="Z329" s="22" t="n">
        <v>0</v>
      </c>
      <c r="AA329" s="22" t="n">
        <v>0</v>
      </c>
      <c r="AB329" s="25" t="n">
        <v>0</v>
      </c>
      <c r="AC329" s="25" t="n">
        <v>0</v>
      </c>
      <c r="AD329" s="25" t="n">
        <v>0</v>
      </c>
      <c r="AE329" s="21" t="n">
        <v>0</v>
      </c>
      <c r="AF329" s="22" t="n">
        <v>0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5" t="n">
        <v>216</v>
      </c>
      <c r="J330" s="15" t="n">
        <v>395</v>
      </c>
      <c r="K330" s="15" t="n">
        <v>-148</v>
      </c>
      <c r="L330" s="15" t="n">
        <v>90</v>
      </c>
      <c r="M330" s="19" t="n">
        <v/>
      </c>
      <c r="N330" s="19" t="n">
        <v/>
      </c>
      <c r="O330" s="19" t="n">
        <v/>
      </c>
      <c r="P330" s="19" t="n">
        <v>0.34231194896238</v>
      </c>
      <c r="Q330" s="20" t="n">
        <v>0</v>
      </c>
      <c r="R330" s="20" t="n">
        <v/>
      </c>
      <c r="S330" s="20" t="n">
        <v>0</v>
      </c>
      <c r="T330" s="20" t="n">
        <v>0</v>
      </c>
      <c r="U330" s="20" t="n">
        <v>0</v>
      </c>
      <c r="V330" s="15" t="n">
        <v>0</v>
      </c>
      <c r="W330" s="24" t="n">
        <v>0</v>
      </c>
      <c r="X330" s="24" t="n">
        <v>0</v>
      </c>
      <c r="Y330" s="24" t="n">
        <v>0</v>
      </c>
      <c r="Z330" s="20" t="n">
        <v>0</v>
      </c>
      <c r="AA330" s="20" t="n">
        <v>0</v>
      </c>
      <c r="AB330" s="24" t="n">
        <v>0</v>
      </c>
      <c r="AC330" s="24" t="n">
        <v>0</v>
      </c>
      <c r="AD330" s="24" t="n">
        <v>0</v>
      </c>
      <c r="AE330" s="19" t="n">
        <v>0</v>
      </c>
      <c r="AF330" s="20" t="n">
        <v>0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17" t="n">
        <v>216</v>
      </c>
      <c r="J331" s="17" t="n">
        <v>395</v>
      </c>
      <c r="K331" s="17" t="n">
        <v>-149</v>
      </c>
      <c r="L331" s="17" t="n">
        <v>90</v>
      </c>
      <c r="M331" s="21" t="n">
        <v/>
      </c>
      <c r="N331" s="21" t="n">
        <v/>
      </c>
      <c r="O331" s="21" t="n">
        <v/>
      </c>
      <c r="P331" s="21" t="n">
        <v>0.341194965430564</v>
      </c>
      <c r="Q331" s="22" t="n">
        <v>0</v>
      </c>
      <c r="R331" s="22" t="n">
        <v/>
      </c>
      <c r="S331" s="22" t="n">
        <v>0</v>
      </c>
      <c r="T331" s="22" t="n">
        <v>0</v>
      </c>
      <c r="U331" s="22" t="n">
        <v>0</v>
      </c>
      <c r="V331" s="17" t="n">
        <v>0</v>
      </c>
      <c r="W331" s="25" t="n">
        <v>0</v>
      </c>
      <c r="X331" s="25" t="n">
        <v>0</v>
      </c>
      <c r="Y331" s="25" t="n">
        <v>0</v>
      </c>
      <c r="Z331" s="22" t="n">
        <v>0</v>
      </c>
      <c r="AA331" s="22" t="n">
        <v>0</v>
      </c>
      <c r="AB331" s="25" t="n">
        <v>0</v>
      </c>
      <c r="AC331" s="25" t="n">
        <v>0</v>
      </c>
      <c r="AD331" s="25" t="n">
        <v>0</v>
      </c>
      <c r="AE331" s="21" t="n">
        <v>0</v>
      </c>
      <c r="AF331" s="22" t="n">
        <v>0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5" t="n">
        <v>216</v>
      </c>
      <c r="J332" s="15" t="n">
        <v>395</v>
      </c>
      <c r="K332" s="15" t="n">
        <v>-150</v>
      </c>
      <c r="L332" s="15" t="n">
        <v>90</v>
      </c>
      <c r="M332" s="19" t="n">
        <v/>
      </c>
      <c r="N332" s="19" t="n">
        <v/>
      </c>
      <c r="O332" s="19" t="n">
        <v/>
      </c>
      <c r="P332" s="19" t="n">
        <v>0.3400816266801064</v>
      </c>
      <c r="Q332" s="20" t="n">
        <v>0</v>
      </c>
      <c r="R332" s="20" t="n">
        <v/>
      </c>
      <c r="S332" s="20" t="n">
        <v>0</v>
      </c>
      <c r="T332" s="20" t="n">
        <v>0</v>
      </c>
      <c r="U332" s="20" t="n">
        <v>0</v>
      </c>
      <c r="V332" s="15" t="n">
        <v>0</v>
      </c>
      <c r="W332" s="24" t="n">
        <v>0</v>
      </c>
      <c r="X332" s="24" t="n">
        <v>0</v>
      </c>
      <c r="Y332" s="24" t="n">
        <v>0</v>
      </c>
      <c r="Z332" s="20" t="n">
        <v>0</v>
      </c>
      <c r="AA332" s="20" t="n">
        <v>0</v>
      </c>
      <c r="AB332" s="24" t="n">
        <v>0</v>
      </c>
      <c r="AC332" s="24" t="n">
        <v>0</v>
      </c>
      <c r="AD332" s="24" t="n">
        <v>0</v>
      </c>
      <c r="AE332" s="19" t="n">
        <v>0</v>
      </c>
      <c r="AF332" s="20" t="n">
        <v>0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17" t="n">
        <v>216</v>
      </c>
      <c r="J333" s="17" t="n">
        <v>395</v>
      </c>
      <c r="K333" s="17" t="n">
        <v>-151</v>
      </c>
      <c r="L333" s="17" t="n">
        <v>90</v>
      </c>
      <c r="M333" s="21" t="n">
        <v/>
      </c>
      <c r="N333" s="21" t="n">
        <v/>
      </c>
      <c r="O333" s="21" t="n">
        <v/>
      </c>
      <c r="P333" s="21" t="n">
        <v>0.3389719208178765</v>
      </c>
      <c r="Q333" s="22" t="n">
        <v>0</v>
      </c>
      <c r="R333" s="22" t="n">
        <v/>
      </c>
      <c r="S333" s="22" t="n">
        <v>0</v>
      </c>
      <c r="T333" s="22" t="n">
        <v>0</v>
      </c>
      <c r="U333" s="22" t="n">
        <v>0</v>
      </c>
      <c r="V333" s="17" t="n">
        <v>0</v>
      </c>
      <c r="W333" s="25" t="n">
        <v>0</v>
      </c>
      <c r="X333" s="25" t="n">
        <v>0</v>
      </c>
      <c r="Y333" s="25" t="n">
        <v>0</v>
      </c>
      <c r="Z333" s="22" t="n">
        <v>0</v>
      </c>
      <c r="AA333" s="22" t="n">
        <v>0</v>
      </c>
      <c r="AB333" s="25" t="n">
        <v>0</v>
      </c>
      <c r="AC333" s="25" t="n">
        <v>0</v>
      </c>
      <c r="AD333" s="25" t="n">
        <v>0</v>
      </c>
      <c r="AE333" s="21" t="n">
        <v>0</v>
      </c>
      <c r="AF333" s="22" t="n">
        <v>0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5" t="n">
        <v>216</v>
      </c>
      <c r="J334" s="15" t="n">
        <v>395</v>
      </c>
      <c r="K334" s="15" t="n">
        <v>-152</v>
      </c>
      <c r="L334" s="15" t="n">
        <v>90</v>
      </c>
      <c r="M334" s="19" t="n">
        <v/>
      </c>
      <c r="N334" s="19" t="n">
        <v/>
      </c>
      <c r="O334" s="19" t="n">
        <v/>
      </c>
      <c r="P334" s="19" t="n">
        <v>0.3378658359895516</v>
      </c>
      <c r="Q334" s="20" t="n">
        <v>0</v>
      </c>
      <c r="R334" s="20" t="n">
        <v/>
      </c>
      <c r="S334" s="20" t="n">
        <v>0</v>
      </c>
      <c r="T334" s="20" t="n">
        <v>0</v>
      </c>
      <c r="U334" s="20" t="n">
        <v>0</v>
      </c>
      <c r="V334" s="15" t="n">
        <v>0</v>
      </c>
      <c r="W334" s="24" t="n">
        <v>0</v>
      </c>
      <c r="X334" s="24" t="n">
        <v>0</v>
      </c>
      <c r="Y334" s="24" t="n">
        <v>0</v>
      </c>
      <c r="Z334" s="20" t="n">
        <v>0</v>
      </c>
      <c r="AA334" s="20" t="n">
        <v>0</v>
      </c>
      <c r="AB334" s="24" t="n">
        <v>0</v>
      </c>
      <c r="AC334" s="24" t="n">
        <v>0</v>
      </c>
      <c r="AD334" s="24" t="n">
        <v>0</v>
      </c>
      <c r="AE334" s="19" t="n">
        <v>0</v>
      </c>
      <c r="AF334" s="20" t="n">
        <v>0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17" t="n">
        <v>216</v>
      </c>
      <c r="J335" s="17" t="n">
        <v>395</v>
      </c>
      <c r="K335" s="17" t="n">
        <v>-153</v>
      </c>
      <c r="L335" s="17" t="n">
        <v>90</v>
      </c>
      <c r="M335" s="21" t="n">
        <v/>
      </c>
      <c r="N335" s="21" t="n">
        <v/>
      </c>
      <c r="O335" s="21" t="n">
        <v/>
      </c>
      <c r="P335" s="21" t="n">
        <v>0.3367633603794903</v>
      </c>
      <c r="Q335" s="22" t="n">
        <v>0</v>
      </c>
      <c r="R335" s="22" t="n">
        <v/>
      </c>
      <c r="S335" s="22" t="n">
        <v>0</v>
      </c>
      <c r="T335" s="22" t="n">
        <v>0</v>
      </c>
      <c r="U335" s="22" t="n">
        <v>0</v>
      </c>
      <c r="V335" s="17" t="n">
        <v>0</v>
      </c>
      <c r="W335" s="25" t="n">
        <v>0</v>
      </c>
      <c r="X335" s="25" t="n">
        <v>0</v>
      </c>
      <c r="Y335" s="25" t="n">
        <v>0</v>
      </c>
      <c r="Z335" s="22" t="n">
        <v>0</v>
      </c>
      <c r="AA335" s="22" t="n">
        <v>0</v>
      </c>
      <c r="AB335" s="25" t="n">
        <v>0</v>
      </c>
      <c r="AC335" s="25" t="n">
        <v>0</v>
      </c>
      <c r="AD335" s="25" t="n">
        <v>0</v>
      </c>
      <c r="AE335" s="21" t="n">
        <v>0</v>
      </c>
      <c r="AF335" s="22" t="n">
        <v>0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5" t="n">
        <v>216</v>
      </c>
      <c r="J336" s="15" t="n">
        <v>395</v>
      </c>
      <c r="K336" s="15" t="n">
        <v>-154</v>
      </c>
      <c r="L336" s="15" t="n">
        <v>90</v>
      </c>
      <c r="M336" s="19" t="n">
        <v/>
      </c>
      <c r="N336" s="19" t="n">
        <v/>
      </c>
      <c r="O336" s="19" t="n">
        <v/>
      </c>
      <c r="P336" s="19" t="n">
        <v>0.3356644822106062</v>
      </c>
      <c r="Q336" s="20" t="n">
        <v>0</v>
      </c>
      <c r="R336" s="20" t="n">
        <v/>
      </c>
      <c r="S336" s="20" t="n">
        <v>0</v>
      </c>
      <c r="T336" s="20" t="n">
        <v>0</v>
      </c>
      <c r="U336" s="20" t="n">
        <v>0</v>
      </c>
      <c r="V336" s="15" t="n">
        <v>0</v>
      </c>
      <c r="W336" s="24" t="n">
        <v>0</v>
      </c>
      <c r="X336" s="24" t="n">
        <v>0</v>
      </c>
      <c r="Y336" s="24" t="n">
        <v>0</v>
      </c>
      <c r="Z336" s="20" t="n">
        <v>0</v>
      </c>
      <c r="AA336" s="20" t="n">
        <v>0</v>
      </c>
      <c r="AB336" s="24" t="n">
        <v>0</v>
      </c>
      <c r="AC336" s="24" t="n">
        <v>0</v>
      </c>
      <c r="AD336" s="24" t="n">
        <v>0</v>
      </c>
      <c r="AE336" s="19" t="n">
        <v>0</v>
      </c>
      <c r="AF336" s="20" t="n">
        <v>0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17" t="n">
        <v>216</v>
      </c>
      <c r="J337" s="17" t="n">
        <v>395</v>
      </c>
      <c r="K337" s="17" t="n">
        <v>-155</v>
      </c>
      <c r="L337" s="17" t="n">
        <v>90</v>
      </c>
      <c r="M337" s="21" t="n">
        <v/>
      </c>
      <c r="N337" s="21" t="n">
        <v/>
      </c>
      <c r="O337" s="21" t="n">
        <v/>
      </c>
      <c r="P337" s="21" t="n">
        <v>0.3345691897442424</v>
      </c>
      <c r="Q337" s="22" t="n">
        <v>0</v>
      </c>
      <c r="R337" s="22" t="n">
        <v/>
      </c>
      <c r="S337" s="22" t="n">
        <v>0</v>
      </c>
      <c r="T337" s="22" t="n">
        <v>0</v>
      </c>
      <c r="U337" s="22" t="n">
        <v>0</v>
      </c>
      <c r="V337" s="17" t="n">
        <v>0</v>
      </c>
      <c r="W337" s="25" t="n">
        <v>0</v>
      </c>
      <c r="X337" s="25" t="n">
        <v>0</v>
      </c>
      <c r="Y337" s="25" t="n">
        <v>0</v>
      </c>
      <c r="Z337" s="22" t="n">
        <v>0</v>
      </c>
      <c r="AA337" s="22" t="n">
        <v>0</v>
      </c>
      <c r="AB337" s="25" t="n">
        <v>0</v>
      </c>
      <c r="AC337" s="25" t="n">
        <v>0</v>
      </c>
      <c r="AD337" s="25" t="n">
        <v>0</v>
      </c>
      <c r="AE337" s="21" t="n">
        <v>0</v>
      </c>
      <c r="AF337" s="22" t="n">
        <v>0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5" t="n">
        <v>216</v>
      </c>
      <c r="J338" s="15" t="n">
        <v>395</v>
      </c>
      <c r="K338" s="15" t="n">
        <v>-156</v>
      </c>
      <c r="L338" s="15" t="n">
        <v>90</v>
      </c>
      <c r="M338" s="19" t="n">
        <v/>
      </c>
      <c r="N338" s="19" t="n">
        <v/>
      </c>
      <c r="O338" s="19" t="n">
        <v/>
      </c>
      <c r="P338" s="19" t="n">
        <v>0.3334774712800458</v>
      </c>
      <c r="Q338" s="20" t="n">
        <v>0</v>
      </c>
      <c r="R338" s="20" t="n">
        <v/>
      </c>
      <c r="S338" s="20" t="n">
        <v>0</v>
      </c>
      <c r="T338" s="20" t="n">
        <v>0</v>
      </c>
      <c r="U338" s="20" t="n">
        <v>0</v>
      </c>
      <c r="V338" s="15" t="n">
        <v>0</v>
      </c>
      <c r="W338" s="24" t="n">
        <v>0</v>
      </c>
      <c r="X338" s="24" t="n">
        <v>0</v>
      </c>
      <c r="Y338" s="24" t="n">
        <v>0</v>
      </c>
      <c r="Z338" s="20" t="n">
        <v>0</v>
      </c>
      <c r="AA338" s="20" t="n">
        <v>0</v>
      </c>
      <c r="AB338" s="24" t="n">
        <v>0</v>
      </c>
      <c r="AC338" s="24" t="n">
        <v>0</v>
      </c>
      <c r="AD338" s="24" t="n">
        <v>0</v>
      </c>
      <c r="AE338" s="19" t="n">
        <v>0</v>
      </c>
      <c r="AF338" s="20" t="n">
        <v>0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17" t="n">
        <v>216</v>
      </c>
      <c r="J339" s="17" t="n">
        <v>395</v>
      </c>
      <c r="K339" s="17" t="n">
        <v>-157</v>
      </c>
      <c r="L339" s="17" t="n">
        <v>90</v>
      </c>
      <c r="M339" s="21" t="n">
        <v/>
      </c>
      <c r="N339" s="21" t="n">
        <v/>
      </c>
      <c r="O339" s="21" t="n">
        <v/>
      </c>
      <c r="P339" s="21" t="n">
        <v>0.3323893151558423</v>
      </c>
      <c r="Q339" s="22" t="n">
        <v>0</v>
      </c>
      <c r="R339" s="22" t="n">
        <v/>
      </c>
      <c r="S339" s="22" t="n">
        <v>0</v>
      </c>
      <c r="T339" s="22" t="n">
        <v>0</v>
      </c>
      <c r="U339" s="22" t="n">
        <v>0</v>
      </c>
      <c r="V339" s="17" t="n">
        <v>0</v>
      </c>
      <c r="W339" s="25" t="n">
        <v>0</v>
      </c>
      <c r="X339" s="25" t="n">
        <v>0</v>
      </c>
      <c r="Y339" s="25" t="n">
        <v>0</v>
      </c>
      <c r="Z339" s="22" t="n">
        <v>0</v>
      </c>
      <c r="AA339" s="22" t="n">
        <v>0</v>
      </c>
      <c r="AB339" s="25" t="n">
        <v>0</v>
      </c>
      <c r="AC339" s="25" t="n">
        <v>0</v>
      </c>
      <c r="AD339" s="25" t="n">
        <v>0</v>
      </c>
      <c r="AE339" s="21" t="n">
        <v>0</v>
      </c>
      <c r="AF339" s="22" t="n">
        <v>0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5" t="n">
        <v>216</v>
      </c>
      <c r="J340" s="15" t="n">
        <v>395</v>
      </c>
      <c r="K340" s="15" t="n">
        <v>-158</v>
      </c>
      <c r="L340" s="15" t="n">
        <v>90</v>
      </c>
      <c r="M340" s="19" t="n">
        <v/>
      </c>
      <c r="N340" s="19" t="n">
        <v/>
      </c>
      <c r="O340" s="19" t="n">
        <v/>
      </c>
      <c r="P340" s="19" t="n">
        <v>0.331304709747512</v>
      </c>
      <c r="Q340" s="20" t="n">
        <v>0</v>
      </c>
      <c r="R340" s="20" t="n">
        <v/>
      </c>
      <c r="S340" s="20" t="n">
        <v>0</v>
      </c>
      <c r="T340" s="20" t="n">
        <v>0</v>
      </c>
      <c r="U340" s="20" t="n">
        <v>0</v>
      </c>
      <c r="V340" s="15" t="n">
        <v>0</v>
      </c>
      <c r="W340" s="24" t="n">
        <v>0</v>
      </c>
      <c r="X340" s="24" t="n">
        <v>0</v>
      </c>
      <c r="Y340" s="24" t="n">
        <v>0</v>
      </c>
      <c r="Z340" s="20" t="n">
        <v>0</v>
      </c>
      <c r="AA340" s="20" t="n">
        <v>0</v>
      </c>
      <c r="AB340" s="24" t="n">
        <v>0</v>
      </c>
      <c r="AC340" s="24" t="n">
        <v>0</v>
      </c>
      <c r="AD340" s="24" t="n">
        <v>0</v>
      </c>
      <c r="AE340" s="19" t="n">
        <v>0</v>
      </c>
      <c r="AF340" s="20" t="n">
        <v>0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17" t="n">
        <v>216</v>
      </c>
      <c r="J341" s="17" t="n">
        <v>395</v>
      </c>
      <c r="K341" s="17" t="n">
        <v>-159</v>
      </c>
      <c r="L341" s="17" t="n">
        <v>90</v>
      </c>
      <c r="M341" s="21" t="n">
        <v/>
      </c>
      <c r="N341" s="21" t="n">
        <v/>
      </c>
      <c r="O341" s="21" t="n">
        <v/>
      </c>
      <c r="P341" s="21" t="n">
        <v>0.3302236434688653</v>
      </c>
      <c r="Q341" s="22" t="n">
        <v>0</v>
      </c>
      <c r="R341" s="22" t="n">
        <v/>
      </c>
      <c r="S341" s="22" t="n">
        <v>0</v>
      </c>
      <c r="T341" s="22" t="n">
        <v>0</v>
      </c>
      <c r="U341" s="22" t="n">
        <v>0</v>
      </c>
      <c r="V341" s="17" t="n">
        <v>0</v>
      </c>
      <c r="W341" s="25" t="n">
        <v>0</v>
      </c>
      <c r="X341" s="25" t="n">
        <v>0</v>
      </c>
      <c r="Y341" s="25" t="n">
        <v>0</v>
      </c>
      <c r="Z341" s="22" t="n">
        <v>0</v>
      </c>
      <c r="AA341" s="22" t="n">
        <v>0</v>
      </c>
      <c r="AB341" s="25" t="n">
        <v>0</v>
      </c>
      <c r="AC341" s="25" t="n">
        <v>0</v>
      </c>
      <c r="AD341" s="25" t="n">
        <v>0</v>
      </c>
      <c r="AE341" s="21" t="n">
        <v>0</v>
      </c>
      <c r="AF341" s="22" t="n">
        <v>0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5" t="n">
        <v>216</v>
      </c>
      <c r="J342" s="15" t="n">
        <v>395</v>
      </c>
      <c r="K342" s="15" t="n">
        <v>-160</v>
      </c>
      <c r="L342" s="15" t="n">
        <v>90</v>
      </c>
      <c r="M342" s="19" t="n">
        <v/>
      </c>
      <c r="N342" s="19" t="n">
        <v/>
      </c>
      <c r="O342" s="19" t="n">
        <v/>
      </c>
      <c r="P342" s="19" t="n">
        <v>0.329146104771519</v>
      </c>
      <c r="Q342" s="20" t="n">
        <v>0</v>
      </c>
      <c r="R342" s="20" t="n">
        <v/>
      </c>
      <c r="S342" s="20" t="n">
        <v>0</v>
      </c>
      <c r="T342" s="20" t="n">
        <v>0</v>
      </c>
      <c r="U342" s="20" t="n">
        <v>0</v>
      </c>
      <c r="V342" s="15" t="n">
        <v>0</v>
      </c>
      <c r="W342" s="24" t="n">
        <v>0</v>
      </c>
      <c r="X342" s="24" t="n">
        <v>0</v>
      </c>
      <c r="Y342" s="24" t="n">
        <v>0</v>
      </c>
      <c r="Z342" s="20" t="n">
        <v>0</v>
      </c>
      <c r="AA342" s="20" t="n">
        <v>0</v>
      </c>
      <c r="AB342" s="24" t="n">
        <v>0</v>
      </c>
      <c r="AC342" s="24" t="n">
        <v>0</v>
      </c>
      <c r="AD342" s="24" t="n">
        <v>0</v>
      </c>
      <c r="AE342" s="19" t="n">
        <v>0</v>
      </c>
      <c r="AF342" s="20" t="n">
        <v>0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17" t="n">
        <v>216</v>
      </c>
      <c r="J343" s="17" t="n">
        <v>395</v>
      </c>
      <c r="K343" s="17" t="n">
        <v>-161</v>
      </c>
      <c r="L343" s="17" t="n">
        <v>90</v>
      </c>
      <c r="M343" s="21" t="n">
        <v/>
      </c>
      <c r="N343" s="21" t="n">
        <v/>
      </c>
      <c r="O343" s="21" t="n">
        <v/>
      </c>
      <c r="P343" s="21" t="n">
        <v>0.3280720821447728</v>
      </c>
      <c r="Q343" s="22" t="n">
        <v>0</v>
      </c>
      <c r="R343" s="22" t="n">
        <v/>
      </c>
      <c r="S343" s="22" t="n">
        <v>0</v>
      </c>
      <c r="T343" s="22" t="n">
        <v>0</v>
      </c>
      <c r="U343" s="22" t="n">
        <v>0</v>
      </c>
      <c r="V343" s="17" t="n">
        <v>0</v>
      </c>
      <c r="W343" s="25" t="n">
        <v>0</v>
      </c>
      <c r="X343" s="25" t="n">
        <v>0</v>
      </c>
      <c r="Y343" s="25" t="n">
        <v>0</v>
      </c>
      <c r="Z343" s="22" t="n">
        <v>0</v>
      </c>
      <c r="AA343" s="22" t="n">
        <v>0</v>
      </c>
      <c r="AB343" s="25" t="n">
        <v>0</v>
      </c>
      <c r="AC343" s="25" t="n">
        <v>0</v>
      </c>
      <c r="AD343" s="25" t="n">
        <v>0</v>
      </c>
      <c r="AE343" s="21" t="n">
        <v>0</v>
      </c>
      <c r="AF343" s="22" t="n">
        <v>0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5" t="n">
        <v>216</v>
      </c>
      <c r="J344" s="15" t="n">
        <v>395</v>
      </c>
      <c r="K344" s="15" t="n">
        <v>-162</v>
      </c>
      <c r="L344" s="15" t="n">
        <v>90</v>
      </c>
      <c r="M344" s="19" t="n">
        <v/>
      </c>
      <c r="N344" s="19" t="n">
        <v/>
      </c>
      <c r="O344" s="19" t="n">
        <v/>
      </c>
      <c r="P344" s="19" t="n">
        <v>0.3270015641154867</v>
      </c>
      <c r="Q344" s="20" t="n">
        <v>0</v>
      </c>
      <c r="R344" s="20" t="n">
        <v/>
      </c>
      <c r="S344" s="20" t="n">
        <v>0</v>
      </c>
      <c r="T344" s="20" t="n">
        <v>0</v>
      </c>
      <c r="U344" s="20" t="n">
        <v>0</v>
      </c>
      <c r="V344" s="15" t="n">
        <v>0</v>
      </c>
      <c r="W344" s="24" t="n">
        <v>0</v>
      </c>
      <c r="X344" s="24" t="n">
        <v>0</v>
      </c>
      <c r="Y344" s="24" t="n">
        <v>0</v>
      </c>
      <c r="Z344" s="20" t="n">
        <v>0</v>
      </c>
      <c r="AA344" s="20" t="n">
        <v>0</v>
      </c>
      <c r="AB344" s="24" t="n">
        <v>0</v>
      </c>
      <c r="AC344" s="24" t="n">
        <v>0</v>
      </c>
      <c r="AD344" s="24" t="n">
        <v>0</v>
      </c>
      <c r="AE344" s="19" t="n">
        <v>0</v>
      </c>
      <c r="AF344" s="20" t="n">
        <v>0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17" t="n">
        <v>216</v>
      </c>
      <c r="J345" s="17" t="n">
        <v>395</v>
      </c>
      <c r="K345" s="17" t="n">
        <v>-163</v>
      </c>
      <c r="L345" s="17" t="n">
        <v>90</v>
      </c>
      <c r="M345" s="21" t="n">
        <v/>
      </c>
      <c r="N345" s="21" t="n">
        <v/>
      </c>
      <c r="O345" s="21" t="n">
        <v/>
      </c>
      <c r="P345" s="21" t="n">
        <v>0.325934539247958</v>
      </c>
      <c r="Q345" s="22" t="n">
        <v>0</v>
      </c>
      <c r="R345" s="22" t="n">
        <v/>
      </c>
      <c r="S345" s="22" t="n">
        <v>0</v>
      </c>
      <c r="T345" s="22" t="n">
        <v>0</v>
      </c>
      <c r="U345" s="22" t="n">
        <v>0</v>
      </c>
      <c r="V345" s="17" t="n">
        <v>0</v>
      </c>
      <c r="W345" s="25" t="n">
        <v>0</v>
      </c>
      <c r="X345" s="25" t="n">
        <v>0</v>
      </c>
      <c r="Y345" s="25" t="n">
        <v>0</v>
      </c>
      <c r="Z345" s="22" t="n">
        <v>0</v>
      </c>
      <c r="AA345" s="22" t="n">
        <v>0</v>
      </c>
      <c r="AB345" s="25" t="n">
        <v>0</v>
      </c>
      <c r="AC345" s="25" t="n">
        <v>0</v>
      </c>
      <c r="AD345" s="25" t="n">
        <v>0</v>
      </c>
      <c r="AE345" s="21" t="n">
        <v>0</v>
      </c>
      <c r="AF345" s="22" t="n">
        <v>0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5" t="n">
        <v>216</v>
      </c>
      <c r="J346" s="15" t="n">
        <v>395</v>
      </c>
      <c r="K346" s="15" t="n">
        <v>-164</v>
      </c>
      <c r="L346" s="15" t="n">
        <v>90</v>
      </c>
      <c r="M346" s="19" t="n">
        <v/>
      </c>
      <c r="N346" s="19" t="n">
        <v/>
      </c>
      <c r="O346" s="19" t="n">
        <v/>
      </c>
      <c r="P346" s="19" t="n">
        <v>0.3248709961437994</v>
      </c>
      <c r="Q346" s="20" t="n">
        <v>0</v>
      </c>
      <c r="R346" s="20" t="n">
        <v/>
      </c>
      <c r="S346" s="20" t="n">
        <v>0</v>
      </c>
      <c r="T346" s="20" t="n">
        <v>0</v>
      </c>
      <c r="U346" s="20" t="n">
        <v>0</v>
      </c>
      <c r="V346" s="15" t="n">
        <v>0</v>
      </c>
      <c r="W346" s="24" t="n">
        <v>0</v>
      </c>
      <c r="X346" s="24" t="n">
        <v>0</v>
      </c>
      <c r="Y346" s="24" t="n">
        <v>0</v>
      </c>
      <c r="Z346" s="20" t="n">
        <v>0</v>
      </c>
      <c r="AA346" s="20" t="n">
        <v>0</v>
      </c>
      <c r="AB346" s="24" t="n">
        <v>0</v>
      </c>
      <c r="AC346" s="24" t="n">
        <v>0</v>
      </c>
      <c r="AD346" s="24" t="n">
        <v>0</v>
      </c>
      <c r="AE346" s="19" t="n">
        <v>0</v>
      </c>
      <c r="AF346" s="20" t="n">
        <v>0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17" t="n">
        <v>216</v>
      </c>
      <c r="J347" s="17" t="n">
        <v>395</v>
      </c>
      <c r="K347" s="17" t="n">
        <v>-165</v>
      </c>
      <c r="L347" s="17" t="n">
        <v>90</v>
      </c>
      <c r="M347" s="21" t="n">
        <v/>
      </c>
      <c r="N347" s="21" t="n">
        <v/>
      </c>
      <c r="O347" s="21" t="n">
        <v/>
      </c>
      <c r="P347" s="21" t="n">
        <v>0.3238109234418174</v>
      </c>
      <c r="Q347" s="22" t="n">
        <v>0</v>
      </c>
      <c r="R347" s="22" t="n">
        <v/>
      </c>
      <c r="S347" s="22" t="n">
        <v>0</v>
      </c>
      <c r="T347" s="22" t="n">
        <v>0</v>
      </c>
      <c r="U347" s="22" t="n">
        <v>0</v>
      </c>
      <c r="V347" s="17" t="n">
        <v>0</v>
      </c>
      <c r="W347" s="25" t="n">
        <v>0</v>
      </c>
      <c r="X347" s="25" t="n">
        <v>0</v>
      </c>
      <c r="Y347" s="25" t="n">
        <v>0</v>
      </c>
      <c r="Z347" s="22" t="n">
        <v>0</v>
      </c>
      <c r="AA347" s="22" t="n">
        <v>0</v>
      </c>
      <c r="AB347" s="25" t="n">
        <v>0</v>
      </c>
      <c r="AC347" s="25" t="n">
        <v>0</v>
      </c>
      <c r="AD347" s="25" t="n">
        <v>0</v>
      </c>
      <c r="AE347" s="21" t="n">
        <v>0</v>
      </c>
      <c r="AF347" s="22" t="n">
        <v>0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5" t="n">
        <v>216</v>
      </c>
      <c r="J348" s="15" t="n">
        <v>395</v>
      </c>
      <c r="K348" s="15" t="n">
        <v>-166</v>
      </c>
      <c r="L348" s="15" t="n">
        <v>90</v>
      </c>
      <c r="M348" s="19" t="n">
        <v/>
      </c>
      <c r="N348" s="19" t="n">
        <v/>
      </c>
      <c r="O348" s="19" t="n">
        <v/>
      </c>
      <c r="P348" s="19" t="n">
        <v>0.3227543098178904</v>
      </c>
      <c r="Q348" s="20" t="n">
        <v>0</v>
      </c>
      <c r="R348" s="20" t="n">
        <v/>
      </c>
      <c r="S348" s="20" t="n">
        <v>0</v>
      </c>
      <c r="T348" s="20" t="n">
        <v>0</v>
      </c>
      <c r="U348" s="20" t="n">
        <v>0</v>
      </c>
      <c r="V348" s="15" t="n">
        <v>0</v>
      </c>
      <c r="W348" s="24" t="n">
        <v>0</v>
      </c>
      <c r="X348" s="24" t="n">
        <v>0</v>
      </c>
      <c r="Y348" s="24" t="n">
        <v>0</v>
      </c>
      <c r="Z348" s="20" t="n">
        <v>0</v>
      </c>
      <c r="AA348" s="20" t="n">
        <v>0</v>
      </c>
      <c r="AB348" s="24" t="n">
        <v>0</v>
      </c>
      <c r="AC348" s="24" t="n">
        <v>0</v>
      </c>
      <c r="AD348" s="24" t="n">
        <v>0</v>
      </c>
      <c r="AE348" s="19" t="n">
        <v>0</v>
      </c>
      <c r="AF348" s="20" t="n">
        <v>0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17" t="n">
        <v>216</v>
      </c>
      <c r="J349" s="17" t="n">
        <v>395</v>
      </c>
      <c r="K349" s="17" t="n">
        <v>-167</v>
      </c>
      <c r="L349" s="17" t="n">
        <v>90</v>
      </c>
      <c r="M349" s="21" t="n">
        <v/>
      </c>
      <c r="N349" s="21" t="n">
        <v/>
      </c>
      <c r="O349" s="21" t="n">
        <v/>
      </c>
      <c r="P349" s="21" t="n">
        <v>0.3217011439848483</v>
      </c>
      <c r="Q349" s="22" t="n">
        <v>0</v>
      </c>
      <c r="R349" s="22" t="n">
        <v/>
      </c>
      <c r="S349" s="22" t="n">
        <v>0</v>
      </c>
      <c r="T349" s="22" t="n">
        <v>0</v>
      </c>
      <c r="U349" s="22" t="n">
        <v>0</v>
      </c>
      <c r="V349" s="17" t="n">
        <v>0</v>
      </c>
      <c r="W349" s="25" t="n">
        <v>0</v>
      </c>
      <c r="X349" s="25" t="n">
        <v>0</v>
      </c>
      <c r="Y349" s="25" t="n">
        <v>0</v>
      </c>
      <c r="Z349" s="22" t="n">
        <v>0</v>
      </c>
      <c r="AA349" s="22" t="n">
        <v>0</v>
      </c>
      <c r="AB349" s="25" t="n">
        <v>0</v>
      </c>
      <c r="AC349" s="25" t="n">
        <v>0</v>
      </c>
      <c r="AD349" s="25" t="n">
        <v>0</v>
      </c>
      <c r="AE349" s="21" t="n">
        <v>0</v>
      </c>
      <c r="AF349" s="22" t="n">
        <v>0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5" t="n">
        <v>216</v>
      </c>
      <c r="J350" s="15" t="n">
        <v>395</v>
      </c>
      <c r="K350" s="15" t="n">
        <v>-168</v>
      </c>
      <c r="L350" s="15" t="n">
        <v>90</v>
      </c>
      <c r="M350" s="19" t="n">
        <v/>
      </c>
      <c r="N350" s="19" t="n">
        <v/>
      </c>
      <c r="O350" s="19" t="n">
        <v/>
      </c>
      <c r="P350" s="19" t="n">
        <v>0.3206514146923516</v>
      </c>
      <c r="Q350" s="20" t="n">
        <v>0</v>
      </c>
      <c r="R350" s="20" t="n">
        <v/>
      </c>
      <c r="S350" s="20" t="n">
        <v>0</v>
      </c>
      <c r="T350" s="20" t="n">
        <v>0</v>
      </c>
      <c r="U350" s="20" t="n">
        <v>0</v>
      </c>
      <c r="V350" s="15" t="n">
        <v>0</v>
      </c>
      <c r="W350" s="24" t="n">
        <v>0</v>
      </c>
      <c r="X350" s="24" t="n">
        <v>0</v>
      </c>
      <c r="Y350" s="24" t="n">
        <v>0</v>
      </c>
      <c r="Z350" s="20" t="n">
        <v>0</v>
      </c>
      <c r="AA350" s="20" t="n">
        <v>0</v>
      </c>
      <c r="AB350" s="24" t="n">
        <v>0</v>
      </c>
      <c r="AC350" s="24" t="n">
        <v>0</v>
      </c>
      <c r="AD350" s="24" t="n">
        <v>0</v>
      </c>
      <c r="AE350" s="19" t="n">
        <v>0</v>
      </c>
      <c r="AF350" s="20" t="n">
        <v>0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17" t="n">
        <v>216</v>
      </c>
      <c r="J351" s="17" t="n">
        <v>395</v>
      </c>
      <c r="K351" s="17" t="n">
        <v>-169</v>
      </c>
      <c r="L351" s="17" t="n">
        <v>90</v>
      </c>
      <c r="M351" s="21" t="n">
        <v/>
      </c>
      <c r="N351" s="21" t="n">
        <v/>
      </c>
      <c r="O351" s="21" t="n">
        <v/>
      </c>
      <c r="P351" s="21" t="n">
        <v>0.3196051107267713</v>
      </c>
      <c r="Q351" s="22" t="n">
        <v>0</v>
      </c>
      <c r="R351" s="22" t="n">
        <v/>
      </c>
      <c r="S351" s="22" t="n">
        <v>0</v>
      </c>
      <c r="T351" s="22" t="n">
        <v>0</v>
      </c>
      <c r="U351" s="22" t="n">
        <v>0</v>
      </c>
      <c r="V351" s="17" t="n">
        <v>0</v>
      </c>
      <c r="W351" s="25" t="n">
        <v>0</v>
      </c>
      <c r="X351" s="25" t="n">
        <v>0</v>
      </c>
      <c r="Y351" s="25" t="n">
        <v>0</v>
      </c>
      <c r="Z351" s="22" t="n">
        <v>0</v>
      </c>
      <c r="AA351" s="22" t="n">
        <v>0</v>
      </c>
      <c r="AB351" s="25" t="n">
        <v>0</v>
      </c>
      <c r="AC351" s="25" t="n">
        <v>0</v>
      </c>
      <c r="AD351" s="25" t="n">
        <v>0</v>
      </c>
      <c r="AE351" s="21" t="n">
        <v>0</v>
      </c>
      <c r="AF351" s="22" t="n">
        <v>0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5" t="n">
        <v>216</v>
      </c>
      <c r="J352" s="15" t="n">
        <v>395</v>
      </c>
      <c r="K352" s="15" t="n">
        <v>-170</v>
      </c>
      <c r="L352" s="15" t="n">
        <v>90</v>
      </c>
      <c r="M352" s="19" t="n">
        <v/>
      </c>
      <c r="N352" s="19" t="n">
        <v/>
      </c>
      <c r="O352" s="19" t="n">
        <v/>
      </c>
      <c r="P352" s="19" t="n">
        <v>0.3185622209110691</v>
      </c>
      <c r="Q352" s="20" t="n">
        <v>0</v>
      </c>
      <c r="R352" s="20" t="n">
        <v/>
      </c>
      <c r="S352" s="20" t="n">
        <v>0</v>
      </c>
      <c r="T352" s="20" t="n">
        <v>0</v>
      </c>
      <c r="U352" s="20" t="n">
        <v>0</v>
      </c>
      <c r="V352" s="15" t="n">
        <v>0</v>
      </c>
      <c r="W352" s="24" t="n">
        <v>0</v>
      </c>
      <c r="X352" s="24" t="n">
        <v>0</v>
      </c>
      <c r="Y352" s="24" t="n">
        <v>0</v>
      </c>
      <c r="Z352" s="20" t="n">
        <v>0</v>
      </c>
      <c r="AA352" s="20" t="n">
        <v>0</v>
      </c>
      <c r="AB352" s="24" t="n">
        <v>0</v>
      </c>
      <c r="AC352" s="24" t="n">
        <v>0</v>
      </c>
      <c r="AD352" s="24" t="n">
        <v>0</v>
      </c>
      <c r="AE352" s="19" t="n">
        <v>0</v>
      </c>
      <c r="AF352" s="20" t="n">
        <v>0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17" t="n">
        <v>216</v>
      </c>
      <c r="J353" s="17" t="n">
        <v>395</v>
      </c>
      <c r="K353" s="17" t="n">
        <v>-171</v>
      </c>
      <c r="L353" s="17" t="n">
        <v>90</v>
      </c>
      <c r="M353" s="21" t="n">
        <v/>
      </c>
      <c r="N353" s="21" t="n">
        <v/>
      </c>
      <c r="O353" s="21" t="n">
        <v/>
      </c>
      <c r="P353" s="21" t="n">
        <v>0.317522734104678</v>
      </c>
      <c r="Q353" s="22" t="n">
        <v>0</v>
      </c>
      <c r="R353" s="22" t="n">
        <v/>
      </c>
      <c r="S353" s="22" t="n">
        <v>0</v>
      </c>
      <c r="T353" s="22" t="n">
        <v>0</v>
      </c>
      <c r="U353" s="22" t="n">
        <v>0</v>
      </c>
      <c r="V353" s="17" t="n">
        <v>0</v>
      </c>
      <c r="W353" s="25" t="n">
        <v>0</v>
      </c>
      <c r="X353" s="25" t="n">
        <v>0</v>
      </c>
      <c r="Y353" s="25" t="n">
        <v>0</v>
      </c>
      <c r="Z353" s="22" t="n">
        <v>0</v>
      </c>
      <c r="AA353" s="22" t="n">
        <v>0</v>
      </c>
      <c r="AB353" s="25" t="n">
        <v>0</v>
      </c>
      <c r="AC353" s="25" t="n">
        <v>0</v>
      </c>
      <c r="AD353" s="25" t="n">
        <v>0</v>
      </c>
      <c r="AE353" s="21" t="n">
        <v>0</v>
      </c>
      <c r="AF353" s="22" t="n">
        <v>0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5" t="n">
        <v>216</v>
      </c>
      <c r="J354" s="15" t="n">
        <v>395</v>
      </c>
      <c r="K354" s="15" t="n">
        <v>-172</v>
      </c>
      <c r="L354" s="15" t="n">
        <v>90</v>
      </c>
      <c r="M354" s="19" t="n">
        <v/>
      </c>
      <c r="N354" s="19" t="n">
        <v/>
      </c>
      <c r="O354" s="19" t="n">
        <v/>
      </c>
      <c r="P354" s="19" t="n">
        <v>0.3164866392033835</v>
      </c>
      <c r="Q354" s="20" t="n">
        <v>0</v>
      </c>
      <c r="R354" s="20" t="n">
        <v/>
      </c>
      <c r="S354" s="20" t="n">
        <v>0</v>
      </c>
      <c r="T354" s="20" t="n">
        <v>0</v>
      </c>
      <c r="U354" s="20" t="n">
        <v>0</v>
      </c>
      <c r="V354" s="15" t="n">
        <v>0</v>
      </c>
      <c r="W354" s="24" t="n">
        <v>0</v>
      </c>
      <c r="X354" s="24" t="n">
        <v>0</v>
      </c>
      <c r="Y354" s="24" t="n">
        <v>0</v>
      </c>
      <c r="Z354" s="20" t="n">
        <v>0</v>
      </c>
      <c r="AA354" s="20" t="n">
        <v>0</v>
      </c>
      <c r="AB354" s="24" t="n">
        <v>0</v>
      </c>
      <c r="AC354" s="24" t="n">
        <v>0</v>
      </c>
      <c r="AD354" s="24" t="n">
        <v>0</v>
      </c>
      <c r="AE354" s="19" t="n">
        <v>0</v>
      </c>
      <c r="AF354" s="20" t="n">
        <v>0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17" t="n">
        <v>216</v>
      </c>
      <c r="J355" s="17" t="n">
        <v>395</v>
      </c>
      <c r="K355" s="17" t="n">
        <v>-173</v>
      </c>
      <c r="L355" s="17" t="n">
        <v>90</v>
      </c>
      <c r="M355" s="21" t="n">
        <v/>
      </c>
      <c r="N355" s="21" t="n">
        <v/>
      </c>
      <c r="O355" s="21" t="n">
        <v/>
      </c>
      <c r="P355" s="21" t="n">
        <v>0.3154539251392045</v>
      </c>
      <c r="Q355" s="22" t="n">
        <v>0</v>
      </c>
      <c r="R355" s="22" t="n">
        <v/>
      </c>
      <c r="S355" s="22" t="n">
        <v>0</v>
      </c>
      <c r="T355" s="22" t="n">
        <v>0</v>
      </c>
      <c r="U355" s="22" t="n">
        <v>0</v>
      </c>
      <c r="V355" s="17" t="n">
        <v>0</v>
      </c>
      <c r="W355" s="25" t="n">
        <v>0</v>
      </c>
      <c r="X355" s="25" t="n">
        <v>0</v>
      </c>
      <c r="Y355" s="25" t="n">
        <v>0</v>
      </c>
      <c r="Z355" s="22" t="n">
        <v>0</v>
      </c>
      <c r="AA355" s="22" t="n">
        <v>0</v>
      </c>
      <c r="AB355" s="25" t="n">
        <v>0</v>
      </c>
      <c r="AC355" s="25" t="n">
        <v>0</v>
      </c>
      <c r="AD355" s="25" t="n">
        <v>0</v>
      </c>
      <c r="AE355" s="21" t="n">
        <v>0</v>
      </c>
      <c r="AF355" s="22" t="n">
        <v>0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5" t="n">
        <v>216</v>
      </c>
      <c r="J356" s="15" t="n">
        <v>395</v>
      </c>
      <c r="K356" s="15" t="n">
        <v>-174</v>
      </c>
      <c r="L356" s="15" t="n">
        <v>90</v>
      </c>
      <c r="M356" s="19" t="n">
        <v/>
      </c>
      <c r="N356" s="19" t="n">
        <v/>
      </c>
      <c r="O356" s="19" t="n">
        <v/>
      </c>
      <c r="P356" s="19" t="n">
        <v>0.3144245808802755</v>
      </c>
      <c r="Q356" s="20" t="n">
        <v>0</v>
      </c>
      <c r="R356" s="20" t="n">
        <v/>
      </c>
      <c r="S356" s="20" t="n">
        <v>0</v>
      </c>
      <c r="T356" s="20" t="n">
        <v>0</v>
      </c>
      <c r="U356" s="20" t="n">
        <v>0</v>
      </c>
      <c r="V356" s="15" t="n">
        <v>0</v>
      </c>
      <c r="W356" s="24" t="n">
        <v>0</v>
      </c>
      <c r="X356" s="24" t="n">
        <v>0</v>
      </c>
      <c r="Y356" s="24" t="n">
        <v>0</v>
      </c>
      <c r="Z356" s="20" t="n">
        <v>0</v>
      </c>
      <c r="AA356" s="20" t="n">
        <v>0</v>
      </c>
      <c r="AB356" s="24" t="n">
        <v>0</v>
      </c>
      <c r="AC356" s="24" t="n">
        <v>0</v>
      </c>
      <c r="AD356" s="24" t="n">
        <v>0</v>
      </c>
      <c r="AE356" s="19" t="n">
        <v>0</v>
      </c>
      <c r="AF356" s="20" t="n">
        <v>0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17" t="n">
        <v>216</v>
      </c>
      <c r="J357" s="17" t="n">
        <v>395</v>
      </c>
      <c r="K357" s="17" t="n">
        <v>-175</v>
      </c>
      <c r="L357" s="17" t="n">
        <v>90</v>
      </c>
      <c r="M357" s="21" t="n">
        <v/>
      </c>
      <c r="N357" s="21" t="n">
        <v/>
      </c>
      <c r="O357" s="21" t="n">
        <v/>
      </c>
      <c r="P357" s="21" t="n">
        <v>0.3133985954307287</v>
      </c>
      <c r="Q357" s="22" t="n">
        <v>0</v>
      </c>
      <c r="R357" s="22" t="n">
        <v/>
      </c>
      <c r="S357" s="22" t="n">
        <v>0</v>
      </c>
      <c r="T357" s="22" t="n">
        <v>0</v>
      </c>
      <c r="U357" s="22" t="n">
        <v>0</v>
      </c>
      <c r="V357" s="17" t="n">
        <v>0</v>
      </c>
      <c r="W357" s="25" t="n">
        <v>0</v>
      </c>
      <c r="X357" s="25" t="n">
        <v>0</v>
      </c>
      <c r="Y357" s="25" t="n">
        <v>0</v>
      </c>
      <c r="Z357" s="22" t="n">
        <v>0</v>
      </c>
      <c r="AA357" s="22" t="n">
        <v>0</v>
      </c>
      <c r="AB357" s="25" t="n">
        <v>0</v>
      </c>
      <c r="AC357" s="25" t="n">
        <v>0</v>
      </c>
      <c r="AD357" s="25" t="n">
        <v>0</v>
      </c>
      <c r="AE357" s="21" t="n">
        <v>0</v>
      </c>
      <c r="AF357" s="22" t="n">
        <v>0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5" t="n">
        <v>216</v>
      </c>
      <c r="J358" s="15" t="n">
        <v>395</v>
      </c>
      <c r="K358" s="15" t="n">
        <v>-176</v>
      </c>
      <c r="L358" s="15" t="n">
        <v>90</v>
      </c>
      <c r="M358" s="19" t="n">
        <v/>
      </c>
      <c r="N358" s="19" t="n">
        <v/>
      </c>
      <c r="O358" s="19" t="n">
        <v/>
      </c>
      <c r="P358" s="19" t="n">
        <v>0.3123759578305763</v>
      </c>
      <c r="Q358" s="20" t="n">
        <v>0</v>
      </c>
      <c r="R358" s="20" t="n">
        <v/>
      </c>
      <c r="S358" s="20" t="n">
        <v>0</v>
      </c>
      <c r="T358" s="20" t="n">
        <v>0</v>
      </c>
      <c r="U358" s="20" t="n">
        <v>0</v>
      </c>
      <c r="V358" s="15" t="n">
        <v>0</v>
      </c>
      <c r="W358" s="24" t="n">
        <v>0</v>
      </c>
      <c r="X358" s="24" t="n">
        <v>0</v>
      </c>
      <c r="Y358" s="24" t="n">
        <v>0</v>
      </c>
      <c r="Z358" s="20" t="n">
        <v>0</v>
      </c>
      <c r="AA358" s="20" t="n">
        <v>0</v>
      </c>
      <c r="AB358" s="24" t="n">
        <v>0</v>
      </c>
      <c r="AC358" s="24" t="n">
        <v>0</v>
      </c>
      <c r="AD358" s="24" t="n">
        <v>0</v>
      </c>
      <c r="AE358" s="19" t="n">
        <v>0</v>
      </c>
      <c r="AF358" s="20" t="n">
        <v>0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17" t="n">
        <v>216</v>
      </c>
      <c r="J359" s="17" t="n">
        <v>395</v>
      </c>
      <c r="K359" s="17" t="n">
        <v>-177</v>
      </c>
      <c r="L359" s="17" t="n">
        <v>90</v>
      </c>
      <c r="M359" s="21" t="n">
        <v/>
      </c>
      <c r="N359" s="21" t="n">
        <v/>
      </c>
      <c r="O359" s="21" t="n">
        <v/>
      </c>
      <c r="P359" s="21" t="n">
        <v>0.3113566571555935</v>
      </c>
      <c r="Q359" s="22" t="n">
        <v>0</v>
      </c>
      <c r="R359" s="22" t="n">
        <v/>
      </c>
      <c r="S359" s="22" t="n">
        <v>0</v>
      </c>
      <c r="T359" s="22" t="n">
        <v>0</v>
      </c>
      <c r="U359" s="22" t="n">
        <v>0</v>
      </c>
      <c r="V359" s="17" t="n">
        <v>0</v>
      </c>
      <c r="W359" s="25" t="n">
        <v>0</v>
      </c>
      <c r="X359" s="25" t="n">
        <v>0</v>
      </c>
      <c r="Y359" s="25" t="n">
        <v>0</v>
      </c>
      <c r="Z359" s="22" t="n">
        <v>0</v>
      </c>
      <c r="AA359" s="22" t="n">
        <v>0</v>
      </c>
      <c r="AB359" s="25" t="n">
        <v>0</v>
      </c>
      <c r="AC359" s="25" t="n">
        <v>0</v>
      </c>
      <c r="AD359" s="25" t="n">
        <v>0</v>
      </c>
      <c r="AE359" s="21" t="n">
        <v>0</v>
      </c>
      <c r="AF359" s="22" t="n">
        <v>0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5" t="n">
        <v>216</v>
      </c>
      <c r="J360" s="15" t="n">
        <v>395</v>
      </c>
      <c r="K360" s="15" t="n">
        <v>-178</v>
      </c>
      <c r="L360" s="15" t="n">
        <v>90</v>
      </c>
      <c r="M360" s="19" t="n">
        <v/>
      </c>
      <c r="N360" s="19" t="n">
        <v/>
      </c>
      <c r="O360" s="19" t="n">
        <v/>
      </c>
      <c r="P360" s="19" t="n">
        <v>0.3103406825172022</v>
      </c>
      <c r="Q360" s="20" t="n">
        <v>0</v>
      </c>
      <c r="R360" s="20" t="n">
        <v/>
      </c>
      <c r="S360" s="20" t="n">
        <v>0</v>
      </c>
      <c r="T360" s="20" t="n">
        <v>0</v>
      </c>
      <c r="U360" s="20" t="n">
        <v>0</v>
      </c>
      <c r="V360" s="15" t="n">
        <v>0</v>
      </c>
      <c r="W360" s="24" t="n">
        <v>0</v>
      </c>
      <c r="X360" s="24" t="n">
        <v>0</v>
      </c>
      <c r="Y360" s="24" t="n">
        <v>0</v>
      </c>
      <c r="Z360" s="20" t="n">
        <v>0</v>
      </c>
      <c r="AA360" s="20" t="n">
        <v>0</v>
      </c>
      <c r="AB360" s="24" t="n">
        <v>0</v>
      </c>
      <c r="AC360" s="24" t="n">
        <v>0</v>
      </c>
      <c r="AD360" s="24" t="n">
        <v>0</v>
      </c>
      <c r="AE360" s="19" t="n">
        <v>0</v>
      </c>
      <c r="AF360" s="20" t="n">
        <v>0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17" t="n">
        <v>216</v>
      </c>
      <c r="J361" s="17" t="n">
        <v>395</v>
      </c>
      <c r="K361" s="17" t="n">
        <v>-179</v>
      </c>
      <c r="L361" s="17" t="n">
        <v>90</v>
      </c>
      <c r="M361" s="21" t="n">
        <v/>
      </c>
      <c r="N361" s="21" t="n">
        <v/>
      </c>
      <c r="O361" s="21" t="n">
        <v/>
      </c>
      <c r="P361" s="21" t="n">
        <v>0.309328023062354</v>
      </c>
      <c r="Q361" s="22" t="n">
        <v>0</v>
      </c>
      <c r="R361" s="22" t="n">
        <v/>
      </c>
      <c r="S361" s="22" t="n">
        <v>0</v>
      </c>
      <c r="T361" s="22" t="n">
        <v>0</v>
      </c>
      <c r="U361" s="22" t="n">
        <v>0</v>
      </c>
      <c r="V361" s="17" t="n">
        <v>0</v>
      </c>
      <c r="W361" s="25" t="n">
        <v>0</v>
      </c>
      <c r="X361" s="25" t="n">
        <v>0</v>
      </c>
      <c r="Y361" s="25" t="n">
        <v>0</v>
      </c>
      <c r="Z361" s="22" t="n">
        <v>0</v>
      </c>
      <c r="AA361" s="22" t="n">
        <v>0</v>
      </c>
      <c r="AB361" s="25" t="n">
        <v>0</v>
      </c>
      <c r="AC361" s="25" t="n">
        <v>0</v>
      </c>
      <c r="AD361" s="25" t="n">
        <v>0</v>
      </c>
      <c r="AE361" s="21" t="n">
        <v>0</v>
      </c>
      <c r="AF361" s="22" t="n">
        <v>0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5" t="n">
        <v>216</v>
      </c>
      <c r="J362" s="15" t="n">
        <v>395</v>
      </c>
      <c r="K362" s="15" t="n">
        <v>-180</v>
      </c>
      <c r="L362" s="15" t="n">
        <v>90</v>
      </c>
      <c r="M362" s="19" t="n">
        <v/>
      </c>
      <c r="N362" s="19" t="n">
        <v/>
      </c>
      <c r="O362" s="19" t="n">
        <v/>
      </c>
      <c r="P362" s="19" t="n">
        <v>0.3083186679734149</v>
      </c>
      <c r="Q362" s="20" t="n">
        <v>0</v>
      </c>
      <c r="R362" s="20" t="n">
        <v/>
      </c>
      <c r="S362" s="20" t="n">
        <v>0</v>
      </c>
      <c r="T362" s="20" t="n">
        <v>0</v>
      </c>
      <c r="U362" s="20" t="n">
        <v>0</v>
      </c>
      <c r="V362" s="15" t="n">
        <v>0</v>
      </c>
      <c r="W362" s="24" t="n">
        <v>0</v>
      </c>
      <c r="X362" s="24" t="n">
        <v>0</v>
      </c>
      <c r="Y362" s="24" t="n">
        <v>0</v>
      </c>
      <c r="Z362" s="20" t="n">
        <v>0</v>
      </c>
      <c r="AA362" s="20" t="n">
        <v>0</v>
      </c>
      <c r="AB362" s="24" t="n">
        <v>0</v>
      </c>
      <c r="AC362" s="24" t="n">
        <v>0</v>
      </c>
      <c r="AD362" s="24" t="n">
        <v>0</v>
      </c>
      <c r="AE362" s="19" t="n">
        <v>0</v>
      </c>
      <c r="AF362" s="20" t="n">
        <v>0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17" t="n">
        <v>216</v>
      </c>
      <c r="J363" s="17" t="n">
        <v>395</v>
      </c>
      <c r="K363" s="17" t="n">
        <v>-181</v>
      </c>
      <c r="L363" s="17" t="n">
        <v>90</v>
      </c>
      <c r="M363" s="21" t="n">
        <v/>
      </c>
      <c r="N363" s="21" t="n">
        <v/>
      </c>
      <c r="O363" s="21" t="n">
        <v/>
      </c>
      <c r="P363" s="21" t="n">
        <v>0.3073126064680492</v>
      </c>
      <c r="Q363" s="22" t="n">
        <v>0</v>
      </c>
      <c r="R363" s="22" t="n">
        <v/>
      </c>
      <c r="S363" s="22" t="n">
        <v>0</v>
      </c>
      <c r="T363" s="22" t="n">
        <v>0</v>
      </c>
      <c r="U363" s="22" t="n">
        <v>0</v>
      </c>
      <c r="V363" s="17" t="n">
        <v>0</v>
      </c>
      <c r="W363" s="25" t="n">
        <v>0</v>
      </c>
      <c r="X363" s="25" t="n">
        <v>0</v>
      </c>
      <c r="Y363" s="25" t="n">
        <v>0</v>
      </c>
      <c r="Z363" s="22" t="n">
        <v>0</v>
      </c>
      <c r="AA363" s="22" t="n">
        <v>0</v>
      </c>
      <c r="AB363" s="25" t="n">
        <v>0</v>
      </c>
      <c r="AC363" s="25" t="n">
        <v>0</v>
      </c>
      <c r="AD363" s="25" t="n">
        <v>0</v>
      </c>
      <c r="AE363" s="21" t="n">
        <v>0</v>
      </c>
      <c r="AF363" s="22" t="n">
        <v>0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5" t="n">
        <v>216</v>
      </c>
      <c r="J364" s="15" t="n">
        <v>395</v>
      </c>
      <c r="K364" s="15" t="n">
        <v>-182</v>
      </c>
      <c r="L364" s="15" t="n">
        <v>90</v>
      </c>
      <c r="M364" s="19" t="n">
        <v/>
      </c>
      <c r="N364" s="19" t="n">
        <v/>
      </c>
      <c r="O364" s="19" t="n">
        <v/>
      </c>
      <c r="P364" s="19" t="n">
        <v>0.3063098277991048</v>
      </c>
      <c r="Q364" s="20" t="n">
        <v>0</v>
      </c>
      <c r="R364" s="20" t="n">
        <v/>
      </c>
      <c r="S364" s="20" t="n">
        <v>0</v>
      </c>
      <c r="T364" s="20" t="n">
        <v>0</v>
      </c>
      <c r="U364" s="20" t="n">
        <v>0</v>
      </c>
      <c r="V364" s="15" t="n">
        <v>0</v>
      </c>
      <c r="W364" s="24" t="n">
        <v>0</v>
      </c>
      <c r="X364" s="24" t="n">
        <v>0</v>
      </c>
      <c r="Y364" s="24" t="n">
        <v>0</v>
      </c>
      <c r="Z364" s="20" t="n">
        <v>0</v>
      </c>
      <c r="AA364" s="20" t="n">
        <v>0</v>
      </c>
      <c r="AB364" s="24" t="n">
        <v>0</v>
      </c>
      <c r="AC364" s="24" t="n">
        <v>0</v>
      </c>
      <c r="AD364" s="24" t="n">
        <v>0</v>
      </c>
      <c r="AE364" s="19" t="n">
        <v>0</v>
      </c>
      <c r="AF364" s="20" t="n">
        <v>0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17" t="n">
        <v>216</v>
      </c>
      <c r="J365" s="17" t="n">
        <v>395</v>
      </c>
      <c r="K365" s="17" t="n">
        <v>-183</v>
      </c>
      <c r="L365" s="17" t="n">
        <v>90</v>
      </c>
      <c r="M365" s="21" t="n">
        <v/>
      </c>
      <c r="N365" s="21" t="n">
        <v/>
      </c>
      <c r="O365" s="21" t="n">
        <v/>
      </c>
      <c r="P365" s="21" t="n">
        <v>0.305310321254498</v>
      </c>
      <c r="Q365" s="22" t="n">
        <v>0</v>
      </c>
      <c r="R365" s="22" t="n">
        <v/>
      </c>
      <c r="S365" s="22" t="n">
        <v>0</v>
      </c>
      <c r="T365" s="22" t="n">
        <v>0</v>
      </c>
      <c r="U365" s="22" t="n">
        <v>0</v>
      </c>
      <c r="V365" s="17" t="n">
        <v>0</v>
      </c>
      <c r="W365" s="25" t="n">
        <v>0</v>
      </c>
      <c r="X365" s="25" t="n">
        <v>0</v>
      </c>
      <c r="Y365" s="25" t="n">
        <v>0</v>
      </c>
      <c r="Z365" s="22" t="n">
        <v>0</v>
      </c>
      <c r="AA365" s="22" t="n">
        <v>0</v>
      </c>
      <c r="AB365" s="25" t="n">
        <v>0</v>
      </c>
      <c r="AC365" s="25" t="n">
        <v>0</v>
      </c>
      <c r="AD365" s="25" t="n">
        <v>0</v>
      </c>
      <c r="AE365" s="21" t="n">
        <v>0</v>
      </c>
      <c r="AF365" s="22" t="n">
        <v>0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5" t="n">
        <v>216</v>
      </c>
      <c r="J366" s="15" t="n">
        <v>395</v>
      </c>
      <c r="K366" s="15" t="n">
        <v>-184</v>
      </c>
      <c r="L366" s="15" t="n">
        <v>90</v>
      </c>
      <c r="M366" s="19" t="n">
        <v/>
      </c>
      <c r="N366" s="19" t="n">
        <v/>
      </c>
      <c r="O366" s="19" t="n">
        <v/>
      </c>
      <c r="P366" s="19" t="n">
        <v>0.3043140761570994</v>
      </c>
      <c r="Q366" s="20" t="n">
        <v>0</v>
      </c>
      <c r="R366" s="20" t="n">
        <v/>
      </c>
      <c r="S366" s="20" t="n">
        <v>0</v>
      </c>
      <c r="T366" s="20" t="n">
        <v>0</v>
      </c>
      <c r="U366" s="20" t="n">
        <v>0</v>
      </c>
      <c r="V366" s="15" t="n">
        <v>0</v>
      </c>
      <c r="W366" s="24" t="n">
        <v>0</v>
      </c>
      <c r="X366" s="24" t="n">
        <v>0</v>
      </c>
      <c r="Y366" s="24" t="n">
        <v>0</v>
      </c>
      <c r="Z366" s="20" t="n">
        <v>0</v>
      </c>
      <c r="AA366" s="20" t="n">
        <v>0</v>
      </c>
      <c r="AB366" s="24" t="n">
        <v>0</v>
      </c>
      <c r="AC366" s="24" t="n">
        <v>0</v>
      </c>
      <c r="AD366" s="24" t="n">
        <v>0</v>
      </c>
      <c r="AE366" s="19" t="n">
        <v>0</v>
      </c>
      <c r="AF366" s="20" t="n">
        <v>0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17" t="n">
        <v>216</v>
      </c>
      <c r="J367" s="17" t="n">
        <v>395</v>
      </c>
      <c r="K367" s="17" t="n">
        <v>-185</v>
      </c>
      <c r="L367" s="17" t="n">
        <v>90</v>
      </c>
      <c r="M367" s="21" t="n">
        <v/>
      </c>
      <c r="N367" s="21" t="n">
        <v/>
      </c>
      <c r="O367" s="21" t="n">
        <v/>
      </c>
      <c r="P367" s="21" t="n">
        <v>0.3033210818646195</v>
      </c>
      <c r="Q367" s="22" t="n">
        <v>0</v>
      </c>
      <c r="R367" s="22" t="n">
        <v/>
      </c>
      <c r="S367" s="22" t="n">
        <v>0</v>
      </c>
      <c r="T367" s="22" t="n">
        <v>0</v>
      </c>
      <c r="U367" s="22" t="n">
        <v>0</v>
      </c>
      <c r="V367" s="17" t="n">
        <v>0</v>
      </c>
      <c r="W367" s="25" t="n">
        <v>0</v>
      </c>
      <c r="X367" s="25" t="n">
        <v>0</v>
      </c>
      <c r="Y367" s="25" t="n">
        <v>0</v>
      </c>
      <c r="Z367" s="22" t="n">
        <v>0</v>
      </c>
      <c r="AA367" s="22" t="n">
        <v>0</v>
      </c>
      <c r="AB367" s="25" t="n">
        <v>0</v>
      </c>
      <c r="AC367" s="25" t="n">
        <v>0</v>
      </c>
      <c r="AD367" s="25" t="n">
        <v>0</v>
      </c>
      <c r="AE367" s="21" t="n">
        <v>0</v>
      </c>
      <c r="AF367" s="22" t="n">
        <v>0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5" t="n">
        <v>216</v>
      </c>
      <c r="J368" s="15" t="n">
        <v>395</v>
      </c>
      <c r="K368" s="15" t="n">
        <v>-186</v>
      </c>
      <c r="L368" s="15" t="n">
        <v>90</v>
      </c>
      <c r="M368" s="19" t="n">
        <v/>
      </c>
      <c r="N368" s="19" t="n">
        <v/>
      </c>
      <c r="O368" s="19" t="n">
        <v/>
      </c>
      <c r="P368" s="19" t="n">
        <v>0.3023313277694955</v>
      </c>
      <c r="Q368" s="20" t="n">
        <v>0</v>
      </c>
      <c r="R368" s="20" t="n">
        <v/>
      </c>
      <c r="S368" s="20" t="n">
        <v>0</v>
      </c>
      <c r="T368" s="20" t="n">
        <v>0</v>
      </c>
      <c r="U368" s="20" t="n">
        <v>0</v>
      </c>
      <c r="V368" s="15" t="n">
        <v>0</v>
      </c>
      <c r="W368" s="24" t="n">
        <v>0</v>
      </c>
      <c r="X368" s="24" t="n">
        <v>0</v>
      </c>
      <c r="Y368" s="24" t="n">
        <v>0</v>
      </c>
      <c r="Z368" s="20" t="n">
        <v>0</v>
      </c>
      <c r="AA368" s="20" t="n">
        <v>0</v>
      </c>
      <c r="AB368" s="24" t="n">
        <v>0</v>
      </c>
      <c r="AC368" s="24" t="n">
        <v>0</v>
      </c>
      <c r="AD368" s="24" t="n">
        <v>0</v>
      </c>
      <c r="AE368" s="19" t="n">
        <v>0</v>
      </c>
      <c r="AF368" s="20" t="n">
        <v>0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17" t="n">
        <v>216</v>
      </c>
      <c r="J369" s="17" t="n">
        <v>395</v>
      </c>
      <c r="K369" s="17" t="n">
        <v>-187</v>
      </c>
      <c r="L369" s="17" t="n">
        <v>90</v>
      </c>
      <c r="M369" s="21" t="n">
        <v/>
      </c>
      <c r="N369" s="21" t="n">
        <v/>
      </c>
      <c r="O369" s="21" t="n">
        <v/>
      </c>
      <c r="P369" s="21" t="n">
        <v>0.3013448032987774</v>
      </c>
      <c r="Q369" s="22" t="n">
        <v>0</v>
      </c>
      <c r="R369" s="22" t="n">
        <v/>
      </c>
      <c r="S369" s="22" t="n">
        <v>0</v>
      </c>
      <c r="T369" s="22" t="n">
        <v>0</v>
      </c>
      <c r="U369" s="22" t="n">
        <v>0</v>
      </c>
      <c r="V369" s="17" t="n">
        <v>0</v>
      </c>
      <c r="W369" s="25" t="n">
        <v>0</v>
      </c>
      <c r="X369" s="25" t="n">
        <v>0</v>
      </c>
      <c r="Y369" s="25" t="n">
        <v>0</v>
      </c>
      <c r="Z369" s="22" t="n">
        <v>0</v>
      </c>
      <c r="AA369" s="22" t="n">
        <v>0</v>
      </c>
      <c r="AB369" s="25" t="n">
        <v>0</v>
      </c>
      <c r="AC369" s="25" t="n">
        <v>0</v>
      </c>
      <c r="AD369" s="25" t="n">
        <v>0</v>
      </c>
      <c r="AE369" s="21" t="n">
        <v>0</v>
      </c>
      <c r="AF369" s="22" t="n">
        <v>0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5" t="n">
        <v>216</v>
      </c>
      <c r="J370" s="15" t="n">
        <v>395</v>
      </c>
      <c r="K370" s="15" t="n">
        <v>-188</v>
      </c>
      <c r="L370" s="15" t="n">
        <v>90</v>
      </c>
      <c r="M370" s="19" t="n">
        <v/>
      </c>
      <c r="N370" s="19" t="n">
        <v/>
      </c>
      <c r="O370" s="19" t="n">
        <v/>
      </c>
      <c r="P370" s="19" t="n">
        <v>0.3003614979140154</v>
      </c>
      <c r="Q370" s="20" t="n">
        <v>0</v>
      </c>
      <c r="R370" s="20" t="n">
        <v/>
      </c>
      <c r="S370" s="20" t="n">
        <v>0</v>
      </c>
      <c r="T370" s="20" t="n">
        <v>0</v>
      </c>
      <c r="U370" s="20" t="n">
        <v>0</v>
      </c>
      <c r="V370" s="15" t="n">
        <v>0</v>
      </c>
      <c r="W370" s="24" t="n">
        <v>0</v>
      </c>
      <c r="X370" s="24" t="n">
        <v>0</v>
      </c>
      <c r="Y370" s="24" t="n">
        <v>0</v>
      </c>
      <c r="Z370" s="20" t="n">
        <v>0</v>
      </c>
      <c r="AA370" s="20" t="n">
        <v>0</v>
      </c>
      <c r="AB370" s="24" t="n">
        <v>0</v>
      </c>
      <c r="AC370" s="24" t="n">
        <v>0</v>
      </c>
      <c r="AD370" s="24" t="n">
        <v>0</v>
      </c>
      <c r="AE370" s="19" t="n">
        <v>0</v>
      </c>
      <c r="AF370" s="20" t="n">
        <v>0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17" t="n">
        <v>216</v>
      </c>
      <c r="J371" s="17" t="n">
        <v>395</v>
      </c>
      <c r="K371" s="17" t="n">
        <v>-189</v>
      </c>
      <c r="L371" s="17" t="n">
        <v>90</v>
      </c>
      <c r="M371" s="21" t="n">
        <v/>
      </c>
      <c r="N371" s="21" t="n">
        <v/>
      </c>
      <c r="O371" s="21" t="n">
        <v/>
      </c>
      <c r="P371" s="21" t="n">
        <v>0.2993814011111474</v>
      </c>
      <c r="Q371" s="22" t="n">
        <v>0</v>
      </c>
      <c r="R371" s="22" t="n">
        <v/>
      </c>
      <c r="S371" s="22" t="n">
        <v>0</v>
      </c>
      <c r="T371" s="22" t="n">
        <v>0</v>
      </c>
      <c r="U371" s="22" t="n">
        <v>0</v>
      </c>
      <c r="V371" s="17" t="n">
        <v>0</v>
      </c>
      <c r="W371" s="25" t="n">
        <v>0</v>
      </c>
      <c r="X371" s="25" t="n">
        <v>0</v>
      </c>
      <c r="Y371" s="25" t="n">
        <v>0</v>
      </c>
      <c r="Z371" s="22" t="n">
        <v>0</v>
      </c>
      <c r="AA371" s="22" t="n">
        <v>0</v>
      </c>
      <c r="AB371" s="25" t="n">
        <v>0</v>
      </c>
      <c r="AC371" s="25" t="n">
        <v>0</v>
      </c>
      <c r="AD371" s="25" t="n">
        <v>0</v>
      </c>
      <c r="AE371" s="21" t="n">
        <v>0</v>
      </c>
      <c r="AF371" s="22" t="n">
        <v>0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5" t="n">
        <v>216</v>
      </c>
      <c r="J372" s="15" t="n">
        <v>395</v>
      </c>
      <c r="K372" s="15" t="n">
        <v>-190</v>
      </c>
      <c r="L372" s="15" t="n">
        <v>90</v>
      </c>
      <c r="M372" s="19" t="n">
        <v/>
      </c>
      <c r="N372" s="19" t="n">
        <v/>
      </c>
      <c r="O372" s="19" t="n">
        <v/>
      </c>
      <c r="P372" s="19" t="n">
        <v>0.2984045024203865</v>
      </c>
      <c r="Q372" s="20" t="n">
        <v>0</v>
      </c>
      <c r="R372" s="20" t="n">
        <v/>
      </c>
      <c r="S372" s="20" t="n">
        <v>0</v>
      </c>
      <c r="T372" s="20" t="n">
        <v>0</v>
      </c>
      <c r="U372" s="20" t="n">
        <v>0</v>
      </c>
      <c r="V372" s="15" t="n">
        <v>0</v>
      </c>
      <c r="W372" s="24" t="n">
        <v>0</v>
      </c>
      <c r="X372" s="24" t="n">
        <v>0</v>
      </c>
      <c r="Y372" s="24" t="n">
        <v>0</v>
      </c>
      <c r="Z372" s="20" t="n">
        <v>0</v>
      </c>
      <c r="AA372" s="20" t="n">
        <v>0</v>
      </c>
      <c r="AB372" s="24" t="n">
        <v>0</v>
      </c>
      <c r="AC372" s="24" t="n">
        <v>0</v>
      </c>
      <c r="AD372" s="24" t="n">
        <v>0</v>
      </c>
      <c r="AE372" s="19" t="n">
        <v>0</v>
      </c>
      <c r="AF372" s="20" t="n">
        <v>0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17" t="n">
        <v>216</v>
      </c>
      <c r="J373" s="17" t="n">
        <v>395</v>
      </c>
      <c r="K373" s="17" t="n">
        <v>-191</v>
      </c>
      <c r="L373" s="17" t="n">
        <v>90</v>
      </c>
      <c r="M373" s="21" t="n">
        <v/>
      </c>
      <c r="N373" s="21" t="n">
        <v/>
      </c>
      <c r="O373" s="21" t="n">
        <v/>
      </c>
      <c r="P373" s="21" t="n">
        <v>0.2974307914061094</v>
      </c>
      <c r="Q373" s="22" t="n">
        <v>0</v>
      </c>
      <c r="R373" s="22" t="n">
        <v/>
      </c>
      <c r="S373" s="22" t="n">
        <v>0</v>
      </c>
      <c r="T373" s="22" t="n">
        <v>0</v>
      </c>
      <c r="U373" s="22" t="n">
        <v>0</v>
      </c>
      <c r="V373" s="17" t="n">
        <v>0</v>
      </c>
      <c r="W373" s="25" t="n">
        <v>0</v>
      </c>
      <c r="X373" s="25" t="n">
        <v>0</v>
      </c>
      <c r="Y373" s="25" t="n">
        <v>0</v>
      </c>
      <c r="Z373" s="22" t="n">
        <v>0</v>
      </c>
      <c r="AA373" s="22" t="n">
        <v>0</v>
      </c>
      <c r="AB373" s="25" t="n">
        <v>0</v>
      </c>
      <c r="AC373" s="25" t="n">
        <v>0</v>
      </c>
      <c r="AD373" s="25" t="n">
        <v>0</v>
      </c>
      <c r="AE373" s="21" t="n">
        <v>0</v>
      </c>
      <c r="AF373" s="22" t="n">
        <v>0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5" t="n">
        <v>216</v>
      </c>
      <c r="J374" s="15" t="n">
        <v>395</v>
      </c>
      <c r="K374" s="15" t="n">
        <v>-192</v>
      </c>
      <c r="L374" s="15" t="n">
        <v>90</v>
      </c>
      <c r="M374" s="19" t="n">
        <v/>
      </c>
      <c r="N374" s="19" t="n">
        <v/>
      </c>
      <c r="O374" s="19" t="n">
        <v/>
      </c>
      <c r="P374" s="19" t="n">
        <v>0.2964602576667448</v>
      </c>
      <c r="Q374" s="20" t="n">
        <v>0</v>
      </c>
      <c r="R374" s="20" t="n">
        <v/>
      </c>
      <c r="S374" s="20" t="n">
        <v>0</v>
      </c>
      <c r="T374" s="20" t="n">
        <v>0</v>
      </c>
      <c r="U374" s="20" t="n">
        <v>0</v>
      </c>
      <c r="V374" s="15" t="n">
        <v>0</v>
      </c>
      <c r="W374" s="24" t="n">
        <v>0</v>
      </c>
      <c r="X374" s="24" t="n">
        <v>0</v>
      </c>
      <c r="Y374" s="24" t="n">
        <v>0</v>
      </c>
      <c r="Z374" s="20" t="n">
        <v>0</v>
      </c>
      <c r="AA374" s="20" t="n">
        <v>0</v>
      </c>
      <c r="AB374" s="24" t="n">
        <v>0</v>
      </c>
      <c r="AC374" s="24" t="n">
        <v>0</v>
      </c>
      <c r="AD374" s="24" t="n">
        <v>0</v>
      </c>
      <c r="AE374" s="19" t="n">
        <v>0</v>
      </c>
      <c r="AF374" s="20" t="n">
        <v>0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17" t="n">
        <v>216</v>
      </c>
      <c r="J375" s="17" t="n">
        <v>395</v>
      </c>
      <c r="K375" s="17" t="n">
        <v>-193</v>
      </c>
      <c r="L375" s="17" t="n">
        <v>90</v>
      </c>
      <c r="M375" s="21" t="n">
        <v/>
      </c>
      <c r="N375" s="21" t="n">
        <v/>
      </c>
      <c r="O375" s="21" t="n">
        <v/>
      </c>
      <c r="P375" s="21" t="n">
        <v>0.2954928908346625</v>
      </c>
      <c r="Q375" s="22" t="n">
        <v>0</v>
      </c>
      <c r="R375" s="22" t="n">
        <v/>
      </c>
      <c r="S375" s="22" t="n">
        <v>0</v>
      </c>
      <c r="T375" s="22" t="n">
        <v>0</v>
      </c>
      <c r="U375" s="22" t="n">
        <v>0</v>
      </c>
      <c r="V375" s="17" t="n">
        <v>0</v>
      </c>
      <c r="W375" s="25" t="n">
        <v>0</v>
      </c>
      <c r="X375" s="25" t="n">
        <v>0</v>
      </c>
      <c r="Y375" s="25" t="n">
        <v>0</v>
      </c>
      <c r="Z375" s="22" t="n">
        <v>0</v>
      </c>
      <c r="AA375" s="22" t="n">
        <v>0</v>
      </c>
      <c r="AB375" s="25" t="n">
        <v>0</v>
      </c>
      <c r="AC375" s="25" t="n">
        <v>0</v>
      </c>
      <c r="AD375" s="25" t="n">
        <v>0</v>
      </c>
      <c r="AE375" s="21" t="n">
        <v>0</v>
      </c>
      <c r="AF375" s="22" t="n">
        <v>0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5" t="n">
        <v>216</v>
      </c>
      <c r="J376" s="15" t="n">
        <v>395</v>
      </c>
      <c r="K376" s="15" t="n">
        <v>-194</v>
      </c>
      <c r="L376" s="15" t="n">
        <v>90</v>
      </c>
      <c r="M376" s="19" t="n">
        <v/>
      </c>
      <c r="N376" s="19" t="n">
        <v/>
      </c>
      <c r="O376" s="19" t="n">
        <v/>
      </c>
      <c r="P376" s="19" t="n">
        <v>0.2945286805760621</v>
      </c>
      <c r="Q376" s="20" t="n">
        <v>0</v>
      </c>
      <c r="R376" s="20" t="n">
        <v/>
      </c>
      <c r="S376" s="20" t="n">
        <v>0</v>
      </c>
      <c r="T376" s="20" t="n">
        <v>0</v>
      </c>
      <c r="U376" s="20" t="n">
        <v>0</v>
      </c>
      <c r="V376" s="15" t="n">
        <v>0</v>
      </c>
      <c r="W376" s="24" t="n">
        <v>0</v>
      </c>
      <c r="X376" s="24" t="n">
        <v>0</v>
      </c>
      <c r="Y376" s="24" t="n">
        <v>0</v>
      </c>
      <c r="Z376" s="20" t="n">
        <v>0</v>
      </c>
      <c r="AA376" s="20" t="n">
        <v>0</v>
      </c>
      <c r="AB376" s="24" t="n">
        <v>0</v>
      </c>
      <c r="AC376" s="24" t="n">
        <v>0</v>
      </c>
      <c r="AD376" s="24" t="n">
        <v>0</v>
      </c>
      <c r="AE376" s="19" t="n">
        <v>0</v>
      </c>
      <c r="AF376" s="20" t="n">
        <v>0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17" t="n">
        <v>216</v>
      </c>
      <c r="J377" s="17" t="n">
        <v>395</v>
      </c>
      <c r="K377" s="17" t="n">
        <v>-195</v>
      </c>
      <c r="L377" s="17" t="n">
        <v>90</v>
      </c>
      <c r="M377" s="21" t="n">
        <v/>
      </c>
      <c r="N377" s="21" t="n">
        <v/>
      </c>
      <c r="O377" s="21" t="n">
        <v/>
      </c>
      <c r="P377" s="21" t="n">
        <v>0.2935676165908632</v>
      </c>
      <c r="Q377" s="22" t="n">
        <v>0</v>
      </c>
      <c r="R377" s="22" t="n">
        <v/>
      </c>
      <c r="S377" s="22" t="n">
        <v>0</v>
      </c>
      <c r="T377" s="22" t="n">
        <v>0</v>
      </c>
      <c r="U377" s="22" t="n">
        <v>0</v>
      </c>
      <c r="V377" s="17" t="n">
        <v>0</v>
      </c>
      <c r="W377" s="25" t="n">
        <v>0</v>
      </c>
      <c r="X377" s="25" t="n">
        <v>0</v>
      </c>
      <c r="Y377" s="25" t="n">
        <v>0</v>
      </c>
      <c r="Z377" s="22" t="n">
        <v>0</v>
      </c>
      <c r="AA377" s="22" t="n">
        <v>0</v>
      </c>
      <c r="AB377" s="25" t="n">
        <v>0</v>
      </c>
      <c r="AC377" s="25" t="n">
        <v>0</v>
      </c>
      <c r="AD377" s="25" t="n">
        <v>0</v>
      </c>
      <c r="AE377" s="21" t="n">
        <v>0</v>
      </c>
      <c r="AF377" s="22" t="n">
        <v>0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5" t="n">
        <v>216</v>
      </c>
      <c r="J378" s="15" t="n">
        <v>395</v>
      </c>
      <c r="K378" s="15" t="n">
        <v>-196</v>
      </c>
      <c r="L378" s="15" t="n">
        <v>90</v>
      </c>
      <c r="M378" s="19" t="n">
        <v/>
      </c>
      <c r="N378" s="19" t="n">
        <v/>
      </c>
      <c r="O378" s="19" t="n">
        <v/>
      </c>
      <c r="P378" s="19" t="n">
        <v>0.2926096886125953</v>
      </c>
      <c r="Q378" s="20" t="n">
        <v>0</v>
      </c>
      <c r="R378" s="20" t="n">
        <v/>
      </c>
      <c r="S378" s="20" t="n">
        <v>0</v>
      </c>
      <c r="T378" s="20" t="n">
        <v>0</v>
      </c>
      <c r="U378" s="20" t="n">
        <v>0</v>
      </c>
      <c r="V378" s="15" t="n">
        <v>0</v>
      </c>
      <c r="W378" s="24" t="n">
        <v>0</v>
      </c>
      <c r="X378" s="24" t="n">
        <v>0</v>
      </c>
      <c r="Y378" s="24" t="n">
        <v>0</v>
      </c>
      <c r="Z378" s="20" t="n">
        <v>0</v>
      </c>
      <c r="AA378" s="20" t="n">
        <v>0</v>
      </c>
      <c r="AB378" s="24" t="n">
        <v>0</v>
      </c>
      <c r="AC378" s="24" t="n">
        <v>0</v>
      </c>
      <c r="AD378" s="24" t="n">
        <v>0</v>
      </c>
      <c r="AE378" s="19" t="n">
        <v>0</v>
      </c>
      <c r="AF378" s="20" t="n">
        <v>0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17" t="n">
        <v>216</v>
      </c>
      <c r="J379" s="17" t="n">
        <v>395</v>
      </c>
      <c r="K379" s="17" t="n">
        <v>-197</v>
      </c>
      <c r="L379" s="17" t="n">
        <v>90</v>
      </c>
      <c r="M379" s="21" t="n">
        <v/>
      </c>
      <c r="N379" s="21" t="n">
        <v/>
      </c>
      <c r="O379" s="21" t="n">
        <v/>
      </c>
      <c r="P379" s="21" t="n">
        <v>0.2916548864082879</v>
      </c>
      <c r="Q379" s="22" t="n">
        <v>0</v>
      </c>
      <c r="R379" s="22" t="n">
        <v/>
      </c>
      <c r="S379" s="22" t="n">
        <v>0</v>
      </c>
      <c r="T379" s="22" t="n">
        <v>0</v>
      </c>
      <c r="U379" s="22" t="n">
        <v>0</v>
      </c>
      <c r="V379" s="17" t="n">
        <v>0</v>
      </c>
      <c r="W379" s="25" t="n">
        <v>0</v>
      </c>
      <c r="X379" s="25" t="n">
        <v>0</v>
      </c>
      <c r="Y379" s="25" t="n">
        <v>0</v>
      </c>
      <c r="Z379" s="22" t="n">
        <v>0</v>
      </c>
      <c r="AA379" s="22" t="n">
        <v>0</v>
      </c>
      <c r="AB379" s="25" t="n">
        <v>0</v>
      </c>
      <c r="AC379" s="25" t="n">
        <v>0</v>
      </c>
      <c r="AD379" s="25" t="n">
        <v>0</v>
      </c>
      <c r="AE379" s="21" t="n">
        <v>0</v>
      </c>
      <c r="AF379" s="22" t="n">
        <v>0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5" t="n">
        <v>216</v>
      </c>
      <c r="J380" s="15" t="n">
        <v>395</v>
      </c>
      <c r="K380" s="15" t="n">
        <v>-198</v>
      </c>
      <c r="L380" s="15" t="n">
        <v>90</v>
      </c>
      <c r="M380" s="19" t="n">
        <v/>
      </c>
      <c r="N380" s="19" t="n">
        <v/>
      </c>
      <c r="O380" s="19" t="n">
        <v/>
      </c>
      <c r="P380" s="19" t="n">
        <v>0.2907031997783609</v>
      </c>
      <c r="Q380" s="20" t="n">
        <v>0</v>
      </c>
      <c r="R380" s="20" t="n">
        <v/>
      </c>
      <c r="S380" s="20" t="n">
        <v>0</v>
      </c>
      <c r="T380" s="20" t="n">
        <v>0</v>
      </c>
      <c r="U380" s="20" t="n">
        <v>0</v>
      </c>
      <c r="V380" s="15" t="n">
        <v>0</v>
      </c>
      <c r="W380" s="24" t="n">
        <v>0</v>
      </c>
      <c r="X380" s="24" t="n">
        <v>0</v>
      </c>
      <c r="Y380" s="24" t="n">
        <v>0</v>
      </c>
      <c r="Z380" s="20" t="n">
        <v>0</v>
      </c>
      <c r="AA380" s="20" t="n">
        <v>0</v>
      </c>
      <c r="AB380" s="24" t="n">
        <v>0</v>
      </c>
      <c r="AC380" s="24" t="n">
        <v>0</v>
      </c>
      <c r="AD380" s="24" t="n">
        <v>0</v>
      </c>
      <c r="AE380" s="19" t="n">
        <v>0</v>
      </c>
      <c r="AF380" s="20" t="n">
        <v>0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17" t="n">
        <v>216</v>
      </c>
      <c r="J381" s="17" t="n">
        <v>395</v>
      </c>
      <c r="K381" s="17" t="n">
        <v>-199</v>
      </c>
      <c r="L381" s="17" t="n">
        <v>90</v>
      </c>
      <c r="M381" s="21" t="n">
        <v/>
      </c>
      <c r="N381" s="21" t="n">
        <v/>
      </c>
      <c r="O381" s="21" t="n">
        <v/>
      </c>
      <c r="P381" s="21" t="n">
        <v>0.2897546185565166</v>
      </c>
      <c r="Q381" s="22" t="n">
        <v>0</v>
      </c>
      <c r="R381" s="22" t="n">
        <v/>
      </c>
      <c r="S381" s="22" t="n">
        <v>0</v>
      </c>
      <c r="T381" s="22" t="n">
        <v>0</v>
      </c>
      <c r="U381" s="22" t="n">
        <v>0</v>
      </c>
      <c r="V381" s="17" t="n">
        <v>0</v>
      </c>
      <c r="W381" s="25" t="n">
        <v>0</v>
      </c>
      <c r="X381" s="25" t="n">
        <v>0</v>
      </c>
      <c r="Y381" s="25" t="n">
        <v>0</v>
      </c>
      <c r="Z381" s="22" t="n">
        <v>0</v>
      </c>
      <c r="AA381" s="22" t="n">
        <v>0</v>
      </c>
      <c r="AB381" s="25" t="n">
        <v>0</v>
      </c>
      <c r="AC381" s="25" t="n">
        <v>0</v>
      </c>
      <c r="AD381" s="25" t="n">
        <v>0</v>
      </c>
      <c r="AE381" s="21" t="n">
        <v>0</v>
      </c>
      <c r="AF381" s="22" t="n">
        <v>0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5" t="n">
        <v>216</v>
      </c>
      <c r="J382" s="15" t="n">
        <v>395</v>
      </c>
      <c r="K382" s="15" t="n">
        <v>-200</v>
      </c>
      <c r="L382" s="15" t="n">
        <v>90</v>
      </c>
      <c r="M382" s="19" t="n">
        <v/>
      </c>
      <c r="N382" s="19" t="n">
        <v/>
      </c>
      <c r="O382" s="19" t="n">
        <v/>
      </c>
      <c r="P382" s="19" t="n">
        <v>0.2888091326096301</v>
      </c>
      <c r="Q382" s="20" t="n">
        <v>0</v>
      </c>
      <c r="R382" s="20" t="n">
        <v/>
      </c>
      <c r="S382" s="20" t="n">
        <v>0</v>
      </c>
      <c r="T382" s="20" t="n">
        <v>0</v>
      </c>
      <c r="U382" s="20" t="n">
        <v>0</v>
      </c>
      <c r="V382" s="15" t="n">
        <v>0</v>
      </c>
      <c r="W382" s="24" t="n">
        <v>0</v>
      </c>
      <c r="X382" s="24" t="n">
        <v>0</v>
      </c>
      <c r="Y382" s="24" t="n">
        <v>0</v>
      </c>
      <c r="Z382" s="20" t="n">
        <v>0</v>
      </c>
      <c r="AA382" s="20" t="n">
        <v>0</v>
      </c>
      <c r="AB382" s="24" t="n">
        <v>0</v>
      </c>
      <c r="AC382" s="24" t="n">
        <v>0</v>
      </c>
      <c r="AD382" s="24" t="n">
        <v>0</v>
      </c>
      <c r="AE382" s="19" t="n">
        <v>0</v>
      </c>
      <c r="AF382" s="20" t="n">
        <v>0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17" t="n">
        <v>216</v>
      </c>
      <c r="J383" s="17" t="n">
        <v>395</v>
      </c>
      <c r="K383" s="17" t="n">
        <v>-201</v>
      </c>
      <c r="L383" s="17" t="n">
        <v>90</v>
      </c>
      <c r="M383" s="21" t="n">
        <v/>
      </c>
      <c r="N383" s="21" t="n">
        <v/>
      </c>
      <c r="O383" s="21" t="n">
        <v/>
      </c>
      <c r="P383" s="21" t="n">
        <v>0.2878667318376416</v>
      </c>
      <c r="Q383" s="22" t="n">
        <v>0</v>
      </c>
      <c r="R383" s="22" t="n">
        <v/>
      </c>
      <c r="S383" s="22" t="n">
        <v>0</v>
      </c>
      <c r="T383" s="22" t="n">
        <v>0</v>
      </c>
      <c r="U383" s="22" t="n">
        <v>0</v>
      </c>
      <c r="V383" s="17" t="n">
        <v>0</v>
      </c>
      <c r="W383" s="25" t="n">
        <v>0</v>
      </c>
      <c r="X383" s="25" t="n">
        <v>0</v>
      </c>
      <c r="Y383" s="25" t="n">
        <v>0</v>
      </c>
      <c r="Z383" s="22" t="n">
        <v>0</v>
      </c>
      <c r="AA383" s="22" t="n">
        <v>0</v>
      </c>
      <c r="AB383" s="25" t="n">
        <v>0</v>
      </c>
      <c r="AC383" s="25" t="n">
        <v>0</v>
      </c>
      <c r="AD383" s="25" t="n">
        <v>0</v>
      </c>
      <c r="AE383" s="21" t="n">
        <v>0</v>
      </c>
      <c r="AF383" s="22" t="n">
        <v>0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5" t="n">
        <v>216</v>
      </c>
      <c r="J384" s="15" t="n">
        <v>395</v>
      </c>
      <c r="K384" s="15" t="n">
        <v>-202</v>
      </c>
      <c r="L384" s="15" t="n">
        <v>90</v>
      </c>
      <c r="M384" s="19" t="n">
        <v/>
      </c>
      <c r="N384" s="19" t="n">
        <v/>
      </c>
      <c r="O384" s="19" t="n">
        <v/>
      </c>
      <c r="P384" s="19" t="n">
        <v>0.2869274061734484</v>
      </c>
      <c r="Q384" s="20" t="n">
        <v>0</v>
      </c>
      <c r="R384" s="20" t="n">
        <v/>
      </c>
      <c r="S384" s="20" t="n">
        <v>0</v>
      </c>
      <c r="T384" s="20" t="n">
        <v>0</v>
      </c>
      <c r="U384" s="20" t="n">
        <v>0</v>
      </c>
      <c r="V384" s="15" t="n">
        <v>0</v>
      </c>
      <c r="W384" s="24" t="n">
        <v>0</v>
      </c>
      <c r="X384" s="24" t="n">
        <v>0</v>
      </c>
      <c r="Y384" s="24" t="n">
        <v>0</v>
      </c>
      <c r="Z384" s="20" t="n">
        <v>0</v>
      </c>
      <c r="AA384" s="20" t="n">
        <v>0</v>
      </c>
      <c r="AB384" s="24" t="n">
        <v>0</v>
      </c>
      <c r="AC384" s="24" t="n">
        <v>0</v>
      </c>
      <c r="AD384" s="24" t="n">
        <v>0</v>
      </c>
      <c r="AE384" s="19" t="n">
        <v>0</v>
      </c>
      <c r="AF384" s="20" t="n">
        <v>0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17" t="n">
        <v>216</v>
      </c>
      <c r="J385" s="17" t="n">
        <v>395</v>
      </c>
      <c r="K385" s="17" t="n">
        <v>-203</v>
      </c>
      <c r="L385" s="17" t="n">
        <v>90</v>
      </c>
      <c r="M385" s="21" t="n">
        <v/>
      </c>
      <c r="N385" s="21" t="n">
        <v/>
      </c>
      <c r="O385" s="21" t="n">
        <v/>
      </c>
      <c r="P385" s="21" t="n">
        <v>0.2859911455827974</v>
      </c>
      <c r="Q385" s="22" t="n">
        <v>0</v>
      </c>
      <c r="R385" s="22" t="n">
        <v/>
      </c>
      <c r="S385" s="22" t="n">
        <v>0</v>
      </c>
      <c r="T385" s="22" t="n">
        <v>0</v>
      </c>
      <c r="U385" s="22" t="n">
        <v>0</v>
      </c>
      <c r="V385" s="17" t="n">
        <v>0</v>
      </c>
      <c r="W385" s="25" t="n">
        <v>0</v>
      </c>
      <c r="X385" s="25" t="n">
        <v>0</v>
      </c>
      <c r="Y385" s="25" t="n">
        <v>0</v>
      </c>
      <c r="Z385" s="22" t="n">
        <v>0</v>
      </c>
      <c r="AA385" s="22" t="n">
        <v>0</v>
      </c>
      <c r="AB385" s="25" t="n">
        <v>0</v>
      </c>
      <c r="AC385" s="25" t="n">
        <v>0</v>
      </c>
      <c r="AD385" s="25" t="n">
        <v>0</v>
      </c>
      <c r="AE385" s="21" t="n">
        <v>0</v>
      </c>
      <c r="AF385" s="22" t="n">
        <v>0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5" t="n">
        <v>216</v>
      </c>
      <c r="J386" s="15" t="n">
        <v>395</v>
      </c>
      <c r="K386" s="15" t="n">
        <v>-204</v>
      </c>
      <c r="L386" s="15" t="n">
        <v>90</v>
      </c>
      <c r="M386" s="19" t="n">
        <v/>
      </c>
      <c r="N386" s="19" t="n">
        <v/>
      </c>
      <c r="O386" s="19" t="n">
        <v/>
      </c>
      <c r="P386" s="19" t="n">
        <v>0.2850579400641776</v>
      </c>
      <c r="Q386" s="20" t="n">
        <v>0</v>
      </c>
      <c r="R386" s="20" t="n">
        <v/>
      </c>
      <c r="S386" s="20" t="n">
        <v>0</v>
      </c>
      <c r="T386" s="20" t="n">
        <v>0</v>
      </c>
      <c r="U386" s="20" t="n">
        <v>0</v>
      </c>
      <c r="V386" s="15" t="n">
        <v>0</v>
      </c>
      <c r="W386" s="24" t="n">
        <v>0</v>
      </c>
      <c r="X386" s="24" t="n">
        <v>0</v>
      </c>
      <c r="Y386" s="24" t="n">
        <v>0</v>
      </c>
      <c r="Z386" s="20" t="n">
        <v>0</v>
      </c>
      <c r="AA386" s="20" t="n">
        <v>0</v>
      </c>
      <c r="AB386" s="24" t="n">
        <v>0</v>
      </c>
      <c r="AC386" s="24" t="n">
        <v>0</v>
      </c>
      <c r="AD386" s="24" t="n">
        <v>0</v>
      </c>
      <c r="AE386" s="19" t="n">
        <v>0</v>
      </c>
      <c r="AF386" s="20" t="n">
        <v>0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17" t="n">
        <v>216</v>
      </c>
      <c r="J387" s="17" t="n">
        <v>395</v>
      </c>
      <c r="K387" s="17" t="n">
        <v>-205</v>
      </c>
      <c r="L387" s="17" t="n">
        <v>90</v>
      </c>
      <c r="M387" s="21" t="n">
        <v/>
      </c>
      <c r="N387" s="21" t="n">
        <v/>
      </c>
      <c r="O387" s="21" t="n">
        <v/>
      </c>
      <c r="P387" s="21" t="n">
        <v>0.2841277796487138</v>
      </c>
      <c r="Q387" s="22" t="n">
        <v>0</v>
      </c>
      <c r="R387" s="22" t="n">
        <v/>
      </c>
      <c r="S387" s="22" t="n">
        <v>0</v>
      </c>
      <c r="T387" s="22" t="n">
        <v>0</v>
      </c>
      <c r="U387" s="22" t="n">
        <v>0</v>
      </c>
      <c r="V387" s="17" t="n">
        <v>0</v>
      </c>
      <c r="W387" s="25" t="n">
        <v>0</v>
      </c>
      <c r="X387" s="25" t="n">
        <v>0</v>
      </c>
      <c r="Y387" s="25" t="n">
        <v>0</v>
      </c>
      <c r="Z387" s="22" t="n">
        <v>0</v>
      </c>
      <c r="AA387" s="22" t="n">
        <v>0</v>
      </c>
      <c r="AB387" s="25" t="n">
        <v>0</v>
      </c>
      <c r="AC387" s="25" t="n">
        <v>0</v>
      </c>
      <c r="AD387" s="25" t="n">
        <v>0</v>
      </c>
      <c r="AE387" s="21" t="n">
        <v>0</v>
      </c>
      <c r="AF387" s="22" t="n">
        <v>0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5" t="n">
        <v>216</v>
      </c>
      <c r="J388" s="15" t="n">
        <v>395</v>
      </c>
      <c r="K388" s="15" t="n">
        <v>-206</v>
      </c>
      <c r="L388" s="15" t="n">
        <v>90</v>
      </c>
      <c r="M388" s="19" t="n">
        <v/>
      </c>
      <c r="N388" s="19" t="n">
        <v/>
      </c>
      <c r="O388" s="19" t="n">
        <v/>
      </c>
      <c r="P388" s="19" t="n">
        <v>0.2832006544000595</v>
      </c>
      <c r="Q388" s="20" t="n">
        <v>0</v>
      </c>
      <c r="R388" s="20" t="n">
        <v/>
      </c>
      <c r="S388" s="20" t="n">
        <v>0</v>
      </c>
      <c r="T388" s="20" t="n">
        <v>0</v>
      </c>
      <c r="U388" s="20" t="n">
        <v>0</v>
      </c>
      <c r="V388" s="15" t="n">
        <v>0</v>
      </c>
      <c r="W388" s="24" t="n">
        <v>0</v>
      </c>
      <c r="X388" s="24" t="n">
        <v>0</v>
      </c>
      <c r="Y388" s="24" t="n">
        <v>0</v>
      </c>
      <c r="Z388" s="20" t="n">
        <v>0</v>
      </c>
      <c r="AA388" s="20" t="n">
        <v>0</v>
      </c>
      <c r="AB388" s="24" t="n">
        <v>0</v>
      </c>
      <c r="AC388" s="24" t="n">
        <v>0</v>
      </c>
      <c r="AD388" s="24" t="n">
        <v>0</v>
      </c>
      <c r="AE388" s="19" t="n">
        <v>0</v>
      </c>
      <c r="AF388" s="20" t="n">
        <v>0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17" t="n">
        <v>216</v>
      </c>
      <c r="J389" s="17" t="n">
        <v>395</v>
      </c>
      <c r="K389" s="17" t="n">
        <v>-207</v>
      </c>
      <c r="L389" s="17" t="n">
        <v>90</v>
      </c>
      <c r="M389" s="21" t="n">
        <v/>
      </c>
      <c r="N389" s="21" t="n">
        <v/>
      </c>
      <c r="O389" s="21" t="n">
        <v/>
      </c>
      <c r="P389" s="21" t="n">
        <v>0.2822765544142914</v>
      </c>
      <c r="Q389" s="22" t="n">
        <v>0</v>
      </c>
      <c r="R389" s="22" t="n">
        <v/>
      </c>
      <c r="S389" s="22" t="n">
        <v>0</v>
      </c>
      <c r="T389" s="22" t="n">
        <v>0</v>
      </c>
      <c r="U389" s="22" t="n">
        <v>0</v>
      </c>
      <c r="V389" s="17" t="n">
        <v>0</v>
      </c>
      <c r="W389" s="25" t="n">
        <v>0</v>
      </c>
      <c r="X389" s="25" t="n">
        <v>0</v>
      </c>
      <c r="Y389" s="25" t="n">
        <v>0</v>
      </c>
      <c r="Z389" s="22" t="n">
        <v>0</v>
      </c>
      <c r="AA389" s="22" t="n">
        <v>0</v>
      </c>
      <c r="AB389" s="25" t="n">
        <v>0</v>
      </c>
      <c r="AC389" s="25" t="n">
        <v>0</v>
      </c>
      <c r="AD389" s="25" t="n">
        <v>0</v>
      </c>
      <c r="AE389" s="21" t="n">
        <v>0</v>
      </c>
      <c r="AF389" s="22" t="n">
        <v>0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5" t="n">
        <v>216</v>
      </c>
      <c r="J390" s="15" t="n">
        <v>395</v>
      </c>
      <c r="K390" s="15" t="n">
        <v>-208</v>
      </c>
      <c r="L390" s="15" t="n">
        <v>90</v>
      </c>
      <c r="M390" s="19" t="n">
        <v/>
      </c>
      <c r="N390" s="19" t="n">
        <v/>
      </c>
      <c r="O390" s="19" t="n">
        <v/>
      </c>
      <c r="P390" s="19" t="n">
        <v>0.2813554698198031</v>
      </c>
      <c r="Q390" s="20" t="n">
        <v>0</v>
      </c>
      <c r="R390" s="20" t="n">
        <v/>
      </c>
      <c r="S390" s="20" t="n">
        <v>0</v>
      </c>
      <c r="T390" s="20" t="n">
        <v>0</v>
      </c>
      <c r="U390" s="20" t="n">
        <v>0</v>
      </c>
      <c r="V390" s="15" t="n">
        <v>0</v>
      </c>
      <c r="W390" s="24" t="n">
        <v>0</v>
      </c>
      <c r="X390" s="24" t="n">
        <v>0</v>
      </c>
      <c r="Y390" s="24" t="n">
        <v>0</v>
      </c>
      <c r="Z390" s="20" t="n">
        <v>0</v>
      </c>
      <c r="AA390" s="20" t="n">
        <v>0</v>
      </c>
      <c r="AB390" s="24" t="n">
        <v>0</v>
      </c>
      <c r="AC390" s="24" t="n">
        <v>0</v>
      </c>
      <c r="AD390" s="24" t="n">
        <v>0</v>
      </c>
      <c r="AE390" s="19" t="n">
        <v>0</v>
      </c>
      <c r="AF390" s="20" t="n">
        <v>0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17" t="n">
        <v>216</v>
      </c>
      <c r="J391" s="17" t="n">
        <v>395</v>
      </c>
      <c r="K391" s="17" t="n">
        <v>-209</v>
      </c>
      <c r="L391" s="17" t="n">
        <v>90</v>
      </c>
      <c r="M391" s="21" t="n">
        <v/>
      </c>
      <c r="N391" s="21" t="n">
        <v/>
      </c>
      <c r="O391" s="21" t="n">
        <v/>
      </c>
      <c r="P391" s="21" t="n">
        <v>0.2804373907771997</v>
      </c>
      <c r="Q391" s="22" t="n">
        <v>0</v>
      </c>
      <c r="R391" s="22" t="n">
        <v/>
      </c>
      <c r="S391" s="22" t="n">
        <v>0</v>
      </c>
      <c r="T391" s="22" t="n">
        <v>0</v>
      </c>
      <c r="U391" s="22" t="n">
        <v>0</v>
      </c>
      <c r="V391" s="17" t="n">
        <v>0</v>
      </c>
      <c r="W391" s="25" t="n">
        <v>0</v>
      </c>
      <c r="X391" s="25" t="n">
        <v>0</v>
      </c>
      <c r="Y391" s="25" t="n">
        <v>0</v>
      </c>
      <c r="Z391" s="22" t="n">
        <v>0</v>
      </c>
      <c r="AA391" s="22" t="n">
        <v>0</v>
      </c>
      <c r="AB391" s="25" t="n">
        <v>0</v>
      </c>
      <c r="AC391" s="25" t="n">
        <v>0</v>
      </c>
      <c r="AD391" s="25" t="n">
        <v>0</v>
      </c>
      <c r="AE391" s="21" t="n">
        <v>0</v>
      </c>
      <c r="AF391" s="22" t="n">
        <v>0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5" t="n">
        <v>216</v>
      </c>
      <c r="J392" s="15" t="n">
        <v>395</v>
      </c>
      <c r="K392" s="15" t="n">
        <v>-210</v>
      </c>
      <c r="L392" s="15" t="n">
        <v>90</v>
      </c>
      <c r="M392" s="19" t="n">
        <v/>
      </c>
      <c r="N392" s="19" t="n">
        <v/>
      </c>
      <c r="O392" s="19" t="n">
        <v/>
      </c>
      <c r="P392" s="19" t="n">
        <v>0.279522307479193</v>
      </c>
      <c r="Q392" s="20" t="n">
        <v>0</v>
      </c>
      <c r="R392" s="20" t="n">
        <v/>
      </c>
      <c r="S392" s="20" t="n">
        <v>0</v>
      </c>
      <c r="T392" s="20" t="n">
        <v>0</v>
      </c>
      <c r="U392" s="20" t="n">
        <v>0</v>
      </c>
      <c r="V392" s="15" t="n">
        <v>0</v>
      </c>
      <c r="W392" s="24" t="n">
        <v>0</v>
      </c>
      <c r="X392" s="24" t="n">
        <v>0</v>
      </c>
      <c r="Y392" s="24" t="n">
        <v>0</v>
      </c>
      <c r="Z392" s="20" t="n">
        <v>0</v>
      </c>
      <c r="AA392" s="20" t="n">
        <v>0</v>
      </c>
      <c r="AB392" s="24" t="n">
        <v>0</v>
      </c>
      <c r="AC392" s="24" t="n">
        <v>0</v>
      </c>
      <c r="AD392" s="24" t="n">
        <v>0</v>
      </c>
      <c r="AE392" s="19" t="n">
        <v>0</v>
      </c>
      <c r="AF392" s="20" t="n">
        <v>0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17" t="n">
        <v>216</v>
      </c>
      <c r="J393" s="17" t="n">
        <v>395</v>
      </c>
      <c r="K393" s="17" t="n">
        <v>-211</v>
      </c>
      <c r="L393" s="17" t="n">
        <v>90</v>
      </c>
      <c r="M393" s="21" t="n">
        <v/>
      </c>
      <c r="N393" s="21" t="n">
        <v/>
      </c>
      <c r="O393" s="21" t="n">
        <v/>
      </c>
      <c r="P393" s="21" t="n">
        <v>0.2786102101504966</v>
      </c>
      <c r="Q393" s="22" t="n">
        <v>0</v>
      </c>
      <c r="R393" s="22" t="n">
        <v/>
      </c>
      <c r="S393" s="22" t="n">
        <v>0</v>
      </c>
      <c r="T393" s="22" t="n">
        <v>0</v>
      </c>
      <c r="U393" s="22" t="n">
        <v>0</v>
      </c>
      <c r="V393" s="17" t="n">
        <v>0</v>
      </c>
      <c r="W393" s="25" t="n">
        <v>0</v>
      </c>
      <c r="X393" s="25" t="n">
        <v>0</v>
      </c>
      <c r="Y393" s="25" t="n">
        <v>0</v>
      </c>
      <c r="Z393" s="22" t="n">
        <v>0</v>
      </c>
      <c r="AA393" s="22" t="n">
        <v>0</v>
      </c>
      <c r="AB393" s="25" t="n">
        <v>0</v>
      </c>
      <c r="AC393" s="25" t="n">
        <v>0</v>
      </c>
      <c r="AD393" s="25" t="n">
        <v>0</v>
      </c>
      <c r="AE393" s="21" t="n">
        <v>0</v>
      </c>
      <c r="AF393" s="22" t="n">
        <v>0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5" t="n">
        <v>216</v>
      </c>
      <c r="J394" s="15" t="n">
        <v>395</v>
      </c>
      <c r="K394" s="15" t="n">
        <v>-212</v>
      </c>
      <c r="L394" s="15" t="n">
        <v>90</v>
      </c>
      <c r="M394" s="19" t="n">
        <v/>
      </c>
      <c r="N394" s="19" t="n">
        <v/>
      </c>
      <c r="O394" s="19" t="n">
        <v/>
      </c>
      <c r="P394" s="19" t="n">
        <v>0.2777010890477211</v>
      </c>
      <c r="Q394" s="20" t="n">
        <v>0</v>
      </c>
      <c r="R394" s="20" t="n">
        <v/>
      </c>
      <c r="S394" s="20" t="n">
        <v>0</v>
      </c>
      <c r="T394" s="20" t="n">
        <v>0</v>
      </c>
      <c r="U394" s="20" t="n">
        <v>0</v>
      </c>
      <c r="V394" s="15" t="n">
        <v>0</v>
      </c>
      <c r="W394" s="24" t="n">
        <v>0</v>
      </c>
      <c r="X394" s="24" t="n">
        <v>0</v>
      </c>
      <c r="Y394" s="24" t="n">
        <v>0</v>
      </c>
      <c r="Z394" s="20" t="n">
        <v>0</v>
      </c>
      <c r="AA394" s="20" t="n">
        <v>0</v>
      </c>
      <c r="AB394" s="24" t="n">
        <v>0</v>
      </c>
      <c r="AC394" s="24" t="n">
        <v>0</v>
      </c>
      <c r="AD394" s="24" t="n">
        <v>0</v>
      </c>
      <c r="AE394" s="19" t="n">
        <v>0</v>
      </c>
      <c r="AF394" s="20" t="n">
        <v>0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17" t="n">
        <v>216</v>
      </c>
      <c r="J395" s="17" t="n">
        <v>395</v>
      </c>
      <c r="K395" s="17" t="n">
        <v>-213</v>
      </c>
      <c r="L395" s="17" t="n">
        <v>90</v>
      </c>
      <c r="M395" s="21" t="n">
        <v/>
      </c>
      <c r="N395" s="21" t="n">
        <v/>
      </c>
      <c r="O395" s="21" t="n">
        <v/>
      </c>
      <c r="P395" s="21" t="n">
        <v>0.2767949344592707</v>
      </c>
      <c r="Q395" s="22" t="n">
        <v>0</v>
      </c>
      <c r="R395" s="22" t="n">
        <v/>
      </c>
      <c r="S395" s="22" t="n">
        <v>0</v>
      </c>
      <c r="T395" s="22" t="n">
        <v>0</v>
      </c>
      <c r="U395" s="22" t="n">
        <v>0</v>
      </c>
      <c r="V395" s="17" t="n">
        <v>0</v>
      </c>
      <c r="W395" s="25" t="n">
        <v>0</v>
      </c>
      <c r="X395" s="25" t="n">
        <v>0</v>
      </c>
      <c r="Y395" s="25" t="n">
        <v>0</v>
      </c>
      <c r="Z395" s="22" t="n">
        <v>0</v>
      </c>
      <c r="AA395" s="22" t="n">
        <v>0</v>
      </c>
      <c r="AB395" s="25" t="n">
        <v>0</v>
      </c>
      <c r="AC395" s="25" t="n">
        <v>0</v>
      </c>
      <c r="AD395" s="25" t="n">
        <v>0</v>
      </c>
      <c r="AE395" s="21" t="n">
        <v>0</v>
      </c>
      <c r="AF395" s="22" t="n">
        <v>0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5" t="n">
        <v>216</v>
      </c>
      <c r="J396" s="15" t="n">
        <v>395</v>
      </c>
      <c r="K396" s="15" t="n">
        <v>-214</v>
      </c>
      <c r="L396" s="15" t="n">
        <v>90</v>
      </c>
      <c r="M396" s="19" t="n">
        <v/>
      </c>
      <c r="N396" s="19" t="n">
        <v/>
      </c>
      <c r="O396" s="19" t="n">
        <v/>
      </c>
      <c r="P396" s="19" t="n">
        <v>0.2758917367052388</v>
      </c>
      <c r="Q396" s="20" t="n">
        <v>0</v>
      </c>
      <c r="R396" s="20" t="n">
        <v/>
      </c>
      <c r="S396" s="20" t="n">
        <v>0</v>
      </c>
      <c r="T396" s="20" t="n">
        <v>0</v>
      </c>
      <c r="U396" s="20" t="n">
        <v>0</v>
      </c>
      <c r="V396" s="15" t="n">
        <v>0</v>
      </c>
      <c r="W396" s="24" t="n">
        <v>0</v>
      </c>
      <c r="X396" s="24" t="n">
        <v>0</v>
      </c>
      <c r="Y396" s="24" t="n">
        <v>0</v>
      </c>
      <c r="Z396" s="20" t="n">
        <v>0</v>
      </c>
      <c r="AA396" s="20" t="n">
        <v>0</v>
      </c>
      <c r="AB396" s="24" t="n">
        <v>0</v>
      </c>
      <c r="AC396" s="24" t="n">
        <v>0</v>
      </c>
      <c r="AD396" s="24" t="n">
        <v>0</v>
      </c>
      <c r="AE396" s="19" t="n">
        <v>0</v>
      </c>
      <c r="AF396" s="20" t="n">
        <v>0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17" t="n">
        <v>216</v>
      </c>
      <c r="J397" s="17" t="n">
        <v>395</v>
      </c>
      <c r="K397" s="17" t="n">
        <v>-215</v>
      </c>
      <c r="L397" s="17" t="n">
        <v>90</v>
      </c>
      <c r="M397" s="21" t="n">
        <v/>
      </c>
      <c r="N397" s="21" t="n">
        <v/>
      </c>
      <c r="O397" s="21" t="n">
        <v/>
      </c>
      <c r="P397" s="21" t="n">
        <v>0.2749914861373051</v>
      </c>
      <c r="Q397" s="22" t="n">
        <v>0</v>
      </c>
      <c r="R397" s="22" t="n">
        <v/>
      </c>
      <c r="S397" s="22" t="n">
        <v>0</v>
      </c>
      <c r="T397" s="22" t="n">
        <v>0</v>
      </c>
      <c r="U397" s="22" t="n">
        <v>0</v>
      </c>
      <c r="V397" s="17" t="n">
        <v>0</v>
      </c>
      <c r="W397" s="25" t="n">
        <v>0</v>
      </c>
      <c r="X397" s="25" t="n">
        <v>0</v>
      </c>
      <c r="Y397" s="25" t="n">
        <v>0</v>
      </c>
      <c r="Z397" s="22" t="n">
        <v>0</v>
      </c>
      <c r="AA397" s="22" t="n">
        <v>0</v>
      </c>
      <c r="AB397" s="25" t="n">
        <v>0</v>
      </c>
      <c r="AC397" s="25" t="n">
        <v>0</v>
      </c>
      <c r="AD397" s="25" t="n">
        <v>0</v>
      </c>
      <c r="AE397" s="21" t="n">
        <v>0</v>
      </c>
      <c r="AF397" s="22" t="n">
        <v>0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5" t="n">
        <v>216</v>
      </c>
      <c r="J398" s="15" t="n">
        <v>395</v>
      </c>
      <c r="K398" s="15" t="n">
        <v>-216</v>
      </c>
      <c r="L398" s="15" t="n">
        <v>90</v>
      </c>
      <c r="M398" s="19" t="n">
        <v/>
      </c>
      <c r="N398" s="19" t="n">
        <v/>
      </c>
      <c r="O398" s="19" t="n">
        <v/>
      </c>
      <c r="P398" s="19" t="n">
        <v>0.2740941731386322</v>
      </c>
      <c r="Q398" s="20" t="n">
        <v>0</v>
      </c>
      <c r="R398" s="20" t="n">
        <v/>
      </c>
      <c r="S398" s="20" t="n">
        <v>0</v>
      </c>
      <c r="T398" s="20" t="n">
        <v>0</v>
      </c>
      <c r="U398" s="20" t="n">
        <v>0</v>
      </c>
      <c r="V398" s="15" t="n">
        <v>0</v>
      </c>
      <c r="W398" s="24" t="n">
        <v>0</v>
      </c>
      <c r="X398" s="24" t="n">
        <v>0</v>
      </c>
      <c r="Y398" s="24" t="n">
        <v>0</v>
      </c>
      <c r="Z398" s="20" t="n">
        <v>0</v>
      </c>
      <c r="AA398" s="20" t="n">
        <v>0</v>
      </c>
      <c r="AB398" s="24" t="n">
        <v>0</v>
      </c>
      <c r="AC398" s="24" t="n">
        <v>0</v>
      </c>
      <c r="AD398" s="24" t="n">
        <v>0</v>
      </c>
      <c r="AE398" s="19" t="n">
        <v>0</v>
      </c>
      <c r="AF398" s="20" t="n">
        <v>0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17" t="n">
        <v>216</v>
      </c>
      <c r="J399" s="17" t="n">
        <v>395</v>
      </c>
      <c r="K399" s="17" t="n">
        <v>-217</v>
      </c>
      <c r="L399" s="17" t="n">
        <v>90</v>
      </c>
      <c r="M399" s="21" t="n">
        <v/>
      </c>
      <c r="N399" s="21" t="n">
        <v/>
      </c>
      <c r="O399" s="21" t="n">
        <v/>
      </c>
      <c r="P399" s="21" t="n">
        <v>0.2731997881237631</v>
      </c>
      <c r="Q399" s="22" t="n">
        <v>0</v>
      </c>
      <c r="R399" s="22" t="n">
        <v/>
      </c>
      <c r="S399" s="22" t="n">
        <v>0</v>
      </c>
      <c r="T399" s="22" t="n">
        <v>0</v>
      </c>
      <c r="U399" s="22" t="n">
        <v>0</v>
      </c>
      <c r="V399" s="17" t="n">
        <v>0</v>
      </c>
      <c r="W399" s="25" t="n">
        <v>0</v>
      </c>
      <c r="X399" s="25" t="n">
        <v>0</v>
      </c>
      <c r="Y399" s="25" t="n">
        <v>0</v>
      </c>
      <c r="Z399" s="22" t="n">
        <v>0</v>
      </c>
      <c r="AA399" s="22" t="n">
        <v>0</v>
      </c>
      <c r="AB399" s="25" t="n">
        <v>0</v>
      </c>
      <c r="AC399" s="25" t="n">
        <v>0</v>
      </c>
      <c r="AD399" s="25" t="n">
        <v>0</v>
      </c>
      <c r="AE399" s="21" t="n">
        <v>0</v>
      </c>
      <c r="AF399" s="22" t="n">
        <v>0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5" t="n">
        <v>216</v>
      </c>
      <c r="J400" s="15" t="n">
        <v>395</v>
      </c>
      <c r="K400" s="15" t="n">
        <v>-218</v>
      </c>
      <c r="L400" s="15" t="n">
        <v>90</v>
      </c>
      <c r="M400" s="19" t="n">
        <v/>
      </c>
      <c r="N400" s="19" t="n">
        <v/>
      </c>
      <c r="O400" s="19" t="n">
        <v/>
      </c>
      <c r="P400" s="19" t="n">
        <v>0.2723083215385186</v>
      </c>
      <c r="Q400" s="20" t="n">
        <v>0</v>
      </c>
      <c r="R400" s="20" t="n">
        <v/>
      </c>
      <c r="S400" s="20" t="n">
        <v>0</v>
      </c>
      <c r="T400" s="20" t="n">
        <v>0</v>
      </c>
      <c r="U400" s="20" t="n">
        <v>0</v>
      </c>
      <c r="V400" s="15" t="n">
        <v>0</v>
      </c>
      <c r="W400" s="24" t="n">
        <v>0</v>
      </c>
      <c r="X400" s="24" t="n">
        <v>0</v>
      </c>
      <c r="Y400" s="24" t="n">
        <v>0</v>
      </c>
      <c r="Z400" s="20" t="n">
        <v>0</v>
      </c>
      <c r="AA400" s="20" t="n">
        <v>0</v>
      </c>
      <c r="AB400" s="24" t="n">
        <v>0</v>
      </c>
      <c r="AC400" s="24" t="n">
        <v>0</v>
      </c>
      <c r="AD400" s="24" t="n">
        <v>0</v>
      </c>
      <c r="AE400" s="19" t="n">
        <v>0</v>
      </c>
      <c r="AF400" s="20" t="n">
        <v>0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17" t="n">
        <v>216</v>
      </c>
      <c r="J401" s="17" t="n">
        <v>395</v>
      </c>
      <c r="K401" s="17" t="n">
        <v>-219</v>
      </c>
      <c r="L401" s="17" t="n">
        <v>90</v>
      </c>
      <c r="M401" s="21" t="n">
        <v/>
      </c>
      <c r="N401" s="21" t="n">
        <v/>
      </c>
      <c r="O401" s="21" t="n">
        <v/>
      </c>
      <c r="P401" s="21" t="n">
        <v>0.2714197638598955</v>
      </c>
      <c r="Q401" s="22" t="n">
        <v>0</v>
      </c>
      <c r="R401" s="22" t="n">
        <v/>
      </c>
      <c r="S401" s="22" t="n">
        <v>0</v>
      </c>
      <c r="T401" s="22" t="n">
        <v>0</v>
      </c>
      <c r="U401" s="22" t="n">
        <v>0</v>
      </c>
      <c r="V401" s="17" t="n">
        <v>0</v>
      </c>
      <c r="W401" s="25" t="n">
        <v>0</v>
      </c>
      <c r="X401" s="25" t="n">
        <v>0</v>
      </c>
      <c r="Y401" s="25" t="n">
        <v>0</v>
      </c>
      <c r="Z401" s="22" t="n">
        <v>0</v>
      </c>
      <c r="AA401" s="22" t="n">
        <v>0</v>
      </c>
      <c r="AB401" s="25" t="n">
        <v>0</v>
      </c>
      <c r="AC401" s="25" t="n">
        <v>0</v>
      </c>
      <c r="AD401" s="25" t="n">
        <v>0</v>
      </c>
      <c r="AE401" s="21" t="n">
        <v>0</v>
      </c>
      <c r="AF401" s="22" t="n">
        <v>0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5" t="n">
        <v>216</v>
      </c>
      <c r="J402" s="15" t="n">
        <v>395</v>
      </c>
      <c r="K402" s="15" t="n">
        <v>-220</v>
      </c>
      <c r="L402" s="15" t="n">
        <v>90</v>
      </c>
      <c r="M402" s="19" t="n">
        <v/>
      </c>
      <c r="N402" s="19" t="n">
        <v/>
      </c>
      <c r="O402" s="19" t="n">
        <v/>
      </c>
      <c r="P402" s="19" t="n">
        <v>0.2705341055959644</v>
      </c>
      <c r="Q402" s="20" t="n">
        <v>0</v>
      </c>
      <c r="R402" s="20" t="n">
        <v/>
      </c>
      <c r="S402" s="20" t="n">
        <v>0</v>
      </c>
      <c r="T402" s="20" t="n">
        <v>0</v>
      </c>
      <c r="U402" s="20" t="n">
        <v>0</v>
      </c>
      <c r="V402" s="15" t="n">
        <v>0</v>
      </c>
      <c r="W402" s="24" t="n">
        <v>0</v>
      </c>
      <c r="X402" s="24" t="n">
        <v>0</v>
      </c>
      <c r="Y402" s="24" t="n">
        <v>0</v>
      </c>
      <c r="Z402" s="20" t="n">
        <v>0</v>
      </c>
      <c r="AA402" s="20" t="n">
        <v>0</v>
      </c>
      <c r="AB402" s="24" t="n">
        <v>0</v>
      </c>
      <c r="AC402" s="24" t="n">
        <v>0</v>
      </c>
      <c r="AD402" s="24" t="n">
        <v>0</v>
      </c>
      <c r="AE402" s="19" t="n">
        <v>0</v>
      </c>
      <c r="AF402" s="20" t="n">
        <v>0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17" t="n">
        <v>216</v>
      </c>
      <c r="J403" s="17" t="n">
        <v>395</v>
      </c>
      <c r="K403" s="17" t="n">
        <v>-221</v>
      </c>
      <c r="L403" s="17" t="n">
        <v>90</v>
      </c>
      <c r="M403" s="21" t="n">
        <v/>
      </c>
      <c r="N403" s="21" t="n">
        <v/>
      </c>
      <c r="O403" s="21" t="n">
        <v/>
      </c>
      <c r="P403" s="21" t="n">
        <v>0.2696513372857688</v>
      </c>
      <c r="Q403" s="22" t="n">
        <v>0</v>
      </c>
      <c r="R403" s="22" t="n">
        <v/>
      </c>
      <c r="S403" s="22" t="n">
        <v>0</v>
      </c>
      <c r="T403" s="22" t="n">
        <v>0</v>
      </c>
      <c r="U403" s="22" t="n">
        <v>0</v>
      </c>
      <c r="V403" s="17" t="n">
        <v>0</v>
      </c>
      <c r="W403" s="25" t="n">
        <v>0</v>
      </c>
      <c r="X403" s="25" t="n">
        <v>0</v>
      </c>
      <c r="Y403" s="25" t="n">
        <v>0</v>
      </c>
      <c r="Z403" s="22" t="n">
        <v>0</v>
      </c>
      <c r="AA403" s="22" t="n">
        <v>0</v>
      </c>
      <c r="AB403" s="25" t="n">
        <v>0</v>
      </c>
      <c r="AC403" s="25" t="n">
        <v>0</v>
      </c>
      <c r="AD403" s="25" t="n">
        <v>0</v>
      </c>
      <c r="AE403" s="21" t="n">
        <v>0</v>
      </c>
      <c r="AF403" s="22" t="n">
        <v>0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5" t="n">
        <v>216</v>
      </c>
      <c r="J404" s="15" t="n">
        <v>395</v>
      </c>
      <c r="K404" s="15" t="n">
        <v>-222</v>
      </c>
      <c r="L404" s="15" t="n">
        <v>90</v>
      </c>
      <c r="M404" s="19" t="n">
        <v/>
      </c>
      <c r="N404" s="19" t="n">
        <v/>
      </c>
      <c r="O404" s="19" t="n">
        <v/>
      </c>
      <c r="P404" s="19" t="n">
        <v>0.2687714494992239</v>
      </c>
      <c r="Q404" s="20" t="n">
        <v>0</v>
      </c>
      <c r="R404" s="20" t="n">
        <v/>
      </c>
      <c r="S404" s="20" t="n">
        <v>0</v>
      </c>
      <c r="T404" s="20" t="n">
        <v>0</v>
      </c>
      <c r="U404" s="20" t="n">
        <v>0</v>
      </c>
      <c r="V404" s="15" t="n">
        <v>0</v>
      </c>
      <c r="W404" s="24" t="n">
        <v>0</v>
      </c>
      <c r="X404" s="24" t="n">
        <v>0</v>
      </c>
      <c r="Y404" s="24" t="n">
        <v>0</v>
      </c>
      <c r="Z404" s="20" t="n">
        <v>0</v>
      </c>
      <c r="AA404" s="20" t="n">
        <v>0</v>
      </c>
      <c r="AB404" s="24" t="n">
        <v>0</v>
      </c>
      <c r="AC404" s="24" t="n">
        <v>0</v>
      </c>
      <c r="AD404" s="24" t="n">
        <v>0</v>
      </c>
      <c r="AE404" s="19" t="n">
        <v>0</v>
      </c>
      <c r="AF404" s="20" t="n">
        <v>0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17" t="n">
        <v>216</v>
      </c>
      <c r="J405" s="17" t="n">
        <v>395</v>
      </c>
      <c r="K405" s="17" t="n">
        <v>-223</v>
      </c>
      <c r="L405" s="17" t="n">
        <v>90</v>
      </c>
      <c r="M405" s="21" t="n">
        <v/>
      </c>
      <c r="N405" s="21" t="n">
        <v/>
      </c>
      <c r="O405" s="21" t="n">
        <v/>
      </c>
      <c r="P405" s="21" t="n">
        <v>0.2678944328370158</v>
      </c>
      <c r="Q405" s="22" t="n">
        <v>0</v>
      </c>
      <c r="R405" s="22" t="n">
        <v/>
      </c>
      <c r="S405" s="22" t="n">
        <v>0</v>
      </c>
      <c r="T405" s="22" t="n">
        <v>0</v>
      </c>
      <c r="U405" s="22" t="n">
        <v>0</v>
      </c>
      <c r="V405" s="17" t="n">
        <v>0</v>
      </c>
      <c r="W405" s="25" t="n">
        <v>0</v>
      </c>
      <c r="X405" s="25" t="n">
        <v>0</v>
      </c>
      <c r="Y405" s="25" t="n">
        <v>0</v>
      </c>
      <c r="Z405" s="22" t="n">
        <v>0</v>
      </c>
      <c r="AA405" s="22" t="n">
        <v>0</v>
      </c>
      <c r="AB405" s="25" t="n">
        <v>0</v>
      </c>
      <c r="AC405" s="25" t="n">
        <v>0</v>
      </c>
      <c r="AD405" s="25" t="n">
        <v>0</v>
      </c>
      <c r="AE405" s="21" t="n">
        <v>0</v>
      </c>
      <c r="AF405" s="22" t="n">
        <v>0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5" t="n">
        <v>216</v>
      </c>
      <c r="J406" s="15" t="n">
        <v>395</v>
      </c>
      <c r="K406" s="15" t="n">
        <v>-224</v>
      </c>
      <c r="L406" s="15" t="n">
        <v>90</v>
      </c>
      <c r="M406" s="19" t="n">
        <v/>
      </c>
      <c r="N406" s="19" t="n">
        <v/>
      </c>
      <c r="O406" s="19" t="n">
        <v/>
      </c>
      <c r="P406" s="19" t="n">
        <v>0.2670202779305009</v>
      </c>
      <c r="Q406" s="20" t="n">
        <v>0</v>
      </c>
      <c r="R406" s="20" t="n">
        <v/>
      </c>
      <c r="S406" s="20" t="n">
        <v>0</v>
      </c>
      <c r="T406" s="20" t="n">
        <v>0</v>
      </c>
      <c r="U406" s="20" t="n">
        <v>0</v>
      </c>
      <c r="V406" s="15" t="n">
        <v>0</v>
      </c>
      <c r="W406" s="24" t="n">
        <v>0</v>
      </c>
      <c r="X406" s="24" t="n">
        <v>0</v>
      </c>
      <c r="Y406" s="24" t="n">
        <v>0</v>
      </c>
      <c r="Z406" s="20" t="n">
        <v>0</v>
      </c>
      <c r="AA406" s="20" t="n">
        <v>0</v>
      </c>
      <c r="AB406" s="24" t="n">
        <v>0</v>
      </c>
      <c r="AC406" s="24" t="n">
        <v>0</v>
      </c>
      <c r="AD406" s="24" t="n">
        <v>0</v>
      </c>
      <c r="AE406" s="19" t="n">
        <v>0</v>
      </c>
      <c r="AF406" s="20" t="n">
        <v>0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17" t="n">
        <v>216</v>
      </c>
      <c r="J407" s="17" t="n">
        <v>395</v>
      </c>
      <c r="K407" s="17" t="n">
        <v>-225</v>
      </c>
      <c r="L407" s="17" t="n">
        <v>90</v>
      </c>
      <c r="M407" s="21" t="n">
        <v/>
      </c>
      <c r="N407" s="21" t="n">
        <v/>
      </c>
      <c r="O407" s="21" t="n">
        <v/>
      </c>
      <c r="P407" s="21" t="n">
        <v>0.2661489754416063</v>
      </c>
      <c r="Q407" s="22" t="n">
        <v>0</v>
      </c>
      <c r="R407" s="22" t="n">
        <v/>
      </c>
      <c r="S407" s="22" t="n">
        <v>0</v>
      </c>
      <c r="T407" s="22" t="n">
        <v>0</v>
      </c>
      <c r="U407" s="22" t="n">
        <v>0</v>
      </c>
      <c r="V407" s="17" t="n">
        <v>0</v>
      </c>
      <c r="W407" s="25" t="n">
        <v>0</v>
      </c>
      <c r="X407" s="25" t="n">
        <v>0</v>
      </c>
      <c r="Y407" s="25" t="n">
        <v>0</v>
      </c>
      <c r="Z407" s="22" t="n">
        <v>0</v>
      </c>
      <c r="AA407" s="22" t="n">
        <v>0</v>
      </c>
      <c r="AB407" s="25" t="n">
        <v>0</v>
      </c>
      <c r="AC407" s="25" t="n">
        <v>0</v>
      </c>
      <c r="AD407" s="25" t="n">
        <v>0</v>
      </c>
      <c r="AE407" s="21" t="n">
        <v>0</v>
      </c>
      <c r="AF407" s="22" t="n">
        <v>0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5" t="n">
        <v>216</v>
      </c>
      <c r="J408" s="15" t="n">
        <v>395</v>
      </c>
      <c r="K408" s="15" t="n">
        <v>-226</v>
      </c>
      <c r="L408" s="15" t="n">
        <v>90</v>
      </c>
      <c r="M408" s="19" t="n">
        <v/>
      </c>
      <c r="N408" s="19" t="n">
        <v/>
      </c>
      <c r="O408" s="19" t="n">
        <v/>
      </c>
      <c r="P408" s="19" t="n">
        <v>0.2652805160627295</v>
      </c>
      <c r="Q408" s="20" t="n">
        <v>0</v>
      </c>
      <c r="R408" s="20" t="n">
        <v/>
      </c>
      <c r="S408" s="20" t="n">
        <v>0</v>
      </c>
      <c r="T408" s="20" t="n">
        <v>0</v>
      </c>
      <c r="U408" s="20" t="n">
        <v>0</v>
      </c>
      <c r="V408" s="15" t="n">
        <v>0</v>
      </c>
      <c r="W408" s="24" t="n">
        <v>0</v>
      </c>
      <c r="X408" s="24" t="n">
        <v>0</v>
      </c>
      <c r="Y408" s="24" t="n">
        <v>0</v>
      </c>
      <c r="Z408" s="20" t="n">
        <v>0</v>
      </c>
      <c r="AA408" s="20" t="n">
        <v>0</v>
      </c>
      <c r="AB408" s="24" t="n">
        <v>0</v>
      </c>
      <c r="AC408" s="24" t="n">
        <v>0</v>
      </c>
      <c r="AD408" s="24" t="n">
        <v>0</v>
      </c>
      <c r="AE408" s="19" t="n">
        <v>0</v>
      </c>
      <c r="AF408" s="20" t="n">
        <v>0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17" t="n">
        <v>216</v>
      </c>
      <c r="J409" s="17" t="n">
        <v>395</v>
      </c>
      <c r="K409" s="17" t="n">
        <v>-227</v>
      </c>
      <c r="L409" s="17" t="n">
        <v>90</v>
      </c>
      <c r="M409" s="21" t="n">
        <v/>
      </c>
      <c r="N409" s="21" t="n">
        <v/>
      </c>
      <c r="O409" s="21" t="n">
        <v/>
      </c>
      <c r="P409" s="21" t="n">
        <v>0.2644148905166394</v>
      </c>
      <c r="Q409" s="22" t="n">
        <v>0</v>
      </c>
      <c r="R409" s="22" t="n">
        <v/>
      </c>
      <c r="S409" s="22" t="n">
        <v>0</v>
      </c>
      <c r="T409" s="22" t="n">
        <v>0</v>
      </c>
      <c r="U409" s="22" t="n">
        <v>0</v>
      </c>
      <c r="V409" s="17" t="n">
        <v>0</v>
      </c>
      <c r="W409" s="25" t="n">
        <v>0</v>
      </c>
      <c r="X409" s="25" t="n">
        <v>0</v>
      </c>
      <c r="Y409" s="25" t="n">
        <v>0</v>
      </c>
      <c r="Z409" s="22" t="n">
        <v>0</v>
      </c>
      <c r="AA409" s="22" t="n">
        <v>0</v>
      </c>
      <c r="AB409" s="25" t="n">
        <v>0</v>
      </c>
      <c r="AC409" s="25" t="n">
        <v>0</v>
      </c>
      <c r="AD409" s="25" t="n">
        <v>0</v>
      </c>
      <c r="AE409" s="21" t="n">
        <v>0</v>
      </c>
      <c r="AF409" s="22" t="n">
        <v>0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5" t="n">
        <v>216</v>
      </c>
      <c r="J410" s="15" t="n">
        <v>395</v>
      </c>
      <c r="K410" s="15" t="n">
        <v>-228</v>
      </c>
      <c r="L410" s="15" t="n">
        <v>90</v>
      </c>
      <c r="M410" s="19" t="n">
        <v/>
      </c>
      <c r="N410" s="19" t="n">
        <v/>
      </c>
      <c r="O410" s="19" t="n">
        <v/>
      </c>
      <c r="P410" s="19" t="n">
        <v>0.263552089556377</v>
      </c>
      <c r="Q410" s="20" t="n">
        <v>0</v>
      </c>
      <c r="R410" s="20" t="n">
        <v/>
      </c>
      <c r="S410" s="20" t="n">
        <v>0</v>
      </c>
      <c r="T410" s="20" t="n">
        <v>0</v>
      </c>
      <c r="U410" s="20" t="n">
        <v>0</v>
      </c>
      <c r="V410" s="15" t="n">
        <v>0</v>
      </c>
      <c r="W410" s="24" t="n">
        <v>0</v>
      </c>
      <c r="X410" s="24" t="n">
        <v>0</v>
      </c>
      <c r="Y410" s="24" t="n">
        <v>0</v>
      </c>
      <c r="Z410" s="20" t="n">
        <v>0</v>
      </c>
      <c r="AA410" s="20" t="n">
        <v>0</v>
      </c>
      <c r="AB410" s="24" t="n">
        <v>0</v>
      </c>
      <c r="AC410" s="24" t="n">
        <v>0</v>
      </c>
      <c r="AD410" s="24" t="n">
        <v>0</v>
      </c>
      <c r="AE410" s="19" t="n">
        <v>0</v>
      </c>
      <c r="AF410" s="20" t="n">
        <v>0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17" t="n">
        <v>216</v>
      </c>
      <c r="J411" s="17" t="n">
        <v>395</v>
      </c>
      <c r="K411" s="17" t="n">
        <v>-229</v>
      </c>
      <c r="L411" s="17" t="n">
        <v>90</v>
      </c>
      <c r="M411" s="21" t="n">
        <v/>
      </c>
      <c r="N411" s="21" t="n">
        <v/>
      </c>
      <c r="O411" s="21" t="n">
        <v/>
      </c>
      <c r="P411" s="21" t="n">
        <v>0.2626921039651567</v>
      </c>
      <c r="Q411" s="22" t="n">
        <v>0</v>
      </c>
      <c r="R411" s="22" t="n">
        <v/>
      </c>
      <c r="S411" s="22" t="n">
        <v>0</v>
      </c>
      <c r="T411" s="22" t="n">
        <v>0</v>
      </c>
      <c r="U411" s="22" t="n">
        <v>0</v>
      </c>
      <c r="V411" s="17" t="n">
        <v>0</v>
      </c>
      <c r="W411" s="25" t="n">
        <v>0</v>
      </c>
      <c r="X411" s="25" t="n">
        <v>0</v>
      </c>
      <c r="Y411" s="25" t="n">
        <v>0</v>
      </c>
      <c r="Z411" s="22" t="n">
        <v>0</v>
      </c>
      <c r="AA411" s="22" t="n">
        <v>0</v>
      </c>
      <c r="AB411" s="25" t="n">
        <v>0</v>
      </c>
      <c r="AC411" s="25" t="n">
        <v>0</v>
      </c>
      <c r="AD411" s="25" t="n">
        <v>0</v>
      </c>
      <c r="AE411" s="21" t="n">
        <v>0</v>
      </c>
      <c r="AF411" s="22" t="n">
        <v>0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5" t="n">
        <v>216</v>
      </c>
      <c r="J412" s="15" t="n">
        <v>395</v>
      </c>
      <c r="K412" s="15" t="n">
        <v>-230</v>
      </c>
      <c r="L412" s="15" t="n">
        <v>90</v>
      </c>
      <c r="M412" s="19" t="n">
        <v/>
      </c>
      <c r="N412" s="19" t="n">
        <v/>
      </c>
      <c r="O412" s="19" t="n">
        <v/>
      </c>
      <c r="P412" s="19" t="n">
        <v>0.2618349245562678</v>
      </c>
      <c r="Q412" s="20" t="n">
        <v>0</v>
      </c>
      <c r="R412" s="20" t="n">
        <v/>
      </c>
      <c r="S412" s="20" t="n">
        <v>0</v>
      </c>
      <c r="T412" s="20" t="n">
        <v>0</v>
      </c>
      <c r="U412" s="20" t="n">
        <v>0</v>
      </c>
      <c r="V412" s="15" t="n">
        <v>0</v>
      </c>
      <c r="W412" s="24" t="n">
        <v>0</v>
      </c>
      <c r="X412" s="24" t="n">
        <v>0</v>
      </c>
      <c r="Y412" s="24" t="n">
        <v>0</v>
      </c>
      <c r="Z412" s="20" t="n">
        <v>0</v>
      </c>
      <c r="AA412" s="20" t="n">
        <v>0</v>
      </c>
      <c r="AB412" s="24" t="n">
        <v>0</v>
      </c>
      <c r="AC412" s="24" t="n">
        <v>0</v>
      </c>
      <c r="AD412" s="24" t="n">
        <v>0</v>
      </c>
      <c r="AE412" s="19" t="n">
        <v>0</v>
      </c>
      <c r="AF412" s="20" t="n">
        <v>0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17" t="n">
        <v>216</v>
      </c>
      <c r="J413" s="17" t="n">
        <v>395</v>
      </c>
      <c r="K413" s="17" t="n">
        <v>-231</v>
      </c>
      <c r="L413" s="17" t="n">
        <v>90</v>
      </c>
      <c r="M413" s="21" t="n">
        <v/>
      </c>
      <c r="N413" s="21" t="n">
        <v/>
      </c>
      <c r="O413" s="21" t="n">
        <v/>
      </c>
      <c r="P413" s="21" t="n">
        <v>0.2609805421729763</v>
      </c>
      <c r="Q413" s="22" t="n">
        <v>0</v>
      </c>
      <c r="R413" s="22" t="n">
        <v/>
      </c>
      <c r="S413" s="22" t="n">
        <v>0</v>
      </c>
      <c r="T413" s="22" t="n">
        <v>0</v>
      </c>
      <c r="U413" s="22" t="n">
        <v>0</v>
      </c>
      <c r="V413" s="17" t="n">
        <v>0</v>
      </c>
      <c r="W413" s="25" t="n">
        <v>0</v>
      </c>
      <c r="X413" s="25" t="n">
        <v>0</v>
      </c>
      <c r="Y413" s="25" t="n">
        <v>0</v>
      </c>
      <c r="Z413" s="22" t="n">
        <v>0</v>
      </c>
      <c r="AA413" s="22" t="n">
        <v>0</v>
      </c>
      <c r="AB413" s="25" t="n">
        <v>0</v>
      </c>
      <c r="AC413" s="25" t="n">
        <v>0</v>
      </c>
      <c r="AD413" s="25" t="n">
        <v>0</v>
      </c>
      <c r="AE413" s="21" t="n">
        <v>0</v>
      </c>
      <c r="AF413" s="22" t="n">
        <v>0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5" t="n">
        <v>216</v>
      </c>
      <c r="J414" s="15" t="n">
        <v>395</v>
      </c>
      <c r="K414" s="15" t="n">
        <v>-232</v>
      </c>
      <c r="L414" s="15" t="n">
        <v>90</v>
      </c>
      <c r="M414" s="19" t="n">
        <v/>
      </c>
      <c r="N414" s="19" t="n">
        <v/>
      </c>
      <c r="O414" s="19" t="n">
        <v/>
      </c>
      <c r="P414" s="19" t="n">
        <v>0.2601289476884272</v>
      </c>
      <c r="Q414" s="20" t="n">
        <v>0</v>
      </c>
      <c r="R414" s="20" t="n">
        <v/>
      </c>
      <c r="S414" s="20" t="n">
        <v>0</v>
      </c>
      <c r="T414" s="20" t="n">
        <v>0</v>
      </c>
      <c r="U414" s="20" t="n">
        <v>0</v>
      </c>
      <c r="V414" s="15" t="n">
        <v>0</v>
      </c>
      <c r="W414" s="24" t="n">
        <v>0</v>
      </c>
      <c r="X414" s="24" t="n">
        <v>0</v>
      </c>
      <c r="Y414" s="24" t="n">
        <v>0</v>
      </c>
      <c r="Z414" s="20" t="n">
        <v>0</v>
      </c>
      <c r="AA414" s="20" t="n">
        <v>0</v>
      </c>
      <c r="AB414" s="24" t="n">
        <v>0</v>
      </c>
      <c r="AC414" s="24" t="n">
        <v>0</v>
      </c>
      <c r="AD414" s="24" t="n">
        <v>0</v>
      </c>
      <c r="AE414" s="19" t="n">
        <v>0</v>
      </c>
      <c r="AF414" s="20" t="n">
        <v>0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17" t="n">
        <v>216</v>
      </c>
      <c r="J415" s="17" t="n">
        <v>395</v>
      </c>
      <c r="K415" s="17" t="n">
        <v>-233</v>
      </c>
      <c r="L415" s="17" t="n">
        <v>90</v>
      </c>
      <c r="M415" s="21" t="n">
        <v/>
      </c>
      <c r="N415" s="21" t="n">
        <v/>
      </c>
      <c r="O415" s="21" t="n">
        <v/>
      </c>
      <c r="P415" s="21" t="n">
        <v>0.2592801320055468</v>
      </c>
      <c r="Q415" s="22" t="n">
        <v>0</v>
      </c>
      <c r="R415" s="22" t="n">
        <v/>
      </c>
      <c r="S415" s="22" t="n">
        <v>0</v>
      </c>
      <c r="T415" s="22" t="n">
        <v>0</v>
      </c>
      <c r="U415" s="22" t="n">
        <v>0</v>
      </c>
      <c r="V415" s="17" t="n">
        <v>0</v>
      </c>
      <c r="W415" s="25" t="n">
        <v>0</v>
      </c>
      <c r="X415" s="25" t="n">
        <v>0</v>
      </c>
      <c r="Y415" s="25" t="n">
        <v>0</v>
      </c>
      <c r="Z415" s="22" t="n">
        <v>0</v>
      </c>
      <c r="AA415" s="22" t="n">
        <v>0</v>
      </c>
      <c r="AB415" s="25" t="n">
        <v>0</v>
      </c>
      <c r="AC415" s="25" t="n">
        <v>0</v>
      </c>
      <c r="AD415" s="25" t="n">
        <v>0</v>
      </c>
      <c r="AE415" s="21" t="n">
        <v>0</v>
      </c>
      <c r="AF415" s="22" t="n">
        <v>0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5" t="n">
        <v>216</v>
      </c>
      <c r="J416" s="15" t="n">
        <v>395</v>
      </c>
      <c r="K416" s="15" t="n">
        <v>-234</v>
      </c>
      <c r="L416" s="15" t="n">
        <v>90</v>
      </c>
      <c r="M416" s="19" t="n">
        <v/>
      </c>
      <c r="N416" s="19" t="n">
        <v/>
      </c>
      <c r="O416" s="19" t="n">
        <v/>
      </c>
      <c r="P416" s="19" t="n">
        <v>0.258434086056946</v>
      </c>
      <c r="Q416" s="20" t="n">
        <v>0</v>
      </c>
      <c r="R416" s="20" t="n">
        <v/>
      </c>
      <c r="S416" s="20" t="n">
        <v>0</v>
      </c>
      <c r="T416" s="20" t="n">
        <v>0</v>
      </c>
      <c r="U416" s="20" t="n">
        <v>0</v>
      </c>
      <c r="V416" s="15" t="n">
        <v>0</v>
      </c>
      <c r="W416" s="24" t="n">
        <v>0</v>
      </c>
      <c r="X416" s="24" t="n">
        <v>0</v>
      </c>
      <c r="Y416" s="24" t="n">
        <v>0</v>
      </c>
      <c r="Z416" s="20" t="n">
        <v>0</v>
      </c>
      <c r="AA416" s="20" t="n">
        <v>0</v>
      </c>
      <c r="AB416" s="24" t="n">
        <v>0</v>
      </c>
      <c r="AC416" s="24" t="n">
        <v>0</v>
      </c>
      <c r="AD416" s="24" t="n">
        <v>0</v>
      </c>
      <c r="AE416" s="19" t="n">
        <v>0</v>
      </c>
      <c r="AF416" s="20" t="n">
        <v>0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17" t="n">
        <v>216</v>
      </c>
      <c r="J417" s="17" t="n">
        <v>395</v>
      </c>
      <c r="K417" s="17" t="n">
        <v>-235</v>
      </c>
      <c r="L417" s="17" t="n">
        <v>90</v>
      </c>
      <c r="M417" s="21" t="n">
        <v/>
      </c>
      <c r="N417" s="21" t="n">
        <v/>
      </c>
      <c r="O417" s="21" t="n">
        <v/>
      </c>
      <c r="P417" s="21" t="n">
        <v>0.2575908008048228</v>
      </c>
      <c r="Q417" s="22" t="n">
        <v>0</v>
      </c>
      <c r="R417" s="22" t="n">
        <v/>
      </c>
      <c r="S417" s="22" t="n">
        <v>0</v>
      </c>
      <c r="T417" s="22" t="n">
        <v>0</v>
      </c>
      <c r="U417" s="22" t="n">
        <v>0</v>
      </c>
      <c r="V417" s="17" t="n">
        <v>0</v>
      </c>
      <c r="W417" s="25" t="n">
        <v>0</v>
      </c>
      <c r="X417" s="25" t="n">
        <v>0</v>
      </c>
      <c r="Y417" s="25" t="n">
        <v>0</v>
      </c>
      <c r="Z417" s="22" t="n">
        <v>0</v>
      </c>
      <c r="AA417" s="22" t="n">
        <v>0</v>
      </c>
      <c r="AB417" s="25" t="n">
        <v>0</v>
      </c>
      <c r="AC417" s="25" t="n">
        <v>0</v>
      </c>
      <c r="AD417" s="25" t="n">
        <v>0</v>
      </c>
      <c r="AE417" s="21" t="n">
        <v>0</v>
      </c>
      <c r="AF417" s="22" t="n">
        <v>0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5" t="n">
        <v>216</v>
      </c>
      <c r="J418" s="15" t="n">
        <v>395</v>
      </c>
      <c r="K418" s="15" t="n">
        <v>-236</v>
      </c>
      <c r="L418" s="15" t="n">
        <v>90</v>
      </c>
      <c r="M418" s="19" t="n">
        <v/>
      </c>
      <c r="N418" s="19" t="n">
        <v/>
      </c>
      <c r="O418" s="19" t="n">
        <v/>
      </c>
      <c r="P418" s="19" t="n">
        <v>0.2567502672408661</v>
      </c>
      <c r="Q418" s="20" t="n">
        <v>0</v>
      </c>
      <c r="R418" s="20" t="n">
        <v/>
      </c>
      <c r="S418" s="20" t="n">
        <v>0</v>
      </c>
      <c r="T418" s="20" t="n">
        <v>0</v>
      </c>
      <c r="U418" s="20" t="n">
        <v>0</v>
      </c>
      <c r="V418" s="15" t="n">
        <v>0</v>
      </c>
      <c r="W418" s="24" t="n">
        <v>0</v>
      </c>
      <c r="X418" s="24" t="n">
        <v>0</v>
      </c>
      <c r="Y418" s="24" t="n">
        <v>0</v>
      </c>
      <c r="Z418" s="20" t="n">
        <v>0</v>
      </c>
      <c r="AA418" s="20" t="n">
        <v>0</v>
      </c>
      <c r="AB418" s="24" t="n">
        <v>0</v>
      </c>
      <c r="AC418" s="24" t="n">
        <v>0</v>
      </c>
      <c r="AD418" s="24" t="n">
        <v>0</v>
      </c>
      <c r="AE418" s="19" t="n">
        <v>0</v>
      </c>
      <c r="AF418" s="20" t="n">
        <v>0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17" t="n">
        <v>216</v>
      </c>
      <c r="J419" s="17" t="n">
        <v>395</v>
      </c>
      <c r="K419" s="17" t="n">
        <v>-237</v>
      </c>
      <c r="L419" s="17" t="n">
        <v>90</v>
      </c>
      <c r="M419" s="21" t="n">
        <v/>
      </c>
      <c r="N419" s="21" t="n">
        <v/>
      </c>
      <c r="O419" s="21" t="n">
        <v/>
      </c>
      <c r="P419" s="21" t="n">
        <v>0.2559124763861597</v>
      </c>
      <c r="Q419" s="22" t="n">
        <v>0</v>
      </c>
      <c r="R419" s="22" t="n">
        <v/>
      </c>
      <c r="S419" s="22" t="n">
        <v>0</v>
      </c>
      <c r="T419" s="22" t="n">
        <v>0</v>
      </c>
      <c r="U419" s="22" t="n">
        <v>0</v>
      </c>
      <c r="V419" s="17" t="n">
        <v>0</v>
      </c>
      <c r="W419" s="25" t="n">
        <v>0</v>
      </c>
      <c r="X419" s="25" t="n">
        <v>0</v>
      </c>
      <c r="Y419" s="25" t="n">
        <v>0</v>
      </c>
      <c r="Z419" s="22" t="n">
        <v>0</v>
      </c>
      <c r="AA419" s="22" t="n">
        <v>0</v>
      </c>
      <c r="AB419" s="25" t="n">
        <v>0</v>
      </c>
      <c r="AC419" s="25" t="n">
        <v>0</v>
      </c>
      <c r="AD419" s="25" t="n">
        <v>0</v>
      </c>
      <c r="AE419" s="21" t="n">
        <v>0</v>
      </c>
      <c r="AF419" s="22" t="n">
        <v>0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5" t="n">
        <v>216</v>
      </c>
      <c r="J420" s="15" t="n">
        <v>395</v>
      </c>
      <c r="K420" s="15" t="n">
        <v>-238</v>
      </c>
      <c r="L420" s="15" t="n">
        <v>90</v>
      </c>
      <c r="M420" s="19" t="n">
        <v/>
      </c>
      <c r="N420" s="19" t="n">
        <v/>
      </c>
      <c r="O420" s="19" t="n">
        <v/>
      </c>
      <c r="P420" s="19" t="n">
        <v>0.2550774192910858</v>
      </c>
      <c r="Q420" s="20" t="n">
        <v>0</v>
      </c>
      <c r="R420" s="20" t="n">
        <v/>
      </c>
      <c r="S420" s="20" t="n">
        <v>0</v>
      </c>
      <c r="T420" s="20" t="n">
        <v>0</v>
      </c>
      <c r="U420" s="20" t="n">
        <v>0</v>
      </c>
      <c r="V420" s="15" t="n">
        <v>0</v>
      </c>
      <c r="W420" s="24" t="n">
        <v>0</v>
      </c>
      <c r="X420" s="24" t="n">
        <v>0</v>
      </c>
      <c r="Y420" s="24" t="n">
        <v>0</v>
      </c>
      <c r="Z420" s="20" t="n">
        <v>0</v>
      </c>
      <c r="AA420" s="20" t="n">
        <v>0</v>
      </c>
      <c r="AB420" s="24" t="n">
        <v>0</v>
      </c>
      <c r="AC420" s="24" t="n">
        <v>0</v>
      </c>
      <c r="AD420" s="24" t="n">
        <v>0</v>
      </c>
      <c r="AE420" s="19" t="n">
        <v>0</v>
      </c>
      <c r="AF420" s="20" t="n">
        <v>0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17" t="n">
        <v>216</v>
      </c>
      <c r="J421" s="17" t="n">
        <v>395</v>
      </c>
      <c r="K421" s="17" t="n">
        <v>-239</v>
      </c>
      <c r="L421" s="17" t="n">
        <v>90</v>
      </c>
      <c r="M421" s="21" t="n">
        <v/>
      </c>
      <c r="N421" s="21" t="n">
        <v/>
      </c>
      <c r="O421" s="21" t="n">
        <v/>
      </c>
      <c r="P421" s="21" t="n">
        <v>0.25424508703523</v>
      </c>
      <c r="Q421" s="22" t="n">
        <v>0</v>
      </c>
      <c r="R421" s="22" t="n">
        <v/>
      </c>
      <c r="S421" s="22" t="n">
        <v>0</v>
      </c>
      <c r="T421" s="22" t="n">
        <v>0</v>
      </c>
      <c r="U421" s="22" t="n">
        <v>0</v>
      </c>
      <c r="V421" s="17" t="n">
        <v>0</v>
      </c>
      <c r="W421" s="25" t="n">
        <v>0</v>
      </c>
      <c r="X421" s="25" t="n">
        <v>0</v>
      </c>
      <c r="Y421" s="25" t="n">
        <v>0</v>
      </c>
      <c r="Z421" s="22" t="n">
        <v>0</v>
      </c>
      <c r="AA421" s="22" t="n">
        <v>0</v>
      </c>
      <c r="AB421" s="25" t="n">
        <v>0</v>
      </c>
      <c r="AC421" s="25" t="n">
        <v>0</v>
      </c>
      <c r="AD421" s="25" t="n">
        <v>0</v>
      </c>
      <c r="AE421" s="21" t="n">
        <v>0</v>
      </c>
      <c r="AF421" s="22" t="n">
        <v>0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5" t="n">
        <v>216</v>
      </c>
      <c r="J422" s="15" t="n">
        <v>395</v>
      </c>
      <c r="K422" s="15" t="n">
        <v>-240</v>
      </c>
      <c r="L422" s="15" t="n">
        <v>90</v>
      </c>
      <c r="M422" s="19" t="n">
        <v/>
      </c>
      <c r="N422" s="19" t="n">
        <v/>
      </c>
      <c r="O422" s="19" t="n">
        <v/>
      </c>
      <c r="P422" s="19" t="n">
        <v>0.2534154707272854</v>
      </c>
      <c r="Q422" s="20" t="n">
        <v>0</v>
      </c>
      <c r="R422" s="20" t="n">
        <v/>
      </c>
      <c r="S422" s="20" t="n">
        <v>0</v>
      </c>
      <c r="T422" s="20" t="n">
        <v>0</v>
      </c>
      <c r="U422" s="20" t="n">
        <v>0</v>
      </c>
      <c r="V422" s="15" t="n">
        <v>0</v>
      </c>
      <c r="W422" s="24" t="n">
        <v>0</v>
      </c>
      <c r="X422" s="24" t="n">
        <v>0</v>
      </c>
      <c r="Y422" s="24" t="n">
        <v>0</v>
      </c>
      <c r="Z422" s="20" t="n">
        <v>0</v>
      </c>
      <c r="AA422" s="20" t="n">
        <v>0</v>
      </c>
      <c r="AB422" s="24" t="n">
        <v>0</v>
      </c>
      <c r="AC422" s="24" t="n">
        <v>0</v>
      </c>
      <c r="AD422" s="24" t="n">
        <v>0</v>
      </c>
      <c r="AE422" s="19" t="n">
        <v>0</v>
      </c>
      <c r="AF422" s="20" t="n">
        <v>0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17" t="n">
        <v>216</v>
      </c>
      <c r="J423" s="17" t="n">
        <v>395</v>
      </c>
      <c r="K423" s="17" t="n">
        <v>-241</v>
      </c>
      <c r="L423" s="17" t="n">
        <v>90</v>
      </c>
      <c r="M423" s="21" t="n">
        <v/>
      </c>
      <c r="N423" s="21" t="n">
        <v/>
      </c>
      <c r="O423" s="21" t="n">
        <v/>
      </c>
      <c r="P423" s="21" t="n">
        <v>0.2525885615049582</v>
      </c>
      <c r="Q423" s="22" t="n">
        <v>0</v>
      </c>
      <c r="R423" s="22" t="n">
        <v/>
      </c>
      <c r="S423" s="22" t="n">
        <v>0</v>
      </c>
      <c r="T423" s="22" t="n">
        <v>0</v>
      </c>
      <c r="U423" s="22" t="n">
        <v>0</v>
      </c>
      <c r="V423" s="17" t="n">
        <v>0</v>
      </c>
      <c r="W423" s="25" t="n">
        <v>0</v>
      </c>
      <c r="X423" s="25" t="n">
        <v>0</v>
      </c>
      <c r="Y423" s="25" t="n">
        <v>0</v>
      </c>
      <c r="Z423" s="22" t="n">
        <v>0</v>
      </c>
      <c r="AA423" s="22" t="n">
        <v>0</v>
      </c>
      <c r="AB423" s="25" t="n">
        <v>0</v>
      </c>
      <c r="AC423" s="25" t="n">
        <v>0</v>
      </c>
      <c r="AD423" s="25" t="n">
        <v>0</v>
      </c>
      <c r="AE423" s="21" t="n">
        <v>0</v>
      </c>
      <c r="AF423" s="22" t="n">
        <v>0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5" t="n">
        <v>216</v>
      </c>
      <c r="J424" s="15" t="n">
        <v>395</v>
      </c>
      <c r="K424" s="15" t="n">
        <v>-242</v>
      </c>
      <c r="L424" s="15" t="n">
        <v>90</v>
      </c>
      <c r="M424" s="19" t="n">
        <v/>
      </c>
      <c r="N424" s="19" t="n">
        <v/>
      </c>
      <c r="O424" s="19" t="n">
        <v/>
      </c>
      <c r="P424" s="19" t="n">
        <v>0.2517643505348727</v>
      </c>
      <c r="Q424" s="20" t="n">
        <v>0</v>
      </c>
      <c r="R424" s="20" t="n">
        <v/>
      </c>
      <c r="S424" s="20" t="n">
        <v>0</v>
      </c>
      <c r="T424" s="20" t="n">
        <v>0</v>
      </c>
      <c r="U424" s="20" t="n">
        <v>0</v>
      </c>
      <c r="V424" s="15" t="n">
        <v>0</v>
      </c>
      <c r="W424" s="24" t="n">
        <v>0</v>
      </c>
      <c r="X424" s="24" t="n">
        <v>0</v>
      </c>
      <c r="Y424" s="24" t="n">
        <v>0</v>
      </c>
      <c r="Z424" s="20" t="n">
        <v>0</v>
      </c>
      <c r="AA424" s="20" t="n">
        <v>0</v>
      </c>
      <c r="AB424" s="24" t="n">
        <v>0</v>
      </c>
      <c r="AC424" s="24" t="n">
        <v>0</v>
      </c>
      <c r="AD424" s="24" t="n">
        <v>0</v>
      </c>
      <c r="AE424" s="19" t="n">
        <v>0</v>
      </c>
      <c r="AF424" s="20" t="n">
        <v>0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17" t="n">
        <v>216</v>
      </c>
      <c r="J425" s="17" t="n">
        <v>395</v>
      </c>
      <c r="K425" s="17" t="n">
        <v>-243</v>
      </c>
      <c r="L425" s="17" t="n">
        <v>90</v>
      </c>
      <c r="M425" s="21" t="n">
        <v/>
      </c>
      <c r="N425" s="21" t="n">
        <v/>
      </c>
      <c r="O425" s="21" t="n">
        <v/>
      </c>
      <c r="P425" s="21" t="n">
        <v>0.250942829012477</v>
      </c>
      <c r="Q425" s="22" t="n">
        <v>0</v>
      </c>
      <c r="R425" s="22" t="n">
        <v/>
      </c>
      <c r="S425" s="22" t="n">
        <v>0</v>
      </c>
      <c r="T425" s="22" t="n">
        <v>0</v>
      </c>
      <c r="U425" s="22" t="n">
        <v>0</v>
      </c>
      <c r="V425" s="17" t="n">
        <v>0</v>
      </c>
      <c r="W425" s="25" t="n">
        <v>0</v>
      </c>
      <c r="X425" s="25" t="n">
        <v>0</v>
      </c>
      <c r="Y425" s="25" t="n">
        <v>0</v>
      </c>
      <c r="Z425" s="22" t="n">
        <v>0</v>
      </c>
      <c r="AA425" s="22" t="n">
        <v>0</v>
      </c>
      <c r="AB425" s="25" t="n">
        <v>0</v>
      </c>
      <c r="AC425" s="25" t="n">
        <v>0</v>
      </c>
      <c r="AD425" s="25" t="n">
        <v>0</v>
      </c>
      <c r="AE425" s="21" t="n">
        <v>0</v>
      </c>
      <c r="AF425" s="22" t="n">
        <v>0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5" t="n">
        <v>216</v>
      </c>
      <c r="J426" s="15" t="n">
        <v>395</v>
      </c>
      <c r="K426" s="15" t="n">
        <v>-244</v>
      </c>
      <c r="L426" s="15" t="n">
        <v>90</v>
      </c>
      <c r="M426" s="19" t="n">
        <v/>
      </c>
      <c r="N426" s="19" t="n">
        <v/>
      </c>
      <c r="O426" s="19" t="n">
        <v/>
      </c>
      <c r="P426" s="19" t="n">
        <v>0.250123988161949</v>
      </c>
      <c r="Q426" s="20" t="n">
        <v>0</v>
      </c>
      <c r="R426" s="20" t="n">
        <v/>
      </c>
      <c r="S426" s="20" t="n">
        <v>0</v>
      </c>
      <c r="T426" s="20" t="n">
        <v>0</v>
      </c>
      <c r="U426" s="20" t="n">
        <v>0</v>
      </c>
      <c r="V426" s="15" t="n">
        <v>0</v>
      </c>
      <c r="W426" s="24" t="n">
        <v>0</v>
      </c>
      <c r="X426" s="24" t="n">
        <v>0</v>
      </c>
      <c r="Y426" s="24" t="n">
        <v>0</v>
      </c>
      <c r="Z426" s="20" t="n">
        <v>0</v>
      </c>
      <c r="AA426" s="20" t="n">
        <v>0</v>
      </c>
      <c r="AB426" s="24" t="n">
        <v>0</v>
      </c>
      <c r="AC426" s="24" t="n">
        <v>0</v>
      </c>
      <c r="AD426" s="24" t="n">
        <v>0</v>
      </c>
      <c r="AE426" s="19" t="n">
        <v>0</v>
      </c>
      <c r="AF426" s="20" t="n">
        <v>0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17" t="n">
        <v>216</v>
      </c>
      <c r="J427" s="17" t="n">
        <v>395</v>
      </c>
      <c r="K427" s="17" t="n">
        <v>-245</v>
      </c>
      <c r="L427" s="17" t="n">
        <v>90</v>
      </c>
      <c r="M427" s="21" t="n">
        <v/>
      </c>
      <c r="N427" s="21" t="n">
        <v/>
      </c>
      <c r="O427" s="21" t="n">
        <v/>
      </c>
      <c r="P427" s="21" t="n">
        <v>0.2493078192361025</v>
      </c>
      <c r="Q427" s="22" t="n">
        <v>0</v>
      </c>
      <c r="R427" s="22" t="n">
        <v/>
      </c>
      <c r="S427" s="22" t="n">
        <v>0</v>
      </c>
      <c r="T427" s="22" t="n">
        <v>0</v>
      </c>
      <c r="U427" s="22" t="n">
        <v>0</v>
      </c>
      <c r="V427" s="17" t="n">
        <v>0</v>
      </c>
      <c r="W427" s="25" t="n">
        <v>0</v>
      </c>
      <c r="X427" s="25" t="n">
        <v>0</v>
      </c>
      <c r="Y427" s="25" t="n">
        <v>0</v>
      </c>
      <c r="Z427" s="22" t="n">
        <v>0</v>
      </c>
      <c r="AA427" s="22" t="n">
        <v>0</v>
      </c>
      <c r="AB427" s="25" t="n">
        <v>0</v>
      </c>
      <c r="AC427" s="25" t="n">
        <v>0</v>
      </c>
      <c r="AD427" s="25" t="n">
        <v>0</v>
      </c>
      <c r="AE427" s="21" t="n">
        <v>0</v>
      </c>
      <c r="AF427" s="22" t="n">
        <v>0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5" t="n">
        <v>216</v>
      </c>
      <c r="J428" s="15" t="n">
        <v>395</v>
      </c>
      <c r="K428" s="15" t="n">
        <v>-246</v>
      </c>
      <c r="L428" s="15" t="n">
        <v>90</v>
      </c>
      <c r="M428" s="19" t="n">
        <v/>
      </c>
      <c r="N428" s="19" t="n">
        <v/>
      </c>
      <c r="O428" s="19" t="n">
        <v/>
      </c>
      <c r="P428" s="19" t="n">
        <v>0.248494313516294</v>
      </c>
      <c r="Q428" s="20" t="n">
        <v>0</v>
      </c>
      <c r="R428" s="20" t="n">
        <v/>
      </c>
      <c r="S428" s="20" t="n">
        <v>0</v>
      </c>
      <c r="T428" s="20" t="n">
        <v>0</v>
      </c>
      <c r="U428" s="20" t="n">
        <v>0</v>
      </c>
      <c r="V428" s="15" t="n">
        <v>0</v>
      </c>
      <c r="W428" s="24" t="n">
        <v>0</v>
      </c>
      <c r="X428" s="24" t="n">
        <v>0</v>
      </c>
      <c r="Y428" s="24" t="n">
        <v>0</v>
      </c>
      <c r="Z428" s="20" t="n">
        <v>0</v>
      </c>
      <c r="AA428" s="20" t="n">
        <v>0</v>
      </c>
      <c r="AB428" s="24" t="n">
        <v>0</v>
      </c>
      <c r="AC428" s="24" t="n">
        <v>0</v>
      </c>
      <c r="AD428" s="24" t="n">
        <v>0</v>
      </c>
      <c r="AE428" s="19" t="n">
        <v>0</v>
      </c>
      <c r="AF428" s="20" t="n">
        <v>0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17" t="n">
        <v>216</v>
      </c>
      <c r="J429" s="17" t="n">
        <v>395</v>
      </c>
      <c r="K429" s="17" t="n">
        <v>-247</v>
      </c>
      <c r="L429" s="17" t="n">
        <v>90</v>
      </c>
      <c r="M429" s="21" t="n">
        <v/>
      </c>
      <c r="N429" s="21" t="n">
        <v/>
      </c>
      <c r="O429" s="21" t="n">
        <v/>
      </c>
      <c r="P429" s="21" t="n">
        <v>0.2476834623123293</v>
      </c>
      <c r="Q429" s="22" t="n">
        <v>0</v>
      </c>
      <c r="R429" s="22" t="n">
        <v/>
      </c>
      <c r="S429" s="22" t="n">
        <v>0</v>
      </c>
      <c r="T429" s="22" t="n">
        <v>0</v>
      </c>
      <c r="U429" s="22" t="n">
        <v>0</v>
      </c>
      <c r="V429" s="17" t="n">
        <v>0</v>
      </c>
      <c r="W429" s="25" t="n">
        <v>0</v>
      </c>
      <c r="X429" s="25" t="n">
        <v>0</v>
      </c>
      <c r="Y429" s="25" t="n">
        <v>0</v>
      </c>
      <c r="Z429" s="22" t="n">
        <v>0</v>
      </c>
      <c r="AA429" s="22" t="n">
        <v>0</v>
      </c>
      <c r="AB429" s="25" t="n">
        <v>0</v>
      </c>
      <c r="AC429" s="25" t="n">
        <v>0</v>
      </c>
      <c r="AD429" s="25" t="n">
        <v>0</v>
      </c>
      <c r="AE429" s="21" t="n">
        <v>0</v>
      </c>
      <c r="AF429" s="22" t="n">
        <v>0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5" t="n">
        <v>216</v>
      </c>
      <c r="J430" s="15" t="n">
        <v>395</v>
      </c>
      <c r="K430" s="15" t="n">
        <v>-248</v>
      </c>
      <c r="L430" s="15" t="n">
        <v>90</v>
      </c>
      <c r="M430" s="19" t="n">
        <v/>
      </c>
      <c r="N430" s="19" t="n">
        <v/>
      </c>
      <c r="O430" s="19" t="n">
        <v/>
      </c>
      <c r="P430" s="19" t="n">
        <v>0.2468752569623711</v>
      </c>
      <c r="Q430" s="20" t="n">
        <v>0</v>
      </c>
      <c r="R430" s="20" t="n">
        <v/>
      </c>
      <c r="S430" s="20" t="n">
        <v>0</v>
      </c>
      <c r="T430" s="20" t="n">
        <v>0</v>
      </c>
      <c r="U430" s="20" t="n">
        <v>0</v>
      </c>
      <c r="V430" s="15" t="n">
        <v>0</v>
      </c>
      <c r="W430" s="24" t="n">
        <v>0</v>
      </c>
      <c r="X430" s="24" t="n">
        <v>0</v>
      </c>
      <c r="Y430" s="24" t="n">
        <v>0</v>
      </c>
      <c r="Z430" s="20" t="n">
        <v>0</v>
      </c>
      <c r="AA430" s="20" t="n">
        <v>0</v>
      </c>
      <c r="AB430" s="24" t="n">
        <v>0</v>
      </c>
      <c r="AC430" s="24" t="n">
        <v>0</v>
      </c>
      <c r="AD430" s="24" t="n">
        <v>0</v>
      </c>
      <c r="AE430" s="19" t="n">
        <v>0</v>
      </c>
      <c r="AF430" s="20" t="n">
        <v>0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17" t="n">
        <v>216</v>
      </c>
      <c r="J431" s="17" t="n">
        <v>395</v>
      </c>
      <c r="K431" s="17" t="n">
        <v>-249</v>
      </c>
      <c r="L431" s="17" t="n">
        <v>90</v>
      </c>
      <c r="M431" s="21" t="n">
        <v/>
      </c>
      <c r="N431" s="21" t="n">
        <v/>
      </c>
      <c r="O431" s="21" t="n">
        <v/>
      </c>
      <c r="P431" s="21" t="n">
        <v>0.2460696888328457</v>
      </c>
      <c r="Q431" s="22" t="n">
        <v>0</v>
      </c>
      <c r="R431" s="22" t="n">
        <v/>
      </c>
      <c r="S431" s="22" t="n">
        <v>0</v>
      </c>
      <c r="T431" s="22" t="n">
        <v>0</v>
      </c>
      <c r="U431" s="22" t="n">
        <v>0</v>
      </c>
      <c r="V431" s="17" t="n">
        <v>0</v>
      </c>
      <c r="W431" s="25" t="n">
        <v>0</v>
      </c>
      <c r="X431" s="25" t="n">
        <v>0</v>
      </c>
      <c r="Y431" s="25" t="n">
        <v>0</v>
      </c>
      <c r="Z431" s="22" t="n">
        <v>0</v>
      </c>
      <c r="AA431" s="22" t="n">
        <v>0</v>
      </c>
      <c r="AB431" s="25" t="n">
        <v>0</v>
      </c>
      <c r="AC431" s="25" t="n">
        <v>0</v>
      </c>
      <c r="AD431" s="25" t="n">
        <v>0</v>
      </c>
      <c r="AE431" s="21" t="n">
        <v>0</v>
      </c>
      <c r="AF431" s="22" t="n">
        <v>0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5" t="n">
        <v>216</v>
      </c>
      <c r="J432" s="15" t="n">
        <v>395</v>
      </c>
      <c r="K432" s="15" t="n">
        <v>-250</v>
      </c>
      <c r="L432" s="15" t="n">
        <v>90</v>
      </c>
      <c r="M432" s="19" t="n">
        <v/>
      </c>
      <c r="N432" s="19" t="n">
        <v/>
      </c>
      <c r="O432" s="19" t="n">
        <v/>
      </c>
      <c r="P432" s="19" t="n">
        <v>0.2452667493183516</v>
      </c>
      <c r="Q432" s="20" t="n">
        <v>0</v>
      </c>
      <c r="R432" s="20" t="n">
        <v/>
      </c>
      <c r="S432" s="20" t="n">
        <v>0</v>
      </c>
      <c r="T432" s="20" t="n">
        <v>0</v>
      </c>
      <c r="U432" s="20" t="n">
        <v>0</v>
      </c>
      <c r="V432" s="15" t="n">
        <v>0</v>
      </c>
      <c r="W432" s="24" t="n">
        <v>0</v>
      </c>
      <c r="X432" s="24" t="n">
        <v>0</v>
      </c>
      <c r="Y432" s="24" t="n">
        <v>0</v>
      </c>
      <c r="Z432" s="20" t="n">
        <v>0</v>
      </c>
      <c r="AA432" s="20" t="n">
        <v>0</v>
      </c>
      <c r="AB432" s="24" t="n">
        <v>0</v>
      </c>
      <c r="AC432" s="24" t="n">
        <v>0</v>
      </c>
      <c r="AD432" s="24" t="n">
        <v>0</v>
      </c>
      <c r="AE432" s="19" t="n">
        <v>0</v>
      </c>
      <c r="AF432" s="20" t="n">
        <v>0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17" t="n">
        <v>216</v>
      </c>
      <c r="J433" s="17" t="n">
        <v>395</v>
      </c>
      <c r="K433" s="17" t="n">
        <v>-251</v>
      </c>
      <c r="L433" s="17" t="n">
        <v>90</v>
      </c>
      <c r="M433" s="21" t="n">
        <v/>
      </c>
      <c r="N433" s="21" t="n">
        <v/>
      </c>
      <c r="O433" s="21" t="n">
        <v/>
      </c>
      <c r="P433" s="21" t="n">
        <v>0.2444664298415671</v>
      </c>
      <c r="Q433" s="22" t="n">
        <v>0</v>
      </c>
      <c r="R433" s="22" t="n">
        <v/>
      </c>
      <c r="S433" s="22" t="n">
        <v>0</v>
      </c>
      <c r="T433" s="22" t="n">
        <v>0</v>
      </c>
      <c r="U433" s="22" t="n">
        <v>0</v>
      </c>
      <c r="V433" s="17" t="n">
        <v>0</v>
      </c>
      <c r="W433" s="25" t="n">
        <v>0</v>
      </c>
      <c r="X433" s="25" t="n">
        <v>0</v>
      </c>
      <c r="Y433" s="25" t="n">
        <v>0</v>
      </c>
      <c r="Z433" s="22" t="n">
        <v>0</v>
      </c>
      <c r="AA433" s="22" t="n">
        <v>0</v>
      </c>
      <c r="AB433" s="25" t="n">
        <v>0</v>
      </c>
      <c r="AC433" s="25" t="n">
        <v>0</v>
      </c>
      <c r="AD433" s="25" t="n">
        <v>0</v>
      </c>
      <c r="AE433" s="21" t="n">
        <v>0</v>
      </c>
      <c r="AF433" s="22" t="n">
        <v>0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5" t="n">
        <v>216</v>
      </c>
      <c r="J434" s="15" t="n">
        <v>395</v>
      </c>
      <c r="K434" s="15" t="n">
        <v>-252</v>
      </c>
      <c r="L434" s="15" t="n">
        <v>90</v>
      </c>
      <c r="M434" s="19" t="n">
        <v/>
      </c>
      <c r="N434" s="19" t="n">
        <v/>
      </c>
      <c r="O434" s="19" t="n">
        <v/>
      </c>
      <c r="P434" s="19" t="n">
        <v>0.2436687218531589</v>
      </c>
      <c r="Q434" s="20" t="n">
        <v>0</v>
      </c>
      <c r="R434" s="20" t="n">
        <v/>
      </c>
      <c r="S434" s="20" t="n">
        <v>0</v>
      </c>
      <c r="T434" s="20" t="n">
        <v>0</v>
      </c>
      <c r="U434" s="20" t="n">
        <v>0</v>
      </c>
      <c r="V434" s="15" t="n">
        <v>0</v>
      </c>
      <c r="W434" s="24" t="n">
        <v>0</v>
      </c>
      <c r="X434" s="24" t="n">
        <v>0</v>
      </c>
      <c r="Y434" s="24" t="n">
        <v>0</v>
      </c>
      <c r="Z434" s="20" t="n">
        <v>0</v>
      </c>
      <c r="AA434" s="20" t="n">
        <v>0</v>
      </c>
      <c r="AB434" s="24" t="n">
        <v>0</v>
      </c>
      <c r="AC434" s="24" t="n">
        <v>0</v>
      </c>
      <c r="AD434" s="24" t="n">
        <v>0</v>
      </c>
      <c r="AE434" s="19" t="n">
        <v>0</v>
      </c>
      <c r="AF434" s="20" t="n">
        <v>0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17" t="n">
        <v>216</v>
      </c>
      <c r="J435" s="17" t="n">
        <v>395</v>
      </c>
      <c r="K435" s="17" t="n">
        <v>-253</v>
      </c>
      <c r="L435" s="17" t="n">
        <v>90</v>
      </c>
      <c r="M435" s="21" t="n">
        <v/>
      </c>
      <c r="N435" s="21" t="n">
        <v/>
      </c>
      <c r="O435" s="21" t="n">
        <v/>
      </c>
      <c r="P435" s="21" t="n">
        <v>0.2428736168316904</v>
      </c>
      <c r="Q435" s="22" t="n">
        <v>0</v>
      </c>
      <c r="R435" s="22" t="n">
        <v/>
      </c>
      <c r="S435" s="22" t="n">
        <v>0</v>
      </c>
      <c r="T435" s="22" t="n">
        <v>0</v>
      </c>
      <c r="U435" s="22" t="n">
        <v>0</v>
      </c>
      <c r="V435" s="17" t="n">
        <v>0</v>
      </c>
      <c r="W435" s="25" t="n">
        <v>0</v>
      </c>
      <c r="X435" s="25" t="n">
        <v>0</v>
      </c>
      <c r="Y435" s="25" t="n">
        <v>0</v>
      </c>
      <c r="Z435" s="22" t="n">
        <v>0</v>
      </c>
      <c r="AA435" s="22" t="n">
        <v>0</v>
      </c>
      <c r="AB435" s="25" t="n">
        <v>0</v>
      </c>
      <c r="AC435" s="25" t="n">
        <v>0</v>
      </c>
      <c r="AD435" s="25" t="n">
        <v>0</v>
      </c>
      <c r="AE435" s="21" t="n">
        <v>0</v>
      </c>
      <c r="AF435" s="22" t="n">
        <v>0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5" t="n">
        <v>216</v>
      </c>
      <c r="J436" s="15" t="n">
        <v>395</v>
      </c>
      <c r="K436" s="15" t="n">
        <v>-254</v>
      </c>
      <c r="L436" s="15" t="n">
        <v>90</v>
      </c>
      <c r="M436" s="19" t="n">
        <v/>
      </c>
      <c r="N436" s="19" t="n">
        <v/>
      </c>
      <c r="O436" s="19" t="n">
        <v/>
      </c>
      <c r="P436" s="19" t="n">
        <v>0.2420811062835313</v>
      </c>
      <c r="Q436" s="20" t="n">
        <v>0</v>
      </c>
      <c r="R436" s="20" t="n">
        <v/>
      </c>
      <c r="S436" s="20" t="n">
        <v>0</v>
      </c>
      <c r="T436" s="20" t="n">
        <v>0</v>
      </c>
      <c r="U436" s="20" t="n">
        <v>0</v>
      </c>
      <c r="V436" s="15" t="n">
        <v>0</v>
      </c>
      <c r="W436" s="24" t="n">
        <v>0</v>
      </c>
      <c r="X436" s="24" t="n">
        <v>0</v>
      </c>
      <c r="Y436" s="24" t="n">
        <v>0</v>
      </c>
      <c r="Z436" s="20" t="n">
        <v>0</v>
      </c>
      <c r="AA436" s="20" t="n">
        <v>0</v>
      </c>
      <c r="AB436" s="24" t="n">
        <v>0</v>
      </c>
      <c r="AC436" s="24" t="n">
        <v>0</v>
      </c>
      <c r="AD436" s="24" t="n">
        <v>0</v>
      </c>
      <c r="AE436" s="19" t="n">
        <v>0</v>
      </c>
      <c r="AF436" s="20" t="n">
        <v>0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17" t="n">
        <v>216</v>
      </c>
      <c r="J437" s="17" t="n">
        <v>395</v>
      </c>
      <c r="K437" s="17" t="n">
        <v>-255</v>
      </c>
      <c r="L437" s="17" t="n">
        <v>90</v>
      </c>
      <c r="M437" s="21" t="n">
        <v/>
      </c>
      <c r="N437" s="21" t="n">
        <v/>
      </c>
      <c r="O437" s="21" t="n">
        <v/>
      </c>
      <c r="P437" s="21" t="n">
        <v>0.2412911817427662</v>
      </c>
      <c r="Q437" s="22" t="n">
        <v>0</v>
      </c>
      <c r="R437" s="22" t="n">
        <v/>
      </c>
      <c r="S437" s="22" t="n">
        <v>0</v>
      </c>
      <c r="T437" s="22" t="n">
        <v>0</v>
      </c>
      <c r="U437" s="22" t="n">
        <v>0</v>
      </c>
      <c r="V437" s="17" t="n">
        <v>0</v>
      </c>
      <c r="W437" s="25" t="n">
        <v>0</v>
      </c>
      <c r="X437" s="25" t="n">
        <v>0</v>
      </c>
      <c r="Y437" s="25" t="n">
        <v>0</v>
      </c>
      <c r="Z437" s="22" t="n">
        <v>0</v>
      </c>
      <c r="AA437" s="22" t="n">
        <v>0</v>
      </c>
      <c r="AB437" s="25" t="n">
        <v>0</v>
      </c>
      <c r="AC437" s="25" t="n">
        <v>0</v>
      </c>
      <c r="AD437" s="25" t="n">
        <v>0</v>
      </c>
      <c r="AE437" s="21" t="n">
        <v>0</v>
      </c>
      <c r="AF437" s="22" t="n">
        <v>0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5" t="n">
        <v>216</v>
      </c>
      <c r="J438" s="15" t="n">
        <v>395</v>
      </c>
      <c r="K438" s="15" t="n">
        <v>-256</v>
      </c>
      <c r="L438" s="15" t="n">
        <v>90</v>
      </c>
      <c r="M438" s="19" t="n">
        <v/>
      </c>
      <c r="N438" s="19" t="n">
        <v/>
      </c>
      <c r="O438" s="19" t="n">
        <v/>
      </c>
      <c r="P438" s="19" t="n">
        <v>0.2405038347711047</v>
      </c>
      <c r="Q438" s="20" t="n">
        <v>0</v>
      </c>
      <c r="R438" s="20" t="n">
        <v/>
      </c>
      <c r="S438" s="20" t="n">
        <v>0</v>
      </c>
      <c r="T438" s="20" t="n">
        <v>0</v>
      </c>
      <c r="U438" s="20" t="n">
        <v>0</v>
      </c>
      <c r="V438" s="15" t="n">
        <v>0</v>
      </c>
      <c r="W438" s="24" t="n">
        <v>0</v>
      </c>
      <c r="X438" s="24" t="n">
        <v>0</v>
      </c>
      <c r="Y438" s="24" t="n">
        <v>0</v>
      </c>
      <c r="Z438" s="20" t="n">
        <v>0</v>
      </c>
      <c r="AA438" s="20" t="n">
        <v>0</v>
      </c>
      <c r="AB438" s="24" t="n">
        <v>0</v>
      </c>
      <c r="AC438" s="24" t="n">
        <v>0</v>
      </c>
      <c r="AD438" s="24" t="n">
        <v>0</v>
      </c>
      <c r="AE438" s="19" t="n">
        <v>0</v>
      </c>
      <c r="AF438" s="20" t="n">
        <v>0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17" t="n">
        <v>216</v>
      </c>
      <c r="J439" s="17" t="n">
        <v>395</v>
      </c>
      <c r="K439" s="17" t="n">
        <v>-257</v>
      </c>
      <c r="L439" s="17" t="n">
        <v>90</v>
      </c>
      <c r="M439" s="21" t="n">
        <v/>
      </c>
      <c r="N439" s="21" t="n">
        <v/>
      </c>
      <c r="O439" s="21" t="n">
        <v/>
      </c>
      <c r="P439" s="21" t="n">
        <v>0.2397190569577907</v>
      </c>
      <c r="Q439" s="22" t="n">
        <v>0</v>
      </c>
      <c r="R439" s="22" t="n">
        <v/>
      </c>
      <c r="S439" s="22" t="n">
        <v>0</v>
      </c>
      <c r="T439" s="22" t="n">
        <v>0</v>
      </c>
      <c r="U439" s="22" t="n">
        <v>0</v>
      </c>
      <c r="V439" s="17" t="n">
        <v>0</v>
      </c>
      <c r="W439" s="25" t="n">
        <v>0</v>
      </c>
      <c r="X439" s="25" t="n">
        <v>0</v>
      </c>
      <c r="Y439" s="25" t="n">
        <v>0</v>
      </c>
      <c r="Z439" s="22" t="n">
        <v>0</v>
      </c>
      <c r="AA439" s="22" t="n">
        <v>0</v>
      </c>
      <c r="AB439" s="25" t="n">
        <v>0</v>
      </c>
      <c r="AC439" s="25" t="n">
        <v>0</v>
      </c>
      <c r="AD439" s="25" t="n">
        <v>0</v>
      </c>
      <c r="AE439" s="21" t="n">
        <v>0</v>
      </c>
      <c r="AF439" s="22" t="n">
        <v>0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5" t="n">
        <v>216</v>
      </c>
      <c r="J440" s="15" t="n">
        <v>395</v>
      </c>
      <c r="K440" s="15" t="n">
        <v>-258</v>
      </c>
      <c r="L440" s="15" t="n">
        <v>90</v>
      </c>
      <c r="M440" s="19" t="n">
        <v/>
      </c>
      <c r="N440" s="19" t="n">
        <v/>
      </c>
      <c r="O440" s="19" t="n">
        <v/>
      </c>
      <c r="P440" s="19" t="n">
        <v>0.2389368399195133</v>
      </c>
      <c r="Q440" s="20" t="n">
        <v>0</v>
      </c>
      <c r="R440" s="20" t="n">
        <v/>
      </c>
      <c r="S440" s="20" t="n">
        <v>0</v>
      </c>
      <c r="T440" s="20" t="n">
        <v>0</v>
      </c>
      <c r="U440" s="20" t="n">
        <v>0</v>
      </c>
      <c r="V440" s="15" t="n">
        <v>0</v>
      </c>
      <c r="W440" s="24" t="n">
        <v>0</v>
      </c>
      <c r="X440" s="24" t="n">
        <v>0</v>
      </c>
      <c r="Y440" s="24" t="n">
        <v>0</v>
      </c>
      <c r="Z440" s="20" t="n">
        <v>0</v>
      </c>
      <c r="AA440" s="20" t="n">
        <v>0</v>
      </c>
      <c r="AB440" s="24" t="n">
        <v>0</v>
      </c>
      <c r="AC440" s="24" t="n">
        <v>0</v>
      </c>
      <c r="AD440" s="24" t="n">
        <v>0</v>
      </c>
      <c r="AE440" s="19" t="n">
        <v>0</v>
      </c>
      <c r="AF440" s="20" t="n">
        <v>0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17" t="n">
        <v>216</v>
      </c>
      <c r="J441" s="17" t="n">
        <v>395</v>
      </c>
      <c r="K441" s="17" t="n">
        <v>-259</v>
      </c>
      <c r="L441" s="17" t="n">
        <v>90</v>
      </c>
      <c r="M441" s="21" t="n">
        <v/>
      </c>
      <c r="N441" s="21" t="n">
        <v/>
      </c>
      <c r="O441" s="21" t="n">
        <v/>
      </c>
      <c r="P441" s="21" t="n">
        <v>0.2381571753003166</v>
      </c>
      <c r="Q441" s="22" t="n">
        <v>0</v>
      </c>
      <c r="R441" s="22" t="n">
        <v/>
      </c>
      <c r="S441" s="22" t="n">
        <v>0</v>
      </c>
      <c r="T441" s="22" t="n">
        <v>0</v>
      </c>
      <c r="U441" s="22" t="n">
        <v>0</v>
      </c>
      <c r="V441" s="17" t="n">
        <v>0</v>
      </c>
      <c r="W441" s="25" t="n">
        <v>0</v>
      </c>
      <c r="X441" s="25" t="n">
        <v>0</v>
      </c>
      <c r="Y441" s="25" t="n">
        <v>0</v>
      </c>
      <c r="Z441" s="22" t="n">
        <v>0</v>
      </c>
      <c r="AA441" s="22" t="n">
        <v>0</v>
      </c>
      <c r="AB441" s="25" t="n">
        <v>0</v>
      </c>
      <c r="AC441" s="25" t="n">
        <v>0</v>
      </c>
      <c r="AD441" s="25" t="n">
        <v>0</v>
      </c>
      <c r="AE441" s="21" t="n">
        <v>0</v>
      </c>
      <c r="AF441" s="22" t="n">
        <v>0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5" t="n">
        <v>216</v>
      </c>
      <c r="J442" s="15" t="n">
        <v>395</v>
      </c>
      <c r="K442" s="15" t="n">
        <v>-260</v>
      </c>
      <c r="L442" s="15" t="n">
        <v>90</v>
      </c>
      <c r="M442" s="19" t="n">
        <v/>
      </c>
      <c r="N442" s="19" t="n">
        <v/>
      </c>
      <c r="O442" s="19" t="n">
        <v/>
      </c>
      <c r="P442" s="19" t="n">
        <v>0.2373800547715105</v>
      </c>
      <c r="Q442" s="20" t="n">
        <v>0</v>
      </c>
      <c r="R442" s="20" t="n">
        <v/>
      </c>
      <c r="S442" s="20" t="n">
        <v>0</v>
      </c>
      <c r="T442" s="20" t="n">
        <v>0</v>
      </c>
      <c r="U442" s="20" t="n">
        <v>0</v>
      </c>
      <c r="V442" s="15" t="n">
        <v>0</v>
      </c>
      <c r="W442" s="24" t="n">
        <v>0</v>
      </c>
      <c r="X442" s="24" t="n">
        <v>0</v>
      </c>
      <c r="Y442" s="24" t="n">
        <v>0</v>
      </c>
      <c r="Z442" s="20" t="n">
        <v>0</v>
      </c>
      <c r="AA442" s="20" t="n">
        <v>0</v>
      </c>
      <c r="AB442" s="24" t="n">
        <v>0</v>
      </c>
      <c r="AC442" s="24" t="n">
        <v>0</v>
      </c>
      <c r="AD442" s="24" t="n">
        <v>0</v>
      </c>
      <c r="AE442" s="19" t="n">
        <v>0</v>
      </c>
      <c r="AF442" s="20" t="n">
        <v>0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17" t="n">
        <v>216</v>
      </c>
      <c r="J443" s="17" t="n">
        <v>395</v>
      </c>
      <c r="K443" s="17" t="n">
        <v>-261</v>
      </c>
      <c r="L443" s="17" t="n">
        <v>90</v>
      </c>
      <c r="M443" s="21" t="n">
        <v/>
      </c>
      <c r="N443" s="21" t="n">
        <v/>
      </c>
      <c r="O443" s="21" t="n">
        <v/>
      </c>
      <c r="P443" s="21" t="n">
        <v>0.2366054700315823</v>
      </c>
      <c r="Q443" s="22" t="n">
        <v>0</v>
      </c>
      <c r="R443" s="22" t="n">
        <v/>
      </c>
      <c r="S443" s="22" t="n">
        <v>0</v>
      </c>
      <c r="T443" s="22" t="n">
        <v>0</v>
      </c>
      <c r="U443" s="22" t="n">
        <v>0</v>
      </c>
      <c r="V443" s="17" t="n">
        <v>0</v>
      </c>
      <c r="W443" s="25" t="n">
        <v>0</v>
      </c>
      <c r="X443" s="25" t="n">
        <v>0</v>
      </c>
      <c r="Y443" s="25" t="n">
        <v>0</v>
      </c>
      <c r="Z443" s="22" t="n">
        <v>0</v>
      </c>
      <c r="AA443" s="22" t="n">
        <v>0</v>
      </c>
      <c r="AB443" s="25" t="n">
        <v>0</v>
      </c>
      <c r="AC443" s="25" t="n">
        <v>0</v>
      </c>
      <c r="AD443" s="25" t="n">
        <v>0</v>
      </c>
      <c r="AE443" s="21" t="n">
        <v>0</v>
      </c>
      <c r="AF443" s="22" t="n">
        <v>0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5" t="n">
        <v>216</v>
      </c>
      <c r="J444" s="15" t="n">
        <v>395</v>
      </c>
      <c r="K444" s="15" t="n">
        <v>-262</v>
      </c>
      <c r="L444" s="15" t="n">
        <v>90</v>
      </c>
      <c r="M444" s="19" t="n">
        <v/>
      </c>
      <c r="N444" s="19" t="n">
        <v/>
      </c>
      <c r="O444" s="19" t="n">
        <v/>
      </c>
      <c r="P444" s="19" t="n">
        <v>0.2358334128061072</v>
      </c>
      <c r="Q444" s="20" t="n">
        <v>0</v>
      </c>
      <c r="R444" s="20" t="n">
        <v/>
      </c>
      <c r="S444" s="20" t="n">
        <v>0</v>
      </c>
      <c r="T444" s="20" t="n">
        <v>0</v>
      </c>
      <c r="U444" s="20" t="n">
        <v>0</v>
      </c>
      <c r="V444" s="15" t="n">
        <v>0</v>
      </c>
      <c r="W444" s="24" t="n">
        <v>0</v>
      </c>
      <c r="X444" s="24" t="n">
        <v>0</v>
      </c>
      <c r="Y444" s="24" t="n">
        <v>0</v>
      </c>
      <c r="Z444" s="20" t="n">
        <v>0</v>
      </c>
      <c r="AA444" s="20" t="n">
        <v>0</v>
      </c>
      <c r="AB444" s="24" t="n">
        <v>0</v>
      </c>
      <c r="AC444" s="24" t="n">
        <v>0</v>
      </c>
      <c r="AD444" s="24" t="n">
        <v>0</v>
      </c>
      <c r="AE444" s="19" t="n">
        <v>0</v>
      </c>
      <c r="AF444" s="20" t="n">
        <v>0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17" t="n">
        <v>216</v>
      </c>
      <c r="J445" s="17" t="n">
        <v>395</v>
      </c>
      <c r="K445" s="17" t="n">
        <v>-263</v>
      </c>
      <c r="L445" s="17" t="n">
        <v>90</v>
      </c>
      <c r="M445" s="21" t="n">
        <v/>
      </c>
      <c r="N445" s="21" t="n">
        <v/>
      </c>
      <c r="O445" s="21" t="n">
        <v/>
      </c>
      <c r="P445" s="21" t="n">
        <v>0.2350638748476606</v>
      </c>
      <c r="Q445" s="22" t="n">
        <v>0</v>
      </c>
      <c r="R445" s="22" t="n">
        <v/>
      </c>
      <c r="S445" s="22" t="n">
        <v>0</v>
      </c>
      <c r="T445" s="22" t="n">
        <v>0</v>
      </c>
      <c r="U445" s="22" t="n">
        <v>0</v>
      </c>
      <c r="V445" s="17" t="n">
        <v>0</v>
      </c>
      <c r="W445" s="25" t="n">
        <v>0</v>
      </c>
      <c r="X445" s="25" t="n">
        <v>0</v>
      </c>
      <c r="Y445" s="25" t="n">
        <v>0</v>
      </c>
      <c r="Z445" s="22" t="n">
        <v>0</v>
      </c>
      <c r="AA445" s="22" t="n">
        <v>0</v>
      </c>
      <c r="AB445" s="25" t="n">
        <v>0</v>
      </c>
      <c r="AC445" s="25" t="n">
        <v>0</v>
      </c>
      <c r="AD445" s="25" t="n">
        <v>0</v>
      </c>
      <c r="AE445" s="21" t="n">
        <v>0</v>
      </c>
      <c r="AF445" s="22" t="n">
        <v>0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5" t="n">
        <v>216</v>
      </c>
      <c r="J446" s="15" t="n">
        <v>395</v>
      </c>
      <c r="K446" s="15" t="n">
        <v>-264</v>
      </c>
      <c r="L446" s="15" t="n">
        <v>90</v>
      </c>
      <c r="M446" s="19" t="n">
        <v/>
      </c>
      <c r="N446" s="19" t="n">
        <v/>
      </c>
      <c r="O446" s="19" t="n">
        <v/>
      </c>
      <c r="P446" s="19" t="n">
        <v>0.2342968479357296</v>
      </c>
      <c r="Q446" s="20" t="n">
        <v>0</v>
      </c>
      <c r="R446" s="20" t="n">
        <v/>
      </c>
      <c r="S446" s="20" t="n">
        <v>0</v>
      </c>
      <c r="T446" s="20" t="n">
        <v>0</v>
      </c>
      <c r="U446" s="20" t="n">
        <v>0</v>
      </c>
      <c r="V446" s="15" t="n">
        <v>0</v>
      </c>
      <c r="W446" s="24" t="n">
        <v>0</v>
      </c>
      <c r="X446" s="24" t="n">
        <v>0</v>
      </c>
      <c r="Y446" s="24" t="n">
        <v>0</v>
      </c>
      <c r="Z446" s="20" t="n">
        <v>0</v>
      </c>
      <c r="AA446" s="20" t="n">
        <v>0</v>
      </c>
      <c r="AB446" s="24" t="n">
        <v>0</v>
      </c>
      <c r="AC446" s="24" t="n">
        <v>0</v>
      </c>
      <c r="AD446" s="24" t="n">
        <v>0</v>
      </c>
      <c r="AE446" s="19" t="n">
        <v>0</v>
      </c>
      <c r="AF446" s="20" t="n">
        <v>0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17" t="n">
        <v>216</v>
      </c>
      <c r="J447" s="17" t="n">
        <v>395</v>
      </c>
      <c r="K447" s="17" t="n">
        <v>-265</v>
      </c>
      <c r="L447" s="17" t="n">
        <v>90</v>
      </c>
      <c r="M447" s="21" t="n">
        <v/>
      </c>
      <c r="N447" s="21" t="n">
        <v/>
      </c>
      <c r="O447" s="21" t="n">
        <v/>
      </c>
      <c r="P447" s="21" t="n">
        <v>0.2335323238766253</v>
      </c>
      <c r="Q447" s="22" t="n">
        <v>0</v>
      </c>
      <c r="R447" s="22" t="n">
        <v/>
      </c>
      <c r="S447" s="22" t="n">
        <v>0</v>
      </c>
      <c r="T447" s="22" t="n">
        <v>0</v>
      </c>
      <c r="U447" s="22" t="n">
        <v>0</v>
      </c>
      <c r="V447" s="17" t="n">
        <v>0</v>
      </c>
      <c r="W447" s="25" t="n">
        <v>0</v>
      </c>
      <c r="X447" s="25" t="n">
        <v>0</v>
      </c>
      <c r="Y447" s="25" t="n">
        <v>0</v>
      </c>
      <c r="Z447" s="22" t="n">
        <v>0</v>
      </c>
      <c r="AA447" s="22" t="n">
        <v>0</v>
      </c>
      <c r="AB447" s="25" t="n">
        <v>0</v>
      </c>
      <c r="AC447" s="25" t="n">
        <v>0</v>
      </c>
      <c r="AD447" s="25" t="n">
        <v>0</v>
      </c>
      <c r="AE447" s="21" t="n">
        <v>0</v>
      </c>
      <c r="AF447" s="22" t="n">
        <v>0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5" t="n">
        <v>216</v>
      </c>
      <c r="J448" s="15" t="n">
        <v>395</v>
      </c>
      <c r="K448" s="15" t="n">
        <v>-266</v>
      </c>
      <c r="L448" s="15" t="n">
        <v>90</v>
      </c>
      <c r="M448" s="19" t="n">
        <v/>
      </c>
      <c r="N448" s="19" t="n">
        <v/>
      </c>
      <c r="O448" s="19" t="n">
        <v/>
      </c>
      <c r="P448" s="19" t="n">
        <v>0.2327702945033954</v>
      </c>
      <c r="Q448" s="20" t="n">
        <v>0</v>
      </c>
      <c r="R448" s="20" t="n">
        <v/>
      </c>
      <c r="S448" s="20" t="n">
        <v>0</v>
      </c>
      <c r="T448" s="20" t="n">
        <v>0</v>
      </c>
      <c r="U448" s="20" t="n">
        <v>0</v>
      </c>
      <c r="V448" s="15" t="n">
        <v>0</v>
      </c>
      <c r="W448" s="24" t="n">
        <v>0</v>
      </c>
      <c r="X448" s="24" t="n">
        <v>0</v>
      </c>
      <c r="Y448" s="24" t="n">
        <v>0</v>
      </c>
      <c r="Z448" s="20" t="n">
        <v>0</v>
      </c>
      <c r="AA448" s="20" t="n">
        <v>0</v>
      </c>
      <c r="AB448" s="24" t="n">
        <v>0</v>
      </c>
      <c r="AC448" s="24" t="n">
        <v>0</v>
      </c>
      <c r="AD448" s="24" t="n">
        <v>0</v>
      </c>
      <c r="AE448" s="19" t="n">
        <v>0</v>
      </c>
      <c r="AF448" s="20" t="n">
        <v>0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17" t="n">
        <v>216</v>
      </c>
      <c r="J449" s="17" t="n">
        <v>395</v>
      </c>
      <c r="K449" s="17" t="n">
        <v>-267</v>
      </c>
      <c r="L449" s="17" t="n">
        <v>90</v>
      </c>
      <c r="M449" s="21" t="n">
        <v/>
      </c>
      <c r="N449" s="21" t="n">
        <v/>
      </c>
      <c r="O449" s="21" t="n">
        <v/>
      </c>
      <c r="P449" s="21" t="n">
        <v>0.2320107516757366</v>
      </c>
      <c r="Q449" s="22" t="n">
        <v>0</v>
      </c>
      <c r="R449" s="22" t="n">
        <v/>
      </c>
      <c r="S449" s="22" t="n">
        <v>0</v>
      </c>
      <c r="T449" s="22" t="n">
        <v>0</v>
      </c>
      <c r="U449" s="22" t="n">
        <v>0</v>
      </c>
      <c r="V449" s="17" t="n">
        <v>0</v>
      </c>
      <c r="W449" s="25" t="n">
        <v>0</v>
      </c>
      <c r="X449" s="25" t="n">
        <v>0</v>
      </c>
      <c r="Y449" s="25" t="n">
        <v>0</v>
      </c>
      <c r="Z449" s="22" t="n">
        <v>0</v>
      </c>
      <c r="AA449" s="22" t="n">
        <v>0</v>
      </c>
      <c r="AB449" s="25" t="n">
        <v>0</v>
      </c>
      <c r="AC449" s="25" t="n">
        <v>0</v>
      </c>
      <c r="AD449" s="25" t="n">
        <v>0</v>
      </c>
      <c r="AE449" s="21" t="n">
        <v>0</v>
      </c>
      <c r="AF449" s="22" t="n">
        <v>0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5" t="n">
        <v>216</v>
      </c>
      <c r="J450" s="15" t="n">
        <v>395</v>
      </c>
      <c r="K450" s="15" t="n">
        <v>-268</v>
      </c>
      <c r="L450" s="15" t="n">
        <v>90</v>
      </c>
      <c r="M450" s="19" t="n">
        <v/>
      </c>
      <c r="N450" s="19" t="n">
        <v/>
      </c>
      <c r="O450" s="19" t="n">
        <v/>
      </c>
      <c r="P450" s="19" t="n">
        <v>0.2312536872799082</v>
      </c>
      <c r="Q450" s="20" t="n">
        <v>0</v>
      </c>
      <c r="R450" s="20" t="n">
        <v/>
      </c>
      <c r="S450" s="20" t="n">
        <v>0</v>
      </c>
      <c r="T450" s="20" t="n">
        <v>0</v>
      </c>
      <c r="U450" s="20" t="n">
        <v>0</v>
      </c>
      <c r="V450" s="15" t="n">
        <v>0</v>
      </c>
      <c r="W450" s="24" t="n">
        <v>0</v>
      </c>
      <c r="X450" s="24" t="n">
        <v>0</v>
      </c>
      <c r="Y450" s="24" t="n">
        <v>0</v>
      </c>
      <c r="Z450" s="20" t="n">
        <v>0</v>
      </c>
      <c r="AA450" s="20" t="n">
        <v>0</v>
      </c>
      <c r="AB450" s="24" t="n">
        <v>0</v>
      </c>
      <c r="AC450" s="24" t="n">
        <v>0</v>
      </c>
      <c r="AD450" s="24" t="n">
        <v>0</v>
      </c>
      <c r="AE450" s="19" t="n">
        <v>0</v>
      </c>
      <c r="AF450" s="20" t="n">
        <v>0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17" t="n">
        <v>216</v>
      </c>
      <c r="J451" s="17" t="n">
        <v>395</v>
      </c>
      <c r="K451" s="17" t="n">
        <v>-269</v>
      </c>
      <c r="L451" s="17" t="n">
        <v>90</v>
      </c>
      <c r="M451" s="21" t="n">
        <v/>
      </c>
      <c r="N451" s="21" t="n">
        <v/>
      </c>
      <c r="O451" s="21" t="n">
        <v/>
      </c>
      <c r="P451" s="21" t="n">
        <v>0.2304990932286448</v>
      </c>
      <c r="Q451" s="22" t="n">
        <v>0</v>
      </c>
      <c r="R451" s="22" t="n">
        <v/>
      </c>
      <c r="S451" s="22" t="n">
        <v>0</v>
      </c>
      <c r="T451" s="22" t="n">
        <v>0</v>
      </c>
      <c r="U451" s="22" t="n">
        <v>0</v>
      </c>
      <c r="V451" s="17" t="n">
        <v>0</v>
      </c>
      <c r="W451" s="25" t="n">
        <v>0</v>
      </c>
      <c r="X451" s="25" t="n">
        <v>0</v>
      </c>
      <c r="Y451" s="25" t="n">
        <v>0</v>
      </c>
      <c r="Z451" s="22" t="n">
        <v>0</v>
      </c>
      <c r="AA451" s="22" t="n">
        <v>0</v>
      </c>
      <c r="AB451" s="25" t="n">
        <v>0</v>
      </c>
      <c r="AC451" s="25" t="n">
        <v>0</v>
      </c>
      <c r="AD451" s="25" t="n">
        <v>0</v>
      </c>
      <c r="AE451" s="21" t="n">
        <v>0</v>
      </c>
      <c r="AF451" s="22" t="n">
        <v>0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5" t="n">
        <v>216</v>
      </c>
      <c r="J452" s="15" t="n">
        <v>395</v>
      </c>
      <c r="K452" s="15" t="n">
        <v>-270</v>
      </c>
      <c r="L452" s="15" t="n">
        <v>90</v>
      </c>
      <c r="M452" s="19" t="n">
        <v/>
      </c>
      <c r="N452" s="19" t="n">
        <v/>
      </c>
      <c r="O452" s="19" t="n">
        <v/>
      </c>
      <c r="P452" s="19" t="n">
        <v>0.2297469614610704</v>
      </c>
      <c r="Q452" s="20" t="n">
        <v>0</v>
      </c>
      <c r="R452" s="20" t="n">
        <v/>
      </c>
      <c r="S452" s="20" t="n">
        <v>0</v>
      </c>
      <c r="T452" s="20" t="n">
        <v>0</v>
      </c>
      <c r="U452" s="20" t="n">
        <v>0</v>
      </c>
      <c r="V452" s="15" t="n">
        <v>0</v>
      </c>
      <c r="W452" s="24" t="n">
        <v>0</v>
      </c>
      <c r="X452" s="24" t="n">
        <v>0</v>
      </c>
      <c r="Y452" s="24" t="n">
        <v>0</v>
      </c>
      <c r="Z452" s="20" t="n">
        <v>0</v>
      </c>
      <c r="AA452" s="20" t="n">
        <v>0</v>
      </c>
      <c r="AB452" s="24" t="n">
        <v>0</v>
      </c>
      <c r="AC452" s="24" t="n">
        <v>0</v>
      </c>
      <c r="AD452" s="24" t="n">
        <v>0</v>
      </c>
      <c r="AE452" s="19" t="n">
        <v>0</v>
      </c>
      <c r="AF452" s="20" t="n">
        <v>0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17" t="n">
        <v>216</v>
      </c>
      <c r="J453" s="17" t="n">
        <v>395</v>
      </c>
      <c r="K453" s="17" t="n">
        <v>-271</v>
      </c>
      <c r="L453" s="17" t="n">
        <v>90</v>
      </c>
      <c r="M453" s="21" t="n">
        <v/>
      </c>
      <c r="N453" s="21" t="n">
        <v/>
      </c>
      <c r="O453" s="21" t="n">
        <v/>
      </c>
      <c r="P453" s="21" t="n">
        <v>0.228997283942612</v>
      </c>
      <c r="Q453" s="22" t="n">
        <v>0</v>
      </c>
      <c r="R453" s="22" t="n">
        <v/>
      </c>
      <c r="S453" s="22" t="n">
        <v>0</v>
      </c>
      <c r="T453" s="22" t="n">
        <v>0</v>
      </c>
      <c r="U453" s="22" t="n">
        <v>0</v>
      </c>
      <c r="V453" s="17" t="n">
        <v>0</v>
      </c>
      <c r="W453" s="25" t="n">
        <v>0</v>
      </c>
      <c r="X453" s="25" t="n">
        <v>0</v>
      </c>
      <c r="Y453" s="25" t="n">
        <v>0</v>
      </c>
      <c r="Z453" s="22" t="n">
        <v>0</v>
      </c>
      <c r="AA453" s="22" t="n">
        <v>0</v>
      </c>
      <c r="AB453" s="25" t="n">
        <v>0</v>
      </c>
      <c r="AC453" s="25" t="n">
        <v>0</v>
      </c>
      <c r="AD453" s="25" t="n">
        <v>0</v>
      </c>
      <c r="AE453" s="21" t="n">
        <v>0</v>
      </c>
      <c r="AF453" s="22" t="n">
        <v>0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5" t="n">
        <v>216</v>
      </c>
      <c r="J454" s="15" t="n">
        <v>395</v>
      </c>
      <c r="K454" s="15" t="n">
        <v>-272</v>
      </c>
      <c r="L454" s="15" t="n">
        <v>90</v>
      </c>
      <c r="M454" s="19" t="n">
        <v/>
      </c>
      <c r="N454" s="19" t="n">
        <v/>
      </c>
      <c r="O454" s="19" t="n">
        <v/>
      </c>
      <c r="P454" s="19" t="n">
        <v>0.2282500526649139</v>
      </c>
      <c r="Q454" s="20" t="n">
        <v>0</v>
      </c>
      <c r="R454" s="20" t="n">
        <v/>
      </c>
      <c r="S454" s="20" t="n">
        <v>0</v>
      </c>
      <c r="T454" s="20" t="n">
        <v>0</v>
      </c>
      <c r="U454" s="20" t="n">
        <v>0</v>
      </c>
      <c r="V454" s="15" t="n">
        <v>0</v>
      </c>
      <c r="W454" s="24" t="n">
        <v>0</v>
      </c>
      <c r="X454" s="24" t="n">
        <v>0</v>
      </c>
      <c r="Y454" s="24" t="n">
        <v>0</v>
      </c>
      <c r="Z454" s="20" t="n">
        <v>0</v>
      </c>
      <c r="AA454" s="20" t="n">
        <v>0</v>
      </c>
      <c r="AB454" s="24" t="n">
        <v>0</v>
      </c>
      <c r="AC454" s="24" t="n">
        <v>0</v>
      </c>
      <c r="AD454" s="24" t="n">
        <v>0</v>
      </c>
      <c r="AE454" s="19" t="n">
        <v>0</v>
      </c>
      <c r="AF454" s="20" t="n">
        <v>0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17" t="n">
        <v>216</v>
      </c>
      <c r="J455" s="17" t="n">
        <v>395</v>
      </c>
      <c r="K455" s="17" t="n">
        <v>-273</v>
      </c>
      <c r="L455" s="17" t="n">
        <v>90</v>
      </c>
      <c r="M455" s="21" t="n">
        <v/>
      </c>
      <c r="N455" s="21" t="n">
        <v/>
      </c>
      <c r="O455" s="21" t="n">
        <v/>
      </c>
      <c r="P455" s="21" t="n">
        <v>0.2275052596457521</v>
      </c>
      <c r="Q455" s="22" t="n">
        <v>0</v>
      </c>
      <c r="R455" s="22" t="n">
        <v/>
      </c>
      <c r="S455" s="22" t="n">
        <v>0</v>
      </c>
      <c r="T455" s="22" t="n">
        <v>0</v>
      </c>
      <c r="U455" s="22" t="n">
        <v>0</v>
      </c>
      <c r="V455" s="17" t="n">
        <v>0</v>
      </c>
      <c r="W455" s="25" t="n">
        <v>0</v>
      </c>
      <c r="X455" s="25" t="n">
        <v>0</v>
      </c>
      <c r="Y455" s="25" t="n">
        <v>0</v>
      </c>
      <c r="Z455" s="22" t="n">
        <v>0</v>
      </c>
      <c r="AA455" s="22" t="n">
        <v>0</v>
      </c>
      <c r="AB455" s="25" t="n">
        <v>0</v>
      </c>
      <c r="AC455" s="25" t="n">
        <v>0</v>
      </c>
      <c r="AD455" s="25" t="n">
        <v>0</v>
      </c>
      <c r="AE455" s="21" t="n">
        <v>0</v>
      </c>
      <c r="AF455" s="22" t="n">
        <v>0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5" t="n">
        <v>216</v>
      </c>
      <c r="J456" s="15" t="n">
        <v>395</v>
      </c>
      <c r="K456" s="15" t="n">
        <v>-274</v>
      </c>
      <c r="L456" s="15" t="n">
        <v>90</v>
      </c>
      <c r="M456" s="19" t="n">
        <v/>
      </c>
      <c r="N456" s="19" t="n">
        <v/>
      </c>
      <c r="O456" s="19" t="n">
        <v/>
      </c>
      <c r="P456" s="19" t="n">
        <v>0.2267628969289491</v>
      </c>
      <c r="Q456" s="20" t="n">
        <v>0</v>
      </c>
      <c r="R456" s="20" t="n">
        <v/>
      </c>
      <c r="S456" s="20" t="n">
        <v>0</v>
      </c>
      <c r="T456" s="20" t="n">
        <v>0</v>
      </c>
      <c r="U456" s="20" t="n">
        <v>0</v>
      </c>
      <c r="V456" s="15" t="n">
        <v>0</v>
      </c>
      <c r="W456" s="24" t="n">
        <v>0</v>
      </c>
      <c r="X456" s="24" t="n">
        <v>0</v>
      </c>
      <c r="Y456" s="24" t="n">
        <v>0</v>
      </c>
      <c r="Z456" s="20" t="n">
        <v>0</v>
      </c>
      <c r="AA456" s="20" t="n">
        <v>0</v>
      </c>
      <c r="AB456" s="24" t="n">
        <v>0</v>
      </c>
      <c r="AC456" s="24" t="n">
        <v>0</v>
      </c>
      <c r="AD456" s="24" t="n">
        <v>0</v>
      </c>
      <c r="AE456" s="19" t="n">
        <v>0</v>
      </c>
      <c r="AF456" s="20" t="n">
        <v>0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17" t="n">
        <v>216</v>
      </c>
      <c r="J457" s="17" t="n">
        <v>395</v>
      </c>
      <c r="K457" s="17" t="n">
        <v>-275</v>
      </c>
      <c r="L457" s="17" t="n">
        <v>90</v>
      </c>
      <c r="M457" s="21" t="n">
        <v/>
      </c>
      <c r="N457" s="21" t="n">
        <v/>
      </c>
      <c r="O457" s="21" t="n">
        <v/>
      </c>
      <c r="P457" s="21" t="n">
        <v>0.2260229565842889</v>
      </c>
      <c r="Q457" s="22" t="n">
        <v>0</v>
      </c>
      <c r="R457" s="22" t="n">
        <v/>
      </c>
      <c r="S457" s="22" t="n">
        <v>0</v>
      </c>
      <c r="T457" s="22" t="n">
        <v>0</v>
      </c>
      <c r="U457" s="22" t="n">
        <v>0</v>
      </c>
      <c r="V457" s="17" t="n">
        <v>0</v>
      </c>
      <c r="W457" s="25" t="n">
        <v>0</v>
      </c>
      <c r="X457" s="25" t="n">
        <v>0</v>
      </c>
      <c r="Y457" s="25" t="n">
        <v>0</v>
      </c>
      <c r="Z457" s="22" t="n">
        <v>0</v>
      </c>
      <c r="AA457" s="22" t="n">
        <v>0</v>
      </c>
      <c r="AB457" s="25" t="n">
        <v>0</v>
      </c>
      <c r="AC457" s="25" t="n">
        <v>0</v>
      </c>
      <c r="AD457" s="25" t="n">
        <v>0</v>
      </c>
      <c r="AE457" s="21" t="n">
        <v>0</v>
      </c>
      <c r="AF457" s="22" t="n">
        <v>0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5" t="n">
        <v>216</v>
      </c>
      <c r="J458" s="15" t="n">
        <v>395</v>
      </c>
      <c r="K458" s="15" t="n">
        <v>-276</v>
      </c>
      <c r="L458" s="15" t="n">
        <v>90</v>
      </c>
      <c r="M458" s="19" t="n">
        <v/>
      </c>
      <c r="N458" s="19" t="n">
        <v/>
      </c>
      <c r="O458" s="19" t="n">
        <v/>
      </c>
      <c r="P458" s="19" t="n">
        <v>0.2252854307074321</v>
      </c>
      <c r="Q458" s="20" t="n">
        <v>0</v>
      </c>
      <c r="R458" s="20" t="n">
        <v/>
      </c>
      <c r="S458" s="20" t="n">
        <v>0</v>
      </c>
      <c r="T458" s="20" t="n">
        <v>0</v>
      </c>
      <c r="U458" s="20" t="n">
        <v>0</v>
      </c>
      <c r="V458" s="15" t="n">
        <v>0</v>
      </c>
      <c r="W458" s="24" t="n">
        <v>0</v>
      </c>
      <c r="X458" s="24" t="n">
        <v>0</v>
      </c>
      <c r="Y458" s="24" t="n">
        <v>0</v>
      </c>
      <c r="Z458" s="20" t="n">
        <v>0</v>
      </c>
      <c r="AA458" s="20" t="n">
        <v>0</v>
      </c>
      <c r="AB458" s="24" t="n">
        <v>0</v>
      </c>
      <c r="AC458" s="24" t="n">
        <v>0</v>
      </c>
      <c r="AD458" s="24" t="n">
        <v>0</v>
      </c>
      <c r="AE458" s="19" t="n">
        <v>0</v>
      </c>
      <c r="AF458" s="20" t="n">
        <v>0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17" t="n">
        <v>216</v>
      </c>
      <c r="J459" s="17" t="n">
        <v>395</v>
      </c>
      <c r="K459" s="17" t="n">
        <v>-277</v>
      </c>
      <c r="L459" s="17" t="n">
        <v>90</v>
      </c>
      <c r="M459" s="21" t="n">
        <v/>
      </c>
      <c r="N459" s="21" t="n">
        <v/>
      </c>
      <c r="O459" s="21" t="n">
        <v/>
      </c>
      <c r="P459" s="21" t="n">
        <v>0.2245503114198319</v>
      </c>
      <c r="Q459" s="22" t="n">
        <v>0</v>
      </c>
      <c r="R459" s="22" t="n">
        <v/>
      </c>
      <c r="S459" s="22" t="n">
        <v>0</v>
      </c>
      <c r="T459" s="22" t="n">
        <v>0</v>
      </c>
      <c r="U459" s="22" t="n">
        <v>0</v>
      </c>
      <c r="V459" s="17" t="n">
        <v>0</v>
      </c>
      <c r="W459" s="25" t="n">
        <v>0</v>
      </c>
      <c r="X459" s="25" t="n">
        <v>0</v>
      </c>
      <c r="Y459" s="25" t="n">
        <v>0</v>
      </c>
      <c r="Z459" s="22" t="n">
        <v>0</v>
      </c>
      <c r="AA459" s="22" t="n">
        <v>0</v>
      </c>
      <c r="AB459" s="25" t="n">
        <v>0</v>
      </c>
      <c r="AC459" s="25" t="n">
        <v>0</v>
      </c>
      <c r="AD459" s="25" t="n">
        <v>0</v>
      </c>
      <c r="AE459" s="21" t="n">
        <v>0</v>
      </c>
      <c r="AF459" s="22" t="n">
        <v>0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5" t="n">
        <v>216</v>
      </c>
      <c r="J460" s="15" t="n">
        <v>395</v>
      </c>
      <c r="K460" s="15" t="n">
        <v>-278</v>
      </c>
      <c r="L460" s="15" t="n">
        <v>90</v>
      </c>
      <c r="M460" s="19" t="n">
        <v/>
      </c>
      <c r="N460" s="19" t="n">
        <v/>
      </c>
      <c r="O460" s="19" t="n">
        <v/>
      </c>
      <c r="P460" s="19" t="n">
        <v>0.2238175908686492</v>
      </c>
      <c r="Q460" s="20" t="n">
        <v>0</v>
      </c>
      <c r="R460" s="20" t="n">
        <v/>
      </c>
      <c r="S460" s="20" t="n">
        <v>0</v>
      </c>
      <c r="T460" s="20" t="n">
        <v>0</v>
      </c>
      <c r="U460" s="20" t="n">
        <v>0</v>
      </c>
      <c r="V460" s="15" t="n">
        <v>0</v>
      </c>
      <c r="W460" s="24" t="n">
        <v>0</v>
      </c>
      <c r="X460" s="24" t="n">
        <v>0</v>
      </c>
      <c r="Y460" s="24" t="n">
        <v>0</v>
      </c>
      <c r="Z460" s="20" t="n">
        <v>0</v>
      </c>
      <c r="AA460" s="20" t="n">
        <v>0</v>
      </c>
      <c r="AB460" s="24" t="n">
        <v>0</v>
      </c>
      <c r="AC460" s="24" t="n">
        <v>0</v>
      </c>
      <c r="AD460" s="24" t="n">
        <v>0</v>
      </c>
      <c r="AE460" s="19" t="n">
        <v>0</v>
      </c>
      <c r="AF460" s="20" t="n">
        <v>0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17" t="n">
        <v>216</v>
      </c>
      <c r="J461" s="17" t="n">
        <v>395</v>
      </c>
      <c r="K461" s="17" t="n">
        <v>-279</v>
      </c>
      <c r="L461" s="17" t="n">
        <v>90</v>
      </c>
      <c r="M461" s="21" t="n">
        <v/>
      </c>
      <c r="N461" s="21" t="n">
        <v/>
      </c>
      <c r="O461" s="21" t="n">
        <v/>
      </c>
      <c r="P461" s="21" t="n">
        <v>0.2230872612266697</v>
      </c>
      <c r="Q461" s="22" t="n">
        <v>0</v>
      </c>
      <c r="R461" s="22" t="n">
        <v/>
      </c>
      <c r="S461" s="22" t="n">
        <v>0</v>
      </c>
      <c r="T461" s="22" t="n">
        <v>0</v>
      </c>
      <c r="U461" s="22" t="n">
        <v>0</v>
      </c>
      <c r="V461" s="17" t="n">
        <v>0</v>
      </c>
      <c r="W461" s="25" t="n">
        <v>0</v>
      </c>
      <c r="X461" s="25" t="n">
        <v>0</v>
      </c>
      <c r="Y461" s="25" t="n">
        <v>0</v>
      </c>
      <c r="Z461" s="22" t="n">
        <v>0</v>
      </c>
      <c r="AA461" s="22" t="n">
        <v>0</v>
      </c>
      <c r="AB461" s="25" t="n">
        <v>0</v>
      </c>
      <c r="AC461" s="25" t="n">
        <v>0</v>
      </c>
      <c r="AD461" s="25" t="n">
        <v>0</v>
      </c>
      <c r="AE461" s="21" t="n">
        <v>0</v>
      </c>
      <c r="AF461" s="22" t="n">
        <v>0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5" t="n">
        <v>216</v>
      </c>
      <c r="J462" s="15" t="n">
        <v>395</v>
      </c>
      <c r="K462" s="15" t="n">
        <v>-280</v>
      </c>
      <c r="L462" s="15" t="n">
        <v>90</v>
      </c>
      <c r="M462" s="19" t="n">
        <v/>
      </c>
      <c r="N462" s="19" t="n">
        <v/>
      </c>
      <c r="O462" s="19" t="n">
        <v/>
      </c>
      <c r="P462" s="19" t="n">
        <v>0.2223593146922193</v>
      </c>
      <c r="Q462" s="20" t="n">
        <v>0</v>
      </c>
      <c r="R462" s="20" t="n">
        <v/>
      </c>
      <c r="S462" s="20" t="n">
        <v>0</v>
      </c>
      <c r="T462" s="20" t="n">
        <v>0</v>
      </c>
      <c r="U462" s="20" t="n">
        <v>0</v>
      </c>
      <c r="V462" s="15" t="n">
        <v>0</v>
      </c>
      <c r="W462" s="24" t="n">
        <v>0</v>
      </c>
      <c r="X462" s="24" t="n">
        <v>0</v>
      </c>
      <c r="Y462" s="24" t="n">
        <v>0</v>
      </c>
      <c r="Z462" s="20" t="n">
        <v>0</v>
      </c>
      <c r="AA462" s="20" t="n">
        <v>0</v>
      </c>
      <c r="AB462" s="24" t="n">
        <v>0</v>
      </c>
      <c r="AC462" s="24" t="n">
        <v>0</v>
      </c>
      <c r="AD462" s="24" t="n">
        <v>0</v>
      </c>
      <c r="AE462" s="19" t="n">
        <v>0</v>
      </c>
      <c r="AF462" s="20" t="n">
        <v>0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17" t="n">
        <v>216</v>
      </c>
      <c r="J463" s="17" t="n">
        <v>395</v>
      </c>
      <c r="K463" s="17" t="n">
        <v>-281</v>
      </c>
      <c r="L463" s="17" t="n">
        <v>90</v>
      </c>
      <c r="M463" s="21" t="n">
        <v/>
      </c>
      <c r="N463" s="21" t="n">
        <v/>
      </c>
      <c r="O463" s="21" t="n">
        <v/>
      </c>
      <c r="P463" s="21" t="n">
        <v>0.2216337434890814</v>
      </c>
      <c r="Q463" s="22" t="n">
        <v>0</v>
      </c>
      <c r="R463" s="22" t="n">
        <v/>
      </c>
      <c r="S463" s="22" t="n">
        <v>0</v>
      </c>
      <c r="T463" s="22" t="n">
        <v>0</v>
      </c>
      <c r="U463" s="22" t="n">
        <v>0</v>
      </c>
      <c r="V463" s="17" t="n">
        <v>0</v>
      </c>
      <c r="W463" s="25" t="n">
        <v>0</v>
      </c>
      <c r="X463" s="25" t="n">
        <v>0</v>
      </c>
      <c r="Y463" s="25" t="n">
        <v>0</v>
      </c>
      <c r="Z463" s="22" t="n">
        <v>0</v>
      </c>
      <c r="AA463" s="22" t="n">
        <v>0</v>
      </c>
      <c r="AB463" s="25" t="n">
        <v>0</v>
      </c>
      <c r="AC463" s="25" t="n">
        <v>0</v>
      </c>
      <c r="AD463" s="25" t="n">
        <v>0</v>
      </c>
      <c r="AE463" s="21" t="n">
        <v>0</v>
      </c>
      <c r="AF463" s="22" t="n">
        <v>0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5" t="n">
        <v>216</v>
      </c>
      <c r="J464" s="15" t="n">
        <v>395</v>
      </c>
      <c r="K464" s="15" t="n">
        <v>-282</v>
      </c>
      <c r="L464" s="15" t="n">
        <v>90</v>
      </c>
      <c r="M464" s="19" t="n">
        <v/>
      </c>
      <c r="N464" s="19" t="n">
        <v/>
      </c>
      <c r="O464" s="19" t="n">
        <v/>
      </c>
      <c r="P464" s="19" t="n">
        <v>0.2209105398664137</v>
      </c>
      <c r="Q464" s="20" t="n">
        <v>0</v>
      </c>
      <c r="R464" s="20" t="n">
        <v/>
      </c>
      <c r="S464" s="20" t="n">
        <v>0</v>
      </c>
      <c r="T464" s="20" t="n">
        <v>0</v>
      </c>
      <c r="U464" s="20" t="n">
        <v>0</v>
      </c>
      <c r="V464" s="15" t="n">
        <v>0</v>
      </c>
      <c r="W464" s="24" t="n">
        <v>0</v>
      </c>
      <c r="X464" s="24" t="n">
        <v>0</v>
      </c>
      <c r="Y464" s="24" t="n">
        <v>0</v>
      </c>
      <c r="Z464" s="20" t="n">
        <v>0</v>
      </c>
      <c r="AA464" s="20" t="n">
        <v>0</v>
      </c>
      <c r="AB464" s="24" t="n">
        <v>0</v>
      </c>
      <c r="AC464" s="24" t="n">
        <v>0</v>
      </c>
      <c r="AD464" s="24" t="n">
        <v>0</v>
      </c>
      <c r="AE464" s="19" t="n">
        <v>0</v>
      </c>
      <c r="AF464" s="20" t="n">
        <v>0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17" t="n">
        <v>216</v>
      </c>
      <c r="J465" s="17" t="n">
        <v>395</v>
      </c>
      <c r="K465" s="17" t="n">
        <v>-283</v>
      </c>
      <c r="L465" s="17" t="n">
        <v>90</v>
      </c>
      <c r="M465" s="21" t="n">
        <v/>
      </c>
      <c r="N465" s="21" t="n">
        <v/>
      </c>
      <c r="O465" s="21" t="n">
        <v/>
      </c>
      <c r="P465" s="21" t="n">
        <v>0.2201896960986652</v>
      </c>
      <c r="Q465" s="22" t="n">
        <v>0</v>
      </c>
      <c r="R465" s="22" t="n">
        <v/>
      </c>
      <c r="S465" s="22" t="n">
        <v>0</v>
      </c>
      <c r="T465" s="22" t="n">
        <v>0</v>
      </c>
      <c r="U465" s="22" t="n">
        <v>0</v>
      </c>
      <c r="V465" s="17" t="n">
        <v>0</v>
      </c>
      <c r="W465" s="25" t="n">
        <v>0</v>
      </c>
      <c r="X465" s="25" t="n">
        <v>0</v>
      </c>
      <c r="Y465" s="25" t="n">
        <v>0</v>
      </c>
      <c r="Z465" s="22" t="n">
        <v>0</v>
      </c>
      <c r="AA465" s="22" t="n">
        <v>0</v>
      </c>
      <c r="AB465" s="25" t="n">
        <v>0</v>
      </c>
      <c r="AC465" s="25" t="n">
        <v>0</v>
      </c>
      <c r="AD465" s="25" t="n">
        <v>0</v>
      </c>
      <c r="AE465" s="21" t="n">
        <v>0</v>
      </c>
      <c r="AF465" s="22" t="n">
        <v>0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5" t="n">
        <v>216</v>
      </c>
      <c r="J466" s="15" t="n">
        <v>395</v>
      </c>
      <c r="K466" s="15" t="n">
        <v>-284</v>
      </c>
      <c r="L466" s="15" t="n">
        <v>90</v>
      </c>
      <c r="M466" s="19" t="n">
        <v/>
      </c>
      <c r="N466" s="19" t="n">
        <v/>
      </c>
      <c r="O466" s="19" t="n">
        <v/>
      </c>
      <c r="P466" s="19" t="n">
        <v>0.2194712044854939</v>
      </c>
      <c r="Q466" s="20" t="n">
        <v>0</v>
      </c>
      <c r="R466" s="20" t="n">
        <v/>
      </c>
      <c r="S466" s="20" t="n">
        <v>0</v>
      </c>
      <c r="T466" s="20" t="n">
        <v>0</v>
      </c>
      <c r="U466" s="20" t="n">
        <v>0</v>
      </c>
      <c r="V466" s="15" t="n">
        <v>0</v>
      </c>
      <c r="W466" s="24" t="n">
        <v>0</v>
      </c>
      <c r="X466" s="24" t="n">
        <v>0</v>
      </c>
      <c r="Y466" s="24" t="n">
        <v>0</v>
      </c>
      <c r="Z466" s="20" t="n">
        <v>0</v>
      </c>
      <c r="AA466" s="20" t="n">
        <v>0</v>
      </c>
      <c r="AB466" s="24" t="n">
        <v>0</v>
      </c>
      <c r="AC466" s="24" t="n">
        <v>0</v>
      </c>
      <c r="AD466" s="24" t="n">
        <v>0</v>
      </c>
      <c r="AE466" s="19" t="n">
        <v>0</v>
      </c>
      <c r="AF466" s="20" t="n">
        <v>0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17" t="n">
        <v>216</v>
      </c>
      <c r="J467" s="17" t="n">
        <v>395</v>
      </c>
      <c r="K467" s="17" t="n">
        <v>-285</v>
      </c>
      <c r="L467" s="17" t="n">
        <v>90</v>
      </c>
      <c r="M467" s="21" t="n">
        <v/>
      </c>
      <c r="N467" s="21" t="n">
        <v/>
      </c>
      <c r="O467" s="21" t="n">
        <v/>
      </c>
      <c r="P467" s="21" t="n">
        <v>0.2187550573516845</v>
      </c>
      <c r="Q467" s="22" t="n">
        <v>0</v>
      </c>
      <c r="R467" s="22" t="n">
        <v/>
      </c>
      <c r="S467" s="22" t="n">
        <v>0</v>
      </c>
      <c r="T467" s="22" t="n">
        <v>0</v>
      </c>
      <c r="U467" s="22" t="n">
        <v>0</v>
      </c>
      <c r="V467" s="17" t="n">
        <v>0</v>
      </c>
      <c r="W467" s="25" t="n">
        <v>0</v>
      </c>
      <c r="X467" s="25" t="n">
        <v>0</v>
      </c>
      <c r="Y467" s="25" t="n">
        <v>0</v>
      </c>
      <c r="Z467" s="22" t="n">
        <v>0</v>
      </c>
      <c r="AA467" s="22" t="n">
        <v>0</v>
      </c>
      <c r="AB467" s="25" t="n">
        <v>0</v>
      </c>
      <c r="AC467" s="25" t="n">
        <v>0</v>
      </c>
      <c r="AD467" s="25" t="n">
        <v>0</v>
      </c>
      <c r="AE467" s="21" t="n">
        <v>0</v>
      </c>
      <c r="AF467" s="22" t="n">
        <v>0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5" t="n">
        <v>216</v>
      </c>
      <c r="J468" s="15" t="n">
        <v>395</v>
      </c>
      <c r="K468" s="15" t="n">
        <v>-286</v>
      </c>
      <c r="L468" s="15" t="n">
        <v>90</v>
      </c>
      <c r="M468" s="19" t="n">
        <v/>
      </c>
      <c r="N468" s="19" t="n">
        <v/>
      </c>
      <c r="O468" s="19" t="n">
        <v/>
      </c>
      <c r="P468" s="19" t="n">
        <v>0.2180412470470663</v>
      </c>
      <c r="Q468" s="20" t="n">
        <v>0</v>
      </c>
      <c r="R468" s="20" t="n">
        <v/>
      </c>
      <c r="S468" s="20" t="n">
        <v>0</v>
      </c>
      <c r="T468" s="20" t="n">
        <v>0</v>
      </c>
      <c r="U468" s="20" t="n">
        <v>0</v>
      </c>
      <c r="V468" s="15" t="n">
        <v>0</v>
      </c>
      <c r="W468" s="24" t="n">
        <v>0</v>
      </c>
      <c r="X468" s="24" t="n">
        <v>0</v>
      </c>
      <c r="Y468" s="24" t="n">
        <v>0</v>
      </c>
      <c r="Z468" s="20" t="n">
        <v>0</v>
      </c>
      <c r="AA468" s="20" t="n">
        <v>0</v>
      </c>
      <c r="AB468" s="24" t="n">
        <v>0</v>
      </c>
      <c r="AC468" s="24" t="n">
        <v>0</v>
      </c>
      <c r="AD468" s="24" t="n">
        <v>0</v>
      </c>
      <c r="AE468" s="19" t="n">
        <v>0</v>
      </c>
      <c r="AF468" s="20" t="n">
        <v>0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17" t="n">
        <v>216</v>
      </c>
      <c r="J469" s="17" t="n">
        <v>395</v>
      </c>
      <c r="K469" s="17" t="n">
        <v>-287</v>
      </c>
      <c r="L469" s="17" t="n">
        <v>90</v>
      </c>
      <c r="M469" s="21" t="n">
        <v/>
      </c>
      <c r="N469" s="21" t="n">
        <v/>
      </c>
      <c r="O469" s="21" t="n">
        <v/>
      </c>
      <c r="P469" s="21" t="n">
        <v>0.2173297659464314</v>
      </c>
      <c r="Q469" s="22" t="n">
        <v>0</v>
      </c>
      <c r="R469" s="22" t="n">
        <v/>
      </c>
      <c r="S469" s="22" t="n">
        <v>0</v>
      </c>
      <c r="T469" s="22" t="n">
        <v>0</v>
      </c>
      <c r="U469" s="22" t="n">
        <v>0</v>
      </c>
      <c r="V469" s="17" t="n">
        <v>0</v>
      </c>
      <c r="W469" s="25" t="n">
        <v>0</v>
      </c>
      <c r="X469" s="25" t="n">
        <v>0</v>
      </c>
      <c r="Y469" s="25" t="n">
        <v>0</v>
      </c>
      <c r="Z469" s="22" t="n">
        <v>0</v>
      </c>
      <c r="AA469" s="22" t="n">
        <v>0</v>
      </c>
      <c r="AB469" s="25" t="n">
        <v>0</v>
      </c>
      <c r="AC469" s="25" t="n">
        <v>0</v>
      </c>
      <c r="AD469" s="25" t="n">
        <v>0</v>
      </c>
      <c r="AE469" s="21" t="n">
        <v>0</v>
      </c>
      <c r="AF469" s="22" t="n">
        <v>0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5" t="n">
        <v>216</v>
      </c>
      <c r="J470" s="15" t="n">
        <v>395</v>
      </c>
      <c r="K470" s="15" t="n">
        <v>-288</v>
      </c>
      <c r="L470" s="15" t="n">
        <v>90</v>
      </c>
      <c r="M470" s="19" t="n">
        <v/>
      </c>
      <c r="N470" s="19" t="n">
        <v/>
      </c>
      <c r="O470" s="19" t="n">
        <v/>
      </c>
      <c r="P470" s="19" t="n">
        <v>0.2166206064494538</v>
      </c>
      <c r="Q470" s="20" t="n">
        <v>0</v>
      </c>
      <c r="R470" s="20" t="n">
        <v/>
      </c>
      <c r="S470" s="20" t="n">
        <v>0</v>
      </c>
      <c r="T470" s="20" t="n">
        <v>0</v>
      </c>
      <c r="U470" s="20" t="n">
        <v>0</v>
      </c>
      <c r="V470" s="15" t="n">
        <v>0</v>
      </c>
      <c r="W470" s="24" t="n">
        <v>0</v>
      </c>
      <c r="X470" s="24" t="n">
        <v>0</v>
      </c>
      <c r="Y470" s="24" t="n">
        <v>0</v>
      </c>
      <c r="Z470" s="20" t="n">
        <v>0</v>
      </c>
      <c r="AA470" s="20" t="n">
        <v>0</v>
      </c>
      <c r="AB470" s="24" t="n">
        <v>0</v>
      </c>
      <c r="AC470" s="24" t="n">
        <v>0</v>
      </c>
      <c r="AD470" s="24" t="n">
        <v>0</v>
      </c>
      <c r="AE470" s="19" t="n">
        <v>0</v>
      </c>
      <c r="AF470" s="20" t="n">
        <v>0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17" t="n">
        <v>216</v>
      </c>
      <c r="J471" s="17" t="n">
        <v>395</v>
      </c>
      <c r="K471" s="17" t="n">
        <v>-289</v>
      </c>
      <c r="L471" s="17" t="n">
        <v>90</v>
      </c>
      <c r="M471" s="21" t="n">
        <v/>
      </c>
      <c r="N471" s="21" t="n">
        <v/>
      </c>
      <c r="O471" s="21" t="n">
        <v/>
      </c>
      <c r="P471" s="21" t="n">
        <v>0.2159137609806074</v>
      </c>
      <c r="Q471" s="22" t="n">
        <v>0</v>
      </c>
      <c r="R471" s="22" t="n">
        <v/>
      </c>
      <c r="S471" s="22" t="n">
        <v>0</v>
      </c>
      <c r="T471" s="22" t="n">
        <v>0</v>
      </c>
      <c r="U471" s="22" t="n">
        <v>0</v>
      </c>
      <c r="V471" s="17" t="n">
        <v>0</v>
      </c>
      <c r="W471" s="25" t="n">
        <v>0</v>
      </c>
      <c r="X471" s="25" t="n">
        <v>0</v>
      </c>
      <c r="Y471" s="25" t="n">
        <v>0</v>
      </c>
      <c r="Z471" s="22" t="n">
        <v>0</v>
      </c>
      <c r="AA471" s="22" t="n">
        <v>0</v>
      </c>
      <c r="AB471" s="25" t="n">
        <v>0</v>
      </c>
      <c r="AC471" s="25" t="n">
        <v>0</v>
      </c>
      <c r="AD471" s="25" t="n">
        <v>0</v>
      </c>
      <c r="AE471" s="21" t="n">
        <v>0</v>
      </c>
      <c r="AF471" s="22" t="n">
        <v>0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5" t="n">
        <v>216</v>
      </c>
      <c r="J472" s="15" t="n">
        <v>395</v>
      </c>
      <c r="K472" s="15" t="n">
        <v>-290</v>
      </c>
      <c r="L472" s="15" t="n">
        <v>90</v>
      </c>
      <c r="M472" s="19" t="n">
        <v/>
      </c>
      <c r="N472" s="19" t="n">
        <v/>
      </c>
      <c r="O472" s="19" t="n">
        <v/>
      </c>
      <c r="P472" s="19" t="n">
        <v>0.2152092219890857</v>
      </c>
      <c r="Q472" s="20" t="n">
        <v>0</v>
      </c>
      <c r="R472" s="20" t="n">
        <v/>
      </c>
      <c r="S472" s="20" t="n">
        <v>0</v>
      </c>
      <c r="T472" s="20" t="n">
        <v>0</v>
      </c>
      <c r="U472" s="20" t="n">
        <v>0</v>
      </c>
      <c r="V472" s="15" t="n">
        <v>0</v>
      </c>
      <c r="W472" s="24" t="n">
        <v>0</v>
      </c>
      <c r="X472" s="24" t="n">
        <v>0</v>
      </c>
      <c r="Y472" s="24" t="n">
        <v>0</v>
      </c>
      <c r="Z472" s="20" t="n">
        <v>0</v>
      </c>
      <c r="AA472" s="20" t="n">
        <v>0</v>
      </c>
      <c r="AB472" s="24" t="n">
        <v>0</v>
      </c>
      <c r="AC472" s="24" t="n">
        <v>0</v>
      </c>
      <c r="AD472" s="24" t="n">
        <v>0</v>
      </c>
      <c r="AE472" s="19" t="n">
        <v>0</v>
      </c>
      <c r="AF472" s="20" t="n">
        <v>0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17" t="n">
        <v>216</v>
      </c>
      <c r="J473" s="17" t="n">
        <v>395</v>
      </c>
      <c r="K473" s="17" t="n">
        <v>-291</v>
      </c>
      <c r="L473" s="17" t="n">
        <v>90</v>
      </c>
      <c r="M473" s="21" t="n">
        <v/>
      </c>
      <c r="N473" s="21" t="n">
        <v/>
      </c>
      <c r="O473" s="21" t="n">
        <v/>
      </c>
      <c r="P473" s="21" t="n">
        <v>0.2145069819487207</v>
      </c>
      <c r="Q473" s="22" t="n">
        <v>0</v>
      </c>
      <c r="R473" s="22" t="n">
        <v/>
      </c>
      <c r="S473" s="22" t="n">
        <v>0</v>
      </c>
      <c r="T473" s="22" t="n">
        <v>0</v>
      </c>
      <c r="U473" s="22" t="n">
        <v>0</v>
      </c>
      <c r="V473" s="17" t="n">
        <v>0</v>
      </c>
      <c r="W473" s="25" t="n">
        <v>0</v>
      </c>
      <c r="X473" s="25" t="n">
        <v>0</v>
      </c>
      <c r="Y473" s="25" t="n">
        <v>0</v>
      </c>
      <c r="Z473" s="22" t="n">
        <v>0</v>
      </c>
      <c r="AA473" s="22" t="n">
        <v>0</v>
      </c>
      <c r="AB473" s="25" t="n">
        <v>0</v>
      </c>
      <c r="AC473" s="25" t="n">
        <v>0</v>
      </c>
      <c r="AD473" s="25" t="n">
        <v>0</v>
      </c>
      <c r="AE473" s="21" t="n">
        <v>0</v>
      </c>
      <c r="AF473" s="22" t="n">
        <v>0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5" t="n">
        <v>216</v>
      </c>
      <c r="J474" s="15" t="n">
        <v>395</v>
      </c>
      <c r="K474" s="15" t="n">
        <v>-292</v>
      </c>
      <c r="L474" s="15" t="n">
        <v>90</v>
      </c>
      <c r="M474" s="19" t="n">
        <v/>
      </c>
      <c r="N474" s="19" t="n">
        <v/>
      </c>
      <c r="O474" s="19" t="n">
        <v/>
      </c>
      <c r="P474" s="19" t="n">
        <v>0.213807033357903</v>
      </c>
      <c r="Q474" s="20" t="n">
        <v>0</v>
      </c>
      <c r="R474" s="20" t="n">
        <v/>
      </c>
      <c r="S474" s="20" t="n">
        <v>0</v>
      </c>
      <c r="T474" s="20" t="n">
        <v>0</v>
      </c>
      <c r="U474" s="20" t="n">
        <v>0</v>
      </c>
      <c r="V474" s="15" t="n">
        <v>0</v>
      </c>
      <c r="W474" s="24" t="n">
        <v>0</v>
      </c>
      <c r="X474" s="24" t="n">
        <v>0</v>
      </c>
      <c r="Y474" s="24" t="n">
        <v>0</v>
      </c>
      <c r="Z474" s="20" t="n">
        <v>0</v>
      </c>
      <c r="AA474" s="20" t="n">
        <v>0</v>
      </c>
      <c r="AB474" s="24" t="n">
        <v>0</v>
      </c>
      <c r="AC474" s="24" t="n">
        <v>0</v>
      </c>
      <c r="AD474" s="24" t="n">
        <v>0</v>
      </c>
      <c r="AE474" s="19" t="n">
        <v>0</v>
      </c>
      <c r="AF474" s="20" t="n">
        <v>0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17" t="n">
        <v>216</v>
      </c>
      <c r="J475" s="17" t="n">
        <v>395</v>
      </c>
      <c r="K475" s="17" t="n">
        <v>-293</v>
      </c>
      <c r="L475" s="17" t="n">
        <v>90</v>
      </c>
      <c r="M475" s="21" t="n">
        <v/>
      </c>
      <c r="N475" s="21" t="n">
        <v/>
      </c>
      <c r="O475" s="21" t="n">
        <v/>
      </c>
      <c r="P475" s="21" t="n">
        <v>0.2131093687395012</v>
      </c>
      <c r="Q475" s="22" t="n">
        <v>0</v>
      </c>
      <c r="R475" s="22" t="n">
        <v/>
      </c>
      <c r="S475" s="22" t="n">
        <v>0</v>
      </c>
      <c r="T475" s="22" t="n">
        <v>0</v>
      </c>
      <c r="U475" s="22" t="n">
        <v>0</v>
      </c>
      <c r="V475" s="17" t="n">
        <v>0</v>
      </c>
      <c r="W475" s="25" t="n">
        <v>0</v>
      </c>
      <c r="X475" s="25" t="n">
        <v>0</v>
      </c>
      <c r="Y475" s="25" t="n">
        <v>0</v>
      </c>
      <c r="Z475" s="22" t="n">
        <v>0</v>
      </c>
      <c r="AA475" s="22" t="n">
        <v>0</v>
      </c>
      <c r="AB475" s="25" t="n">
        <v>0</v>
      </c>
      <c r="AC475" s="25" t="n">
        <v>0</v>
      </c>
      <c r="AD475" s="25" t="n">
        <v>0</v>
      </c>
      <c r="AE475" s="21" t="n">
        <v>0</v>
      </c>
      <c r="AF475" s="22" t="n">
        <v>0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5" t="n">
        <v>216</v>
      </c>
      <c r="J476" s="15" t="n">
        <v>395</v>
      </c>
      <c r="K476" s="15" t="n">
        <v>-294</v>
      </c>
      <c r="L476" s="15" t="n">
        <v>90</v>
      </c>
      <c r="M476" s="19" t="n">
        <v/>
      </c>
      <c r="N476" s="19" t="n">
        <v/>
      </c>
      <c r="O476" s="19" t="n">
        <v/>
      </c>
      <c r="P476" s="19" t="n">
        <v>0.2124139806407822</v>
      </c>
      <c r="Q476" s="20" t="n">
        <v>0</v>
      </c>
      <c r="R476" s="20" t="n">
        <v/>
      </c>
      <c r="S476" s="20" t="n">
        <v>0</v>
      </c>
      <c r="T476" s="20" t="n">
        <v>0</v>
      </c>
      <c r="U476" s="20" t="n">
        <v>0</v>
      </c>
      <c r="V476" s="15" t="n">
        <v>0</v>
      </c>
      <c r="W476" s="24" t="n">
        <v>0</v>
      </c>
      <c r="X476" s="24" t="n">
        <v>0</v>
      </c>
      <c r="Y476" s="24" t="n">
        <v>0</v>
      </c>
      <c r="Z476" s="20" t="n">
        <v>0</v>
      </c>
      <c r="AA476" s="20" t="n">
        <v>0</v>
      </c>
      <c r="AB476" s="24" t="n">
        <v>0</v>
      </c>
      <c r="AC476" s="24" t="n">
        <v>0</v>
      </c>
      <c r="AD476" s="24" t="n">
        <v>0</v>
      </c>
      <c r="AE476" s="19" t="n">
        <v>0</v>
      </c>
      <c r="AF476" s="20" t="n">
        <v>0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17" t="n">
        <v>216</v>
      </c>
      <c r="J477" s="17" t="n">
        <v>395</v>
      </c>
      <c r="K477" s="17" t="n">
        <v>-295</v>
      </c>
      <c r="L477" s="17" t="n">
        <v>90</v>
      </c>
      <c r="M477" s="21" t="n">
        <v/>
      </c>
      <c r="N477" s="21" t="n">
        <v/>
      </c>
      <c r="O477" s="21" t="n">
        <v/>
      </c>
      <c r="P477" s="21" t="n">
        <v>0.2117208616333317</v>
      </c>
      <c r="Q477" s="22" t="n">
        <v>0</v>
      </c>
      <c r="R477" s="22" t="n">
        <v/>
      </c>
      <c r="S477" s="22" t="n">
        <v>0</v>
      </c>
      <c r="T477" s="22" t="n">
        <v>0</v>
      </c>
      <c r="U477" s="22" t="n">
        <v>0</v>
      </c>
      <c r="V477" s="17" t="n">
        <v>0</v>
      </c>
      <c r="W477" s="25" t="n">
        <v>0</v>
      </c>
      <c r="X477" s="25" t="n">
        <v>0</v>
      </c>
      <c r="Y477" s="25" t="n">
        <v>0</v>
      </c>
      <c r="Z477" s="22" t="n">
        <v>0</v>
      </c>
      <c r="AA477" s="22" t="n">
        <v>0</v>
      </c>
      <c r="AB477" s="25" t="n">
        <v>0</v>
      </c>
      <c r="AC477" s="25" t="n">
        <v>0</v>
      </c>
      <c r="AD477" s="25" t="n">
        <v>0</v>
      </c>
      <c r="AE477" s="21" t="n">
        <v>0</v>
      </c>
      <c r="AF477" s="22" t="n">
        <v>0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5" t="n">
        <v>216</v>
      </c>
      <c r="J478" s="15" t="n">
        <v>395</v>
      </c>
      <c r="K478" s="15" t="n">
        <v>-296</v>
      </c>
      <c r="L478" s="15" t="n">
        <v>90</v>
      </c>
      <c r="M478" s="19" t="n">
        <v/>
      </c>
      <c r="N478" s="19" t="n">
        <v/>
      </c>
      <c r="O478" s="19" t="n">
        <v/>
      </c>
      <c r="P478" s="19" t="n">
        <v>0.2110300043129748</v>
      </c>
      <c r="Q478" s="20" t="n">
        <v>0</v>
      </c>
      <c r="R478" s="20" t="n">
        <v/>
      </c>
      <c r="S478" s="20" t="n">
        <v>0</v>
      </c>
      <c r="T478" s="20" t="n">
        <v>0</v>
      </c>
      <c r="U478" s="20" t="n">
        <v>0</v>
      </c>
      <c r="V478" s="15" t="n">
        <v>0</v>
      </c>
      <c r="W478" s="24" t="n">
        <v>0</v>
      </c>
      <c r="X478" s="24" t="n">
        <v>0</v>
      </c>
      <c r="Y478" s="24" t="n">
        <v>0</v>
      </c>
      <c r="Z478" s="20" t="n">
        <v>0</v>
      </c>
      <c r="AA478" s="20" t="n">
        <v>0</v>
      </c>
      <c r="AB478" s="24" t="n">
        <v>0</v>
      </c>
      <c r="AC478" s="24" t="n">
        <v>0</v>
      </c>
      <c r="AD478" s="24" t="n">
        <v>0</v>
      </c>
      <c r="AE478" s="19" t="n">
        <v>0</v>
      </c>
      <c r="AF478" s="20" t="n">
        <v>0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17" t="n">
        <v>216</v>
      </c>
      <c r="J479" s="17" t="n">
        <v>395</v>
      </c>
      <c r="K479" s="17" t="n">
        <v>-297</v>
      </c>
      <c r="L479" s="17" t="n">
        <v>90</v>
      </c>
      <c r="M479" s="21" t="n">
        <v/>
      </c>
      <c r="N479" s="21" t="n">
        <v/>
      </c>
      <c r="O479" s="21" t="n">
        <v/>
      </c>
      <c r="P479" s="21" t="n">
        <v>0.2103414012996965</v>
      </c>
      <c r="Q479" s="22" t="n">
        <v>0</v>
      </c>
      <c r="R479" s="22" t="n">
        <v/>
      </c>
      <c r="S479" s="22" t="n">
        <v>0</v>
      </c>
      <c r="T479" s="22" t="n">
        <v>0</v>
      </c>
      <c r="U479" s="22" t="n">
        <v>0</v>
      </c>
      <c r="V479" s="17" t="n">
        <v>0</v>
      </c>
      <c r="W479" s="25" t="n">
        <v>0</v>
      </c>
      <c r="X479" s="25" t="n">
        <v>0</v>
      </c>
      <c r="Y479" s="25" t="n">
        <v>0</v>
      </c>
      <c r="Z479" s="22" t="n">
        <v>0</v>
      </c>
      <c r="AA479" s="22" t="n">
        <v>0</v>
      </c>
      <c r="AB479" s="25" t="n">
        <v>0</v>
      </c>
      <c r="AC479" s="25" t="n">
        <v>0</v>
      </c>
      <c r="AD479" s="25" t="n">
        <v>0</v>
      </c>
      <c r="AE479" s="21" t="n">
        <v>0</v>
      </c>
      <c r="AF479" s="22" t="n">
        <v>0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5" t="n">
        <v>216</v>
      </c>
      <c r="J480" s="15" t="n">
        <v>395</v>
      </c>
      <c r="K480" s="15" t="n">
        <v>-298</v>
      </c>
      <c r="L480" s="15" t="n">
        <v>90</v>
      </c>
      <c r="M480" s="19" t="n">
        <v/>
      </c>
      <c r="N480" s="19" t="n">
        <v/>
      </c>
      <c r="O480" s="19" t="n">
        <v/>
      </c>
      <c r="P480" s="19" t="n">
        <v>0.2096550452375635</v>
      </c>
      <c r="Q480" s="20" t="n">
        <v>0</v>
      </c>
      <c r="R480" s="20" t="n">
        <v/>
      </c>
      <c r="S480" s="20" t="n">
        <v>0</v>
      </c>
      <c r="T480" s="20" t="n">
        <v>0</v>
      </c>
      <c r="U480" s="20" t="n">
        <v>0</v>
      </c>
      <c r="V480" s="15" t="n">
        <v>0</v>
      </c>
      <c r="W480" s="24" t="n">
        <v>0</v>
      </c>
      <c r="X480" s="24" t="n">
        <v>0</v>
      </c>
      <c r="Y480" s="24" t="n">
        <v>0</v>
      </c>
      <c r="Z480" s="20" t="n">
        <v>0</v>
      </c>
      <c r="AA480" s="20" t="n">
        <v>0</v>
      </c>
      <c r="AB480" s="24" t="n">
        <v>0</v>
      </c>
      <c r="AC480" s="24" t="n">
        <v>0</v>
      </c>
      <c r="AD480" s="24" t="n">
        <v>0</v>
      </c>
      <c r="AE480" s="19" t="n">
        <v>0</v>
      </c>
      <c r="AF480" s="20" t="n">
        <v>0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17" t="n">
        <v>216</v>
      </c>
      <c r="J481" s="17" t="n">
        <v>395</v>
      </c>
      <c r="K481" s="17" t="n">
        <v>-299</v>
      </c>
      <c r="L481" s="17" t="n">
        <v>90</v>
      </c>
      <c r="M481" s="21" t="n">
        <v/>
      </c>
      <c r="N481" s="21" t="n">
        <v/>
      </c>
      <c r="O481" s="21" t="n">
        <v/>
      </c>
      <c r="P481" s="21" t="n">
        <v>0.2089709287946455</v>
      </c>
      <c r="Q481" s="22" t="n">
        <v>0</v>
      </c>
      <c r="R481" s="22" t="n">
        <v/>
      </c>
      <c r="S481" s="22" t="n">
        <v>0</v>
      </c>
      <c r="T481" s="22" t="n">
        <v>0</v>
      </c>
      <c r="U481" s="22" t="n">
        <v>0</v>
      </c>
      <c r="V481" s="17" t="n">
        <v>0</v>
      </c>
      <c r="W481" s="25" t="n">
        <v>0</v>
      </c>
      <c r="X481" s="25" t="n">
        <v>0</v>
      </c>
      <c r="Y481" s="25" t="n">
        <v>0</v>
      </c>
      <c r="Z481" s="22" t="n">
        <v>0</v>
      </c>
      <c r="AA481" s="22" t="n">
        <v>0</v>
      </c>
      <c r="AB481" s="25" t="n">
        <v>0</v>
      </c>
      <c r="AC481" s="25" t="n">
        <v>0</v>
      </c>
      <c r="AD481" s="25" t="n">
        <v>0</v>
      </c>
      <c r="AE481" s="21" t="n">
        <v>0</v>
      </c>
      <c r="AF481" s="22" t="n">
        <v>0</v>
      </c>
    </row>
  </sheetData>
  <autoFilter ref="A1:AF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33C00"/>
    <outlinePr summaryBelow="1" summaryRight="1"/>
    <pageSetUpPr/>
  </sheetPr>
  <dimension ref="A1:AB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14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6" customWidth="1" min="26" max="26"/>
    <col width="20" customWidth="1" min="27" max="27"/>
    <col width="20" customWidth="1" min="28" max="28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av_bop_sa</t>
        </is>
      </c>
      <c r="J1" s="23" t="inlineStr">
        <is>
          <t>me_sa</t>
        </is>
      </c>
      <c r="K1" s="23" t="inlineStr">
        <is>
          <t>imf_sa</t>
        </is>
      </c>
      <c r="L1" s="23" t="inlineStr">
        <is>
          <t>growth_sa</t>
        </is>
      </c>
      <c r="M1" s="23" t="inlineStr">
        <is>
          <t>av_at_cme_sa</t>
        </is>
      </c>
      <c r="N1" s="23" t="inlineStr">
        <is>
          <t>gib_charge</t>
        </is>
      </c>
      <c r="O1" s="23" t="inlineStr">
        <is>
          <t>i4l_charge</t>
        </is>
      </c>
      <c r="P1" s="23" t="inlineStr">
        <is>
          <t>withdrawal</t>
        </is>
      </c>
      <c r="Q1" s="23" t="inlineStr">
        <is>
          <t>av_eop_sa</t>
        </is>
      </c>
      <c r="R1" s="23" t="inlineStr">
        <is>
          <t>av_eop_f1</t>
        </is>
      </c>
      <c r="S1" s="23" t="inlineStr">
        <is>
          <t>av_eop_f2</t>
        </is>
      </c>
      <c r="T1" s="23" t="inlineStr">
        <is>
          <t>av_eop_f3</t>
        </is>
      </c>
      <c r="U1" s="23" t="inlineStr">
        <is>
          <t>av_eop_f4</t>
        </is>
      </c>
      <c r="V1" s="23" t="inlineStr">
        <is>
          <t>av_eop_f5</t>
        </is>
      </c>
      <c r="W1" s="23" t="inlineStr">
        <is>
          <t>av_eop_f6</t>
        </is>
      </c>
      <c r="X1" s="23" t="inlineStr">
        <is>
          <t>current_payment</t>
        </is>
      </c>
      <c r="Y1" s="23" t="inlineStr">
        <is>
          <t>monthly_payment</t>
        </is>
      </c>
      <c r="Z1" s="23" t="inlineStr">
        <is>
          <t>o_ap_remaining</t>
        </is>
      </c>
      <c r="AA1" s="23" t="inlineStr">
        <is>
          <t>av_bop_total</t>
        </is>
      </c>
      <c r="AB1" s="23" t="inlineStr">
        <is>
          <t>av_eop_total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 t="n">
        <v>1579907.85</v>
      </c>
      <c r="J2" s="19">
        <f>I2 * (0.01000000 / 12)</f>
        <v/>
      </c>
      <c r="K2" s="19">
        <f>(I2 - J2) * (0.00664805 / 12) * 1.0</f>
        <v/>
      </c>
      <c r="L2" s="19" t="n">
        <v>14480.0769348752</v>
      </c>
      <c r="M2" s="24">
        <f>(I2 - J2) - K2 + L2</f>
        <v/>
      </c>
      <c r="N2" s="24">
        <f>M2 * (0.00400000 / 12) * 1.0</f>
        <v/>
      </c>
      <c r="O2" s="24">
        <f>M2 * (0.00500000 / 12) * 1.0</f>
        <v/>
      </c>
      <c r="P2" s="24">
        <f>Y2</f>
        <v/>
      </c>
      <c r="Q2" s="24">
        <f>MAX(0, M2 - N2 - O2 - P2)</f>
        <v/>
      </c>
      <c r="R2" s="24" t="n">
        <v>787131.210643688</v>
      </c>
      <c r="S2" s="24" t="n">
        <v>96810.2094245507</v>
      </c>
      <c r="T2" s="24" t="n">
        <v>243456.3509170274</v>
      </c>
      <c r="U2" s="24" t="n">
        <v>224949.7355775788</v>
      </c>
      <c r="V2" s="24" t="n">
        <v>52760.28365858027</v>
      </c>
      <c r="W2" s="24" t="n">
        <v>174217.6539815528</v>
      </c>
      <c r="X2" s="24" t="n">
        <v>140126.383227946</v>
      </c>
      <c r="Y2" s="24">
        <f>X2 / 12</f>
        <v/>
      </c>
      <c r="Z2" s="15" t="n">
        <v>180</v>
      </c>
      <c r="AA2" s="24">
        <f>I2</f>
        <v/>
      </c>
      <c r="AB2" s="24">
        <f>Q2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 t="n">
        <v>1579325.444202978</v>
      </c>
      <c r="J3" s="21">
        <f>I3 * (0.01000000 / 12)</f>
        <v/>
      </c>
      <c r="K3" s="21">
        <f>(I3 - J3) * (0.00664805 / 12) * 1.0</f>
        <v/>
      </c>
      <c r="L3" s="21" t="n">
        <v>14949.69683220864</v>
      </c>
      <c r="M3" s="25">
        <f>(I3 - J3) - K3 + L3</f>
        <v/>
      </c>
      <c r="N3" s="25">
        <f>M3 * (0.00400000 / 12) * 1.0</f>
        <v/>
      </c>
      <c r="O3" s="25">
        <f>M3 * (0.00500000 / 12) * 1.0</f>
        <v/>
      </c>
      <c r="P3" s="25">
        <f>Y3</f>
        <v/>
      </c>
      <c r="Q3" s="25">
        <f>MAX(0, M3 - N3 - O3 - P3)</f>
        <v/>
      </c>
      <c r="R3" s="25" t="n">
        <v>787051.9683453365</v>
      </c>
      <c r="S3" s="25" t="n">
        <v>96800.46331946053</v>
      </c>
      <c r="T3" s="25" t="n">
        <v>243431.8416096412</v>
      </c>
      <c r="U3" s="25" t="n">
        <v>224927.0893734648</v>
      </c>
      <c r="V3" s="25" t="n">
        <v>52754.97216021474</v>
      </c>
      <c r="W3" s="25" t="n">
        <v>174200.1150920662</v>
      </c>
      <c r="X3" s="25" t="n">
        <v>140691.584565389</v>
      </c>
      <c r="Y3" s="25">
        <f>X3 / 12</f>
        <v/>
      </c>
      <c r="Z3" s="17" t="n">
        <v>179</v>
      </c>
      <c r="AA3" s="25">
        <f>I3</f>
        <v/>
      </c>
      <c r="AB3" s="25">
        <f>Q3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 t="n">
        <v>1579166.449900184</v>
      </c>
      <c r="J4" s="19">
        <f>I4 * (0.01000000 / 12)</f>
        <v/>
      </c>
      <c r="K4" s="19">
        <f>(I4 - J4) * (0.00664805 / 12) * 1.0</f>
        <v/>
      </c>
      <c r="L4" s="19" t="n">
        <v>78125.14917395986</v>
      </c>
      <c r="M4" s="24">
        <f>(I4 - J4) - K4 + L4</f>
        <v/>
      </c>
      <c r="N4" s="24">
        <f>M4 * (0.00400000 / 12) * 1.0</f>
        <v/>
      </c>
      <c r="O4" s="24">
        <f>M4 * (0.00500000 / 12) * 1.0</f>
        <v/>
      </c>
      <c r="P4" s="24">
        <f>Y4</f>
        <v/>
      </c>
      <c r="Q4" s="24">
        <f>MAX(0, M4 - N4 - O4 - P4)</f>
        <v/>
      </c>
      <c r="R4" s="24" t="n">
        <v>818179.3388554041</v>
      </c>
      <c r="S4" s="24" t="n">
        <v>100628.8558633808</v>
      </c>
      <c r="T4" s="24" t="n">
        <v>253059.4055221764</v>
      </c>
      <c r="U4" s="24" t="n">
        <v>233822.802909889</v>
      </c>
      <c r="V4" s="24" t="n">
        <v>54841.39545972269</v>
      </c>
      <c r="W4" s="24" t="n">
        <v>181089.6112669719</v>
      </c>
      <c r="X4" s="24" t="n">
        <v>146865.0572625514</v>
      </c>
      <c r="Y4" s="24">
        <f>X4 / 12</f>
        <v/>
      </c>
      <c r="Z4" s="15" t="n">
        <v>178</v>
      </c>
      <c r="AA4" s="24">
        <f>I4</f>
        <v/>
      </c>
      <c r="AB4" s="24">
        <f>Q4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 t="n">
        <v>1641621.409877545</v>
      </c>
      <c r="J5" s="21">
        <f>I5 * (0.01000000 / 12)</f>
        <v/>
      </c>
      <c r="K5" s="21">
        <f>(I5 - J5) * (0.00664805 / 12) * 1.0</f>
        <v/>
      </c>
      <c r="L5" s="21" t="n">
        <v>59513.29200753604</v>
      </c>
      <c r="M5" s="25">
        <f>(I5 - J5) - K5 + L5</f>
        <v/>
      </c>
      <c r="N5" s="25">
        <f>M5 * (0.00400000 / 12) * 1.0</f>
        <v/>
      </c>
      <c r="O5" s="25">
        <f>M5 * (0.00500000 / 12) * 1.0</f>
        <v/>
      </c>
      <c r="P5" s="25">
        <f>Y5</f>
        <v/>
      </c>
      <c r="Q5" s="25">
        <f>MAX(0, M5 - N5 - O5 - P5)</f>
        <v/>
      </c>
      <c r="R5" s="25" t="n">
        <v>839783.7468451853</v>
      </c>
      <c r="S5" s="25" t="n">
        <v>103286.0078524041</v>
      </c>
      <c r="T5" s="25" t="n">
        <v>259741.557445251</v>
      </c>
      <c r="U5" s="25" t="n">
        <v>239997.0033467351</v>
      </c>
      <c r="V5" s="25" t="n">
        <v>56289.50814843748</v>
      </c>
      <c r="W5" s="25" t="n">
        <v>185871.367122596</v>
      </c>
      <c r="X5" s="25" t="n">
        <v>151375.7044844019</v>
      </c>
      <c r="Y5" s="25">
        <f>X5 / 12</f>
        <v/>
      </c>
      <c r="Z5" s="17" t="n">
        <v>177</v>
      </c>
      <c r="AA5" s="25">
        <f>I5</f>
        <v/>
      </c>
      <c r="AB5" s="25">
        <f>Q5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 t="n">
        <v>1684969.190760609</v>
      </c>
      <c r="J6" s="19">
        <f>I6 * (0.01000000 / 12)</f>
        <v/>
      </c>
      <c r="K6" s="19">
        <f>(I6 - J6) * (0.00664805 / 12) * 1.0</f>
        <v/>
      </c>
      <c r="L6" s="19" t="n">
        <v>64424.10027563052</v>
      </c>
      <c r="M6" s="24">
        <f>(I6 - J6) - K6 + L6</f>
        <v/>
      </c>
      <c r="N6" s="24">
        <f>M6 * (0.00400000 / 12) * 1.0</f>
        <v/>
      </c>
      <c r="O6" s="24">
        <f>M6 * (0.00500000 / 12) * 1.0</f>
        <v/>
      </c>
      <c r="P6" s="24">
        <f>Y6</f>
        <v/>
      </c>
      <c r="Q6" s="24">
        <f>MAX(0, M6 - N6 - O6 - P6)</f>
        <v/>
      </c>
      <c r="R6" s="24" t="n">
        <v>863582.2034442035</v>
      </c>
      <c r="S6" s="24" t="n">
        <v>106213.0085051262</v>
      </c>
      <c r="T6" s="24" t="n">
        <v>267102.3193140584</v>
      </c>
      <c r="U6" s="24" t="n">
        <v>246798.2284115191</v>
      </c>
      <c r="V6" s="24" t="n">
        <v>57884.68478966586</v>
      </c>
      <c r="W6" s="24" t="n">
        <v>191138.7370616844</v>
      </c>
      <c r="X6" s="24" t="n">
        <v>156323.6828219335</v>
      </c>
      <c r="Y6" s="24">
        <f>X6 / 12</f>
        <v/>
      </c>
      <c r="Z6" s="15" t="n">
        <v>176</v>
      </c>
      <c r="AA6" s="24">
        <f>I6</f>
        <v/>
      </c>
      <c r="AB6" s="24">
        <f>Q6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 t="n">
        <v>1732719.181526258</v>
      </c>
      <c r="J7" s="21">
        <f>I7 * (0.01000000 / 12)</f>
        <v/>
      </c>
      <c r="K7" s="21">
        <f>(I7 - J7) * (0.00664805 / 12) * 1.0</f>
        <v/>
      </c>
      <c r="L7" s="21" t="n">
        <v>30125.64666976794</v>
      </c>
      <c r="M7" s="25">
        <f>(I7 - J7) - K7 + L7</f>
        <v/>
      </c>
      <c r="N7" s="25">
        <f>M7 * (0.00400000 / 12) * 1.0</f>
        <v/>
      </c>
      <c r="O7" s="25">
        <f>M7 * (0.00500000 / 12) * 1.0</f>
        <v/>
      </c>
      <c r="P7" s="25">
        <f>Y7</f>
        <v/>
      </c>
      <c r="Q7" s="25">
        <f>MAX(0, M7 - N7 - O7 - P7)</f>
        <v/>
      </c>
      <c r="R7" s="25" t="n">
        <v>870170.9957296968</v>
      </c>
      <c r="S7" s="25" t="n">
        <v>107023.3719520182</v>
      </c>
      <c r="T7" s="25" t="n">
        <v>269140.204872509</v>
      </c>
      <c r="U7" s="25" t="n">
        <v>248681.2017485632</v>
      </c>
      <c r="V7" s="25" t="n">
        <v>58326.32214980283</v>
      </c>
      <c r="W7" s="25" t="n">
        <v>192597.0503886476</v>
      </c>
      <c r="X7" s="25" t="n">
        <v>158187.3972474085</v>
      </c>
      <c r="Y7" s="25">
        <f>X7 / 12</f>
        <v/>
      </c>
      <c r="Z7" s="17" t="n">
        <v>175</v>
      </c>
      <c r="AA7" s="25">
        <f>I7</f>
        <v/>
      </c>
      <c r="AB7" s="25">
        <f>Q7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 t="n">
        <v>1745939.146841238</v>
      </c>
      <c r="J8" s="19">
        <f>I8 * (0.01000000 / 12)</f>
        <v/>
      </c>
      <c r="K8" s="19">
        <f>(I8 - J8) * (0.00664805 / 12) * 1.0</f>
        <v/>
      </c>
      <c r="L8" s="19" t="n">
        <v>23426.73509533595</v>
      </c>
      <c r="M8" s="24">
        <f>(I8 - J8) - K8 + L8</f>
        <v/>
      </c>
      <c r="N8" s="24">
        <f>M8 * (0.00400000 / 12) * 1.0</f>
        <v/>
      </c>
      <c r="O8" s="24">
        <f>M8 * (0.00500000 / 12) * 1.0</f>
        <v/>
      </c>
      <c r="P8" s="24">
        <f>Y8</f>
        <v/>
      </c>
      <c r="Q8" s="24">
        <f>MAX(0, M8 - N8 - O8 - P8)</f>
        <v/>
      </c>
      <c r="R8" s="24" t="n">
        <v>873357.1412760793</v>
      </c>
      <c r="S8" s="24" t="n">
        <v>107415.2398050921</v>
      </c>
      <c r="T8" s="24" t="n">
        <v>270125.6662005873</v>
      </c>
      <c r="U8" s="24" t="n">
        <v>249591.7520970677</v>
      </c>
      <c r="V8" s="24" t="n">
        <v>58539.88494661684</v>
      </c>
      <c r="W8" s="24" t="n">
        <v>193302.2476859071</v>
      </c>
      <c r="X8" s="24" t="n">
        <v>159448.0821618249</v>
      </c>
      <c r="Y8" s="24">
        <f>X8 / 12</f>
        <v/>
      </c>
      <c r="Z8" s="15" t="n">
        <v>174</v>
      </c>
      <c r="AA8" s="24">
        <f>I8</f>
        <v/>
      </c>
      <c r="AB8" s="24">
        <f>Q8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 t="n">
        <v>1752331.932011351</v>
      </c>
      <c r="J9" s="21">
        <f>I9 * (0.01000000 / 12)</f>
        <v/>
      </c>
      <c r="K9" s="21">
        <f>(I9 - J9) * (0.00664805 / 12) * 1.0</f>
        <v/>
      </c>
      <c r="L9" s="21" t="n">
        <v>92580.66591532785</v>
      </c>
      <c r="M9" s="25">
        <f>(I9 - J9) - K9 + L9</f>
        <v/>
      </c>
      <c r="N9" s="25">
        <f>M9 * (0.00400000 / 12) * 1.0</f>
        <v/>
      </c>
      <c r="O9" s="25">
        <f>M9 * (0.00500000 / 12) * 1.0</f>
        <v/>
      </c>
      <c r="P9" s="25">
        <f>Y9</f>
        <v/>
      </c>
      <c r="Q9" s="25">
        <f>MAX(0, M9 - N9 - O9 - P9)</f>
        <v/>
      </c>
      <c r="R9" s="25" t="n">
        <v>910663.9996631249</v>
      </c>
      <c r="S9" s="25" t="n">
        <v>112003.6549569553</v>
      </c>
      <c r="T9" s="25" t="n">
        <v>281664.5195509214</v>
      </c>
      <c r="U9" s="25" t="n">
        <v>260253.466200023</v>
      </c>
      <c r="V9" s="25" t="n">
        <v>61040.51051487679</v>
      </c>
      <c r="W9" s="25" t="n">
        <v>201559.4648534211</v>
      </c>
      <c r="X9" s="25" t="n">
        <v>166978.2366411112</v>
      </c>
      <c r="Y9" s="25">
        <f>X9 / 12</f>
        <v/>
      </c>
      <c r="Z9" s="17" t="n">
        <v>173</v>
      </c>
      <c r="AA9" s="25">
        <f>I9</f>
        <v/>
      </c>
      <c r="AB9" s="25">
        <f>Q9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 t="n">
        <v>1827185.615739323</v>
      </c>
      <c r="J10" s="19">
        <f>I10 * (0.01000000 / 12)</f>
        <v/>
      </c>
      <c r="K10" s="19">
        <f>(I10 - J10) * (0.00664805 / 12) * 1.0</f>
        <v/>
      </c>
      <c r="L10" s="19" t="n">
        <v>64587.84770732504</v>
      </c>
      <c r="M10" s="24">
        <f>(I10 - J10) - K10 + L10</f>
        <v/>
      </c>
      <c r="N10" s="24">
        <f>M10 * (0.00400000 / 12) * 1.0</f>
        <v/>
      </c>
      <c r="O10" s="24">
        <f>M10 * (0.00500000 / 12) * 1.0</f>
        <v/>
      </c>
      <c r="P10" s="24">
        <f>Y10</f>
        <v/>
      </c>
      <c r="Q10" s="24">
        <f>MAX(0, M10 - N10 - O10 - P10)</f>
        <v/>
      </c>
      <c r="R10" s="24" t="n">
        <v>933743.3515507227</v>
      </c>
      <c r="S10" s="24" t="n">
        <v>114842.2120607883</v>
      </c>
      <c r="T10" s="24" t="n">
        <v>288802.8653770127</v>
      </c>
      <c r="U10" s="24" t="n">
        <v>266849.1824341328</v>
      </c>
      <c r="V10" s="24" t="n">
        <v>62587.48659177517</v>
      </c>
      <c r="W10" s="24" t="n">
        <v>206667.6736080757</v>
      </c>
      <c r="X10" s="24" t="n">
        <v>171956.1853319258</v>
      </c>
      <c r="Y10" s="24">
        <f>X10 / 12</f>
        <v/>
      </c>
      <c r="Z10" s="15" t="n">
        <v>172</v>
      </c>
      <c r="AA10" s="24">
        <f>I10</f>
        <v/>
      </c>
      <c r="AB10" s="24">
        <f>Q10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 t="n">
        <v>1873492.771622507</v>
      </c>
      <c r="J11" s="21">
        <f>I11 * (0.01000000 / 12)</f>
        <v/>
      </c>
      <c r="K11" s="21">
        <f>(I11 - J11) * (0.00664805 / 12) * 1.0</f>
        <v/>
      </c>
      <c r="L11" s="21" t="n">
        <v>26091.98934749464</v>
      </c>
      <c r="M11" s="25">
        <f>(I11 - J11) - K11 + L11</f>
        <v/>
      </c>
      <c r="N11" s="25">
        <f>M11 * (0.00400000 / 12) * 1.0</f>
        <v/>
      </c>
      <c r="O11" s="25">
        <f>M11 * (0.00500000 / 12) * 1.0</f>
        <v/>
      </c>
      <c r="P11" s="25">
        <f>Y11</f>
        <v/>
      </c>
      <c r="Q11" s="25">
        <f>MAX(0, M11 - N11 - O11 - P11)</f>
        <v/>
      </c>
      <c r="R11" s="25" t="n">
        <v>937541.0369023751</v>
      </c>
      <c r="S11" s="25" t="n">
        <v>115309.2939262391</v>
      </c>
      <c r="T11" s="25" t="n">
        <v>289977.4733777401</v>
      </c>
      <c r="U11" s="25" t="n">
        <v>267934.5012527862</v>
      </c>
      <c r="V11" s="25" t="n">
        <v>62842.04003050281</v>
      </c>
      <c r="W11" s="25" t="n">
        <v>207508.2244890196</v>
      </c>
      <c r="X11" s="25" t="n">
        <v>173413.7841732201</v>
      </c>
      <c r="Y11" s="25">
        <f>X11 / 12</f>
        <v/>
      </c>
      <c r="Z11" s="17" t="n">
        <v>171</v>
      </c>
      <c r="AA11" s="25">
        <f>I11</f>
        <v/>
      </c>
      <c r="AB11" s="25">
        <f>Q11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 t="n">
        <v>1881112.569978663</v>
      </c>
      <c r="J12" s="19">
        <f>I12 * (0.01000000 / 12)</f>
        <v/>
      </c>
      <c r="K12" s="19">
        <f>(I12 - J12) * (0.00664805 / 12) * 1.0</f>
        <v/>
      </c>
      <c r="L12" s="19" t="n">
        <v>106647.2270478169</v>
      </c>
      <c r="M12" s="24">
        <f>(I12 - J12) - K12 + L12</f>
        <v/>
      </c>
      <c r="N12" s="24">
        <f>M12 * (0.00400000 / 12) * 1.0</f>
        <v/>
      </c>
      <c r="O12" s="24">
        <f>M12 * (0.00500000 / 12) * 1.0</f>
        <v/>
      </c>
      <c r="P12" s="24">
        <f>Y12</f>
        <v/>
      </c>
      <c r="Q12" s="24">
        <f>MAX(0, M12 - N12 - O12 - P12)</f>
        <v/>
      </c>
      <c r="R12" s="24" t="n">
        <v>981081.1565816452</v>
      </c>
      <c r="S12" s="24" t="n">
        <v>120664.345342728</v>
      </c>
      <c r="T12" s="24" t="n">
        <v>303444.2480555443</v>
      </c>
      <c r="U12" s="24" t="n">
        <v>280377.5835196658</v>
      </c>
      <c r="V12" s="24" t="n">
        <v>65760.47222293013</v>
      </c>
      <c r="W12" s="24" t="n">
        <v>217145.0644491519</v>
      </c>
      <c r="X12" s="24" t="n">
        <v>182270.3217193864</v>
      </c>
      <c r="Y12" s="24">
        <f>X12 / 12</f>
        <v/>
      </c>
      <c r="Z12" s="15" t="n">
        <v>170</v>
      </c>
      <c r="AA12" s="24">
        <f>I12</f>
        <v/>
      </c>
      <c r="AB12" s="24">
        <f>Q12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 t="n">
        <v>1968472.870171665</v>
      </c>
      <c r="J13" s="21">
        <f>I13 * (0.01000000 / 12)</f>
        <v/>
      </c>
      <c r="K13" s="21">
        <f>(I13 - J13) * (0.00664805 / 12) * 1.0</f>
        <v/>
      </c>
      <c r="L13" s="21" t="n">
        <v>95400.04285754397</v>
      </c>
      <c r="M13" s="25">
        <f>(I13 - J13) - K13 + L13</f>
        <v/>
      </c>
      <c r="N13" s="25">
        <f>M13 * (0.00400000 / 12) * 1.0</f>
        <v/>
      </c>
      <c r="O13" s="25">
        <f>M13 * (0.00500000 / 12) * 1.0</f>
        <v/>
      </c>
      <c r="P13" s="25">
        <f>Y13</f>
        <v/>
      </c>
      <c r="Q13" s="25">
        <f>MAX(0, M13 - N13 - O13 - P13)</f>
        <v/>
      </c>
      <c r="R13" s="25" t="n">
        <v>1018602.347439782</v>
      </c>
      <c r="S13" s="25" t="n">
        <v>125279.1215016664</v>
      </c>
      <c r="T13" s="25" t="n">
        <v>315049.3935317518</v>
      </c>
      <c r="U13" s="25" t="n">
        <v>291100.550476079</v>
      </c>
      <c r="V13" s="25" t="n">
        <v>68275.46419137738</v>
      </c>
      <c r="W13" s="25" t="n">
        <v>225449.7203407067</v>
      </c>
      <c r="X13" s="25" t="n">
        <v>190085.1633979224</v>
      </c>
      <c r="Y13" s="25">
        <f>X13 / 12</f>
        <v/>
      </c>
      <c r="Z13" s="17" t="n">
        <v>169</v>
      </c>
      <c r="AA13" s="25">
        <f>I13</f>
        <v/>
      </c>
      <c r="AB13" s="25">
        <f>Q13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 t="n">
        <v>2043756.597481364</v>
      </c>
      <c r="J14" s="19">
        <f>I14 * (0.01000000 / 12)</f>
        <v/>
      </c>
      <c r="K14" s="19">
        <f>(I14 - J14) * (0.00664805 / 12) * 1.0</f>
        <v/>
      </c>
      <c r="L14" s="19" t="n">
        <v>63891.36067067851</v>
      </c>
      <c r="M14" s="24">
        <f>(I14 - J14) - K14 + L14</f>
        <v/>
      </c>
      <c r="N14" s="24">
        <f>M14 * (0.00400000 / 12) * 1.0</f>
        <v/>
      </c>
      <c r="O14" s="24">
        <f>M14 * (0.00500000 / 12) * 1.0</f>
        <v/>
      </c>
      <c r="P14" s="24">
        <f>Y14</f>
        <v/>
      </c>
      <c r="Q14" s="24">
        <f>MAX(0, M14 - N14 - O14 - P14)</f>
        <v/>
      </c>
      <c r="R14" s="24" t="n">
        <v>1040148.114672035</v>
      </c>
      <c r="S14" s="24" t="n">
        <v>127929.0611937558</v>
      </c>
      <c r="T14" s="24" t="n">
        <v>321713.4081167946</v>
      </c>
      <c r="U14" s="24" t="n">
        <v>297257.992305565</v>
      </c>
      <c r="V14" s="24" t="n">
        <v>69719.64627365793</v>
      </c>
      <c r="W14" s="24" t="n">
        <v>230218.4970956852</v>
      </c>
      <c r="X14" s="24" t="n">
        <v>194978.2925527743</v>
      </c>
      <c r="Y14" s="24">
        <f>X14 / 12</f>
        <v/>
      </c>
      <c r="Z14" s="15" t="n">
        <v>168</v>
      </c>
      <c r="AA14" s="24">
        <f>I14</f>
        <v/>
      </c>
      <c r="AB14" s="24">
        <f>Q14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 t="n">
        <v>2086986.719657494</v>
      </c>
      <c r="J15" s="21">
        <f>I15 * (0.01000000 / 12)</f>
        <v/>
      </c>
      <c r="K15" s="21">
        <f>(I15 - J15) * (0.00664805 / 12) * 1.0</f>
        <v/>
      </c>
      <c r="L15" s="21" t="n">
        <v>96095.2401520836</v>
      </c>
      <c r="M15" s="25">
        <f>(I15 - J15) - K15 + L15</f>
        <v/>
      </c>
      <c r="N15" s="25">
        <f>M15 * (0.00400000 / 12) * 1.0</f>
        <v/>
      </c>
      <c r="O15" s="25">
        <f>M15 * (0.00500000 / 12) * 1.0</f>
        <v/>
      </c>
      <c r="P15" s="25">
        <f>Y15</f>
        <v/>
      </c>
      <c r="Q15" s="25">
        <f>MAX(0, M15 - N15 - O15 - P15)</f>
        <v/>
      </c>
      <c r="R15" s="25" t="n">
        <v>1077358.452748245</v>
      </c>
      <c r="S15" s="25" t="n">
        <v>132505.6051970996</v>
      </c>
      <c r="T15" s="25" t="n">
        <v>333222.4081436322</v>
      </c>
      <c r="U15" s="25" t="n">
        <v>307892.1224198448</v>
      </c>
      <c r="V15" s="25" t="n">
        <v>72213.80222299074</v>
      </c>
      <c r="W15" s="25" t="n">
        <v>238454.3511894345</v>
      </c>
      <c r="X15" s="25" t="n">
        <v>202868.2209450802</v>
      </c>
      <c r="Y15" s="25">
        <f>X15 / 12</f>
        <v/>
      </c>
      <c r="Z15" s="17" t="n">
        <v>167</v>
      </c>
      <c r="AA15" s="25">
        <f>I15</f>
        <v/>
      </c>
      <c r="AB15" s="25">
        <f>Q15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 t="n">
        <v>2161646.741921247</v>
      </c>
      <c r="J16" s="19">
        <f>I16 * (0.01000000 / 12)</f>
        <v/>
      </c>
      <c r="K16" s="19">
        <f>(I16 - J16) * (0.00664805 / 12) * 1.0</f>
        <v/>
      </c>
      <c r="L16" s="19" t="n">
        <v>92097.07767494931</v>
      </c>
      <c r="M16" s="24">
        <f>(I16 - J16) - K16 + L16</f>
        <v/>
      </c>
      <c r="N16" s="24">
        <f>M16 * (0.00400000 / 12) * 1.0</f>
        <v/>
      </c>
      <c r="O16" s="24">
        <f>M16 * (0.00500000 / 12) * 1.0</f>
        <v/>
      </c>
      <c r="P16" s="24">
        <f>Y16</f>
        <v/>
      </c>
      <c r="Q16" s="24">
        <f>MAX(0, M16 - N16 - O16 - P16)</f>
        <v/>
      </c>
      <c r="R16" s="24" t="n">
        <v>1112186.051782777</v>
      </c>
      <c r="S16" s="24" t="n">
        <v>136789.0932746848</v>
      </c>
      <c r="T16" s="24" t="n">
        <v>343994.4370728559</v>
      </c>
      <c r="U16" s="24" t="n">
        <v>317845.3031445849</v>
      </c>
      <c r="V16" s="24" t="n">
        <v>74548.24656894238</v>
      </c>
      <c r="W16" s="24" t="n">
        <v>246162.8278900911</v>
      </c>
      <c r="X16" s="24" t="n">
        <v>210382.369329595</v>
      </c>
      <c r="Y16" s="24">
        <f>X16 / 12</f>
        <v/>
      </c>
      <c r="Z16" s="15" t="n">
        <v>166</v>
      </c>
      <c r="AA16" s="24">
        <f>I16</f>
        <v/>
      </c>
      <c r="AB16" s="24">
        <f>Q16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 t="n">
        <v>2231525.959733936</v>
      </c>
      <c r="J17" s="21">
        <f>I17 * (0.01000000 / 12)</f>
        <v/>
      </c>
      <c r="K17" s="21">
        <f>(I17 - J17) * (0.00664805 / 12) * 1.0</f>
        <v/>
      </c>
      <c r="L17" s="21" t="n">
        <v>93069.41854328895</v>
      </c>
      <c r="M17" s="25">
        <f>(I17 - J17) - K17 + L17</f>
        <v/>
      </c>
      <c r="N17" s="25">
        <f>M17 * (0.00400000 / 12) * 1.0</f>
        <v/>
      </c>
      <c r="O17" s="25">
        <f>M17 * (0.00500000 / 12) * 1.0</f>
        <v/>
      </c>
      <c r="P17" s="25">
        <f>Y17</f>
        <v/>
      </c>
      <c r="Q17" s="25">
        <f>MAX(0, M17 - N17 - O17 - P17)</f>
        <v/>
      </c>
      <c r="R17" s="25" t="n">
        <v>1147107.686772693</v>
      </c>
      <c r="S17" s="25" t="n">
        <v>141084.1469469395</v>
      </c>
      <c r="T17" s="25" t="n">
        <v>354795.5509249528</v>
      </c>
      <c r="U17" s="25" t="n">
        <v>327825.3578682367</v>
      </c>
      <c r="V17" s="25" t="n">
        <v>76888.99401101454</v>
      </c>
      <c r="W17" s="25" t="n">
        <v>253892.1177961132</v>
      </c>
      <c r="X17" s="25" t="n">
        <v>217986.5808084427</v>
      </c>
      <c r="Y17" s="25">
        <f>X17 / 12</f>
        <v/>
      </c>
      <c r="Z17" s="17" t="n">
        <v>165</v>
      </c>
      <c r="AA17" s="25">
        <f>I17</f>
        <v/>
      </c>
      <c r="AB17" s="25">
        <f>Q17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 t="n">
        <v>2301593.85431995</v>
      </c>
      <c r="J18" s="19">
        <f>I18 * (0.01000000 / 12)</f>
        <v/>
      </c>
      <c r="K18" s="19">
        <f>(I18 - J18) * (0.00664805 / 12) * 1.0</f>
        <v/>
      </c>
      <c r="L18" s="19" t="n">
        <v>82582.80976725506</v>
      </c>
      <c r="M18" s="24">
        <f>(I18 - J18) - K18 + L18</f>
        <v/>
      </c>
      <c r="N18" s="24">
        <f>M18 * (0.00400000 / 12) * 1.0</f>
        <v/>
      </c>
      <c r="O18" s="24">
        <f>M18 * (0.00500000 / 12) * 1.0</f>
        <v/>
      </c>
      <c r="P18" s="24">
        <f>Y18</f>
        <v/>
      </c>
      <c r="Q18" s="24">
        <f>MAX(0, M18 - N18 - O18 - P18)</f>
        <v/>
      </c>
      <c r="R18" s="24" t="n">
        <v>1176457.451872668</v>
      </c>
      <c r="S18" s="24" t="n">
        <v>144693.9096745112</v>
      </c>
      <c r="T18" s="24" t="n">
        <v>363873.3090101246</v>
      </c>
      <c r="U18" s="24" t="n">
        <v>336213.0597014601</v>
      </c>
      <c r="V18" s="24" t="n">
        <v>78856.26695235945</v>
      </c>
      <c r="W18" s="24" t="n">
        <v>260388.1722676998</v>
      </c>
      <c r="X18" s="24" t="n">
        <v>224600.7657154144</v>
      </c>
      <c r="Y18" s="24">
        <f>X18 / 12</f>
        <v/>
      </c>
      <c r="Z18" s="15" t="n">
        <v>164</v>
      </c>
      <c r="AA18" s="24">
        <f>I18</f>
        <v/>
      </c>
      <c r="AB18" s="24">
        <f>Q18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 t="n">
        <v>2360482.169478823</v>
      </c>
      <c r="J19" s="21">
        <f>I19 * (0.01000000 / 12)</f>
        <v/>
      </c>
      <c r="K19" s="21">
        <f>(I19 - J19) * (0.00664805 / 12) * 1.0</f>
        <v/>
      </c>
      <c r="L19" s="21" t="n">
        <v>57114.32883030197</v>
      </c>
      <c r="M19" s="25">
        <f>(I19 - J19) - K19 + L19</f>
        <v/>
      </c>
      <c r="N19" s="25">
        <f>M19 * (0.00400000 / 12) * 1.0</f>
        <v/>
      </c>
      <c r="O19" s="25">
        <f>M19 * (0.00500000 / 12) * 1.0</f>
        <v/>
      </c>
      <c r="P19" s="25">
        <f>Y19</f>
        <v/>
      </c>
      <c r="Q19" s="25">
        <f>MAX(0, M19 - N19 - O19 - P19)</f>
        <v/>
      </c>
      <c r="R19" s="25" t="n">
        <v>1192886.152571742</v>
      </c>
      <c r="S19" s="25" t="n">
        <v>146714.4952309522</v>
      </c>
      <c r="T19" s="25" t="n">
        <v>368954.6365809544</v>
      </c>
      <c r="U19" s="25" t="n">
        <v>340908.1242957322</v>
      </c>
      <c r="V19" s="25" t="n">
        <v>79957.45935497835</v>
      </c>
      <c r="W19" s="25" t="n">
        <v>264024.3763148207</v>
      </c>
      <c r="X19" s="25" t="n">
        <v>228801.7848565753</v>
      </c>
      <c r="Y19" s="25">
        <f>X19 / 12</f>
        <v/>
      </c>
      <c r="Z19" s="17" t="n">
        <v>163</v>
      </c>
      <c r="AA19" s="25">
        <f>I19</f>
        <v/>
      </c>
      <c r="AB19" s="25">
        <f>Q19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 t="n">
        <v>2393445.24434918</v>
      </c>
      <c r="J20" s="19">
        <f>I20 * (0.01000000 / 12)</f>
        <v/>
      </c>
      <c r="K20" s="19">
        <f>(I20 - J20) * (0.00664805 / 12) * 1.0</f>
        <v/>
      </c>
      <c r="L20" s="19" t="n">
        <v>92682.82282769078</v>
      </c>
      <c r="M20" s="24">
        <f>(I20 - J20) - K20 + L20</f>
        <v/>
      </c>
      <c r="N20" s="24">
        <f>M20 * (0.00400000 / 12) * 1.0</f>
        <v/>
      </c>
      <c r="O20" s="24">
        <f>M20 * (0.00500000 / 12) * 1.0</f>
        <v/>
      </c>
      <c r="P20" s="24">
        <f>Y20</f>
        <v/>
      </c>
      <c r="Q20" s="24">
        <f>MAX(0, M20 - N20 - O20 - P20)</f>
        <v/>
      </c>
      <c r="R20" s="24" t="n">
        <v>1226678.458988581</v>
      </c>
      <c r="S20" s="24" t="n">
        <v>150870.6514307267</v>
      </c>
      <c r="T20" s="24" t="n">
        <v>379406.4538867196</v>
      </c>
      <c r="U20" s="24" t="n">
        <v>350565.4346529319</v>
      </c>
      <c r="V20" s="24" t="n">
        <v>82222.50951170138</v>
      </c>
      <c r="W20" s="24" t="n">
        <v>271503.7091972673</v>
      </c>
      <c r="X20" s="24" t="n">
        <v>236391.9703325252</v>
      </c>
      <c r="Y20" s="24">
        <f>X20 / 12</f>
        <v/>
      </c>
      <c r="Z20" s="15" t="n">
        <v>162</v>
      </c>
      <c r="AA20" s="24">
        <f>I20</f>
        <v/>
      </c>
      <c r="AB20" s="24">
        <f>Q20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 t="n">
        <v>2461247.217667928</v>
      </c>
      <c r="J21" s="21">
        <f>I21 * (0.01000000 / 12)</f>
        <v/>
      </c>
      <c r="K21" s="21">
        <f>(I21 - J21) * (0.00664805 / 12) * 1.0</f>
        <v/>
      </c>
      <c r="L21" s="21" t="n">
        <v>55708.64147590778</v>
      </c>
      <c r="M21" s="25">
        <f>(I21 - J21) - K21 + L21</f>
        <v/>
      </c>
      <c r="N21" s="25">
        <f>M21 * (0.00400000 / 12) * 1.0</f>
        <v/>
      </c>
      <c r="O21" s="25">
        <f>M21 * (0.00500000 / 12) * 1.0</f>
        <v/>
      </c>
      <c r="P21" s="25">
        <f>Y21</f>
        <v/>
      </c>
      <c r="Q21" s="25">
        <f>MAX(0, M21 - N21 - O21 - P21)</f>
        <v/>
      </c>
      <c r="R21" s="25" t="n">
        <v>1241816.217534106</v>
      </c>
      <c r="S21" s="25" t="n">
        <v>152732.4624670495</v>
      </c>
      <c r="T21" s="25" t="n">
        <v>384088.4985150134</v>
      </c>
      <c r="U21" s="25" t="n">
        <v>354891.5682581137</v>
      </c>
      <c r="V21" s="25" t="n">
        <v>83237.17190091587</v>
      </c>
      <c r="W21" s="25" t="n">
        <v>274854.1858962969</v>
      </c>
      <c r="X21" s="25" t="n">
        <v>240445.8319749131</v>
      </c>
      <c r="Y21" s="25">
        <f>X21 / 12</f>
        <v/>
      </c>
      <c r="Z21" s="17" t="n">
        <v>161</v>
      </c>
      <c r="AA21" s="25">
        <f>I21</f>
        <v/>
      </c>
      <c r="AB21" s="25">
        <f>Q21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 t="n">
        <v>2491620.104571495</v>
      </c>
      <c r="J22" s="19">
        <f>I22 * (0.01000000 / 12)</f>
        <v/>
      </c>
      <c r="K22" s="19">
        <f>(I22 - J22) * (0.00664805 / 12) * 1.0</f>
        <v/>
      </c>
      <c r="L22" s="19" t="n">
        <v>110839.9641726627</v>
      </c>
      <c r="M22" s="24">
        <f>(I22 - J22) - K22 + L22</f>
        <v/>
      </c>
      <c r="N22" s="24">
        <f>M22 * (0.00400000 / 12) * 1.0</f>
        <v/>
      </c>
      <c r="O22" s="24">
        <f>M22 * (0.00500000 / 12) * 1.0</f>
        <v/>
      </c>
      <c r="P22" s="24">
        <f>Y22</f>
        <v/>
      </c>
      <c r="Q22" s="24">
        <f>MAX(0, M22 - N22 - O22 - P22)</f>
        <v/>
      </c>
      <c r="R22" s="24" t="n">
        <v>1283989.734486456</v>
      </c>
      <c r="S22" s="24" t="n">
        <v>157919.4337789709</v>
      </c>
      <c r="T22" s="24" t="n">
        <v>397132.5887552671</v>
      </c>
      <c r="U22" s="24" t="n">
        <v>366944.0969325255</v>
      </c>
      <c r="V22" s="24" t="n">
        <v>86064.00265949589</v>
      </c>
      <c r="W22" s="24" t="n">
        <v>284188.552370701</v>
      </c>
      <c r="X22" s="24" t="n">
        <v>249802.0542660924</v>
      </c>
      <c r="Y22" s="24">
        <f>X22 / 12</f>
        <v/>
      </c>
      <c r="Z22" s="15" t="n">
        <v>160</v>
      </c>
      <c r="AA22" s="24">
        <f>I22</f>
        <v/>
      </c>
      <c r="AB22" s="24">
        <f>Q22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 t="n">
        <v>2576238.408983416</v>
      </c>
      <c r="J23" s="21">
        <f>I23 * (0.01000000 / 12)</f>
        <v/>
      </c>
      <c r="K23" s="21">
        <f>(I23 - J23) * (0.00664805 / 12) * 1.0</f>
        <v/>
      </c>
      <c r="L23" s="21" t="n">
        <v>141300.2161101621</v>
      </c>
      <c r="M23" s="25">
        <f>(I23 - J23) - K23 + L23</f>
        <v/>
      </c>
      <c r="N23" s="25">
        <f>M23 * (0.00400000 / 12) * 1.0</f>
        <v/>
      </c>
      <c r="O23" s="25">
        <f>M23 * (0.00500000 / 12) * 1.0</f>
        <v/>
      </c>
      <c r="P23" s="25">
        <f>Y23</f>
        <v/>
      </c>
      <c r="Q23" s="25">
        <f>MAX(0, M23 - N23 - O23 - P23)</f>
        <v/>
      </c>
      <c r="R23" s="25" t="n">
        <v>1340732.298258112</v>
      </c>
      <c r="S23" s="25" t="n">
        <v>164898.269591526</v>
      </c>
      <c r="T23" s="25" t="n">
        <v>414682.8234946916</v>
      </c>
      <c r="U23" s="25" t="n">
        <v>383160.2303342106</v>
      </c>
      <c r="V23" s="25" t="n">
        <v>89867.37587050028</v>
      </c>
      <c r="W23" s="25" t="n">
        <v>296747.5212027367</v>
      </c>
      <c r="X23" s="25" t="n">
        <v>262100.5011156165</v>
      </c>
      <c r="Y23" s="25">
        <f>X23 / 12</f>
        <v/>
      </c>
      <c r="Z23" s="17" t="n">
        <v>159</v>
      </c>
      <c r="AA23" s="25">
        <f>I23</f>
        <v/>
      </c>
      <c r="AB23" s="25">
        <f>Q23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 t="n">
        <v>2690088.518751776</v>
      </c>
      <c r="J24" s="19">
        <f>I24 * (0.01000000 / 12)</f>
        <v/>
      </c>
      <c r="K24" s="19">
        <f>(I24 - J24) * (0.00664805 / 12) * 1.0</f>
        <v/>
      </c>
      <c r="L24" s="19" t="n">
        <v>73069.45327505893</v>
      </c>
      <c r="M24" s="24">
        <f>(I24 - J24) - K24 + L24</f>
        <v/>
      </c>
      <c r="N24" s="24">
        <f>M24 * (0.00400000 / 12) * 1.0</f>
        <v/>
      </c>
      <c r="O24" s="24">
        <f>M24 * (0.00500000 / 12) * 1.0</f>
        <v/>
      </c>
      <c r="P24" s="24">
        <f>Y24</f>
        <v/>
      </c>
      <c r="Q24" s="24">
        <f>MAX(0, M24 - N24 - O24 - P24)</f>
        <v/>
      </c>
      <c r="R24" s="24" t="n">
        <v>1363137.385073986</v>
      </c>
      <c r="S24" s="24" t="n">
        <v>167653.8980274081</v>
      </c>
      <c r="T24" s="24" t="n">
        <v>421612.6219887843</v>
      </c>
      <c r="U24" s="24" t="n">
        <v>389563.252202321</v>
      </c>
      <c r="V24" s="24" t="n">
        <v>91369.15692023658</v>
      </c>
      <c r="W24" s="24" t="n">
        <v>301706.4932388254</v>
      </c>
      <c r="X24" s="24" t="n">
        <v>267777.2948183166</v>
      </c>
      <c r="Y24" s="24">
        <f>X24 / 12</f>
        <v/>
      </c>
      <c r="Z24" s="15" t="n">
        <v>158</v>
      </c>
      <c r="AA24" s="24">
        <f>I24</f>
        <v/>
      </c>
      <c r="AB24" s="24">
        <f>Q24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 t="n">
        <v>2735042.807451562</v>
      </c>
      <c r="J25" s="21">
        <f>I25 * (0.01000000 / 12)</f>
        <v/>
      </c>
      <c r="K25" s="21">
        <f>(I25 - J25) * (0.00664805 / 12) * 1.0</f>
        <v/>
      </c>
      <c r="L25" s="21" t="n">
        <v>103697.8672455006</v>
      </c>
      <c r="M25" s="25">
        <f>(I25 - J25) - K25 + L25</f>
        <v/>
      </c>
      <c r="N25" s="25">
        <f>M25 * (0.00400000 / 12) * 1.0</f>
        <v/>
      </c>
      <c r="O25" s="25">
        <f>M25 * (0.00500000 / 12) * 1.0</f>
        <v/>
      </c>
      <c r="P25" s="25">
        <f>Y25</f>
        <v/>
      </c>
      <c r="Q25" s="25">
        <f>MAX(0, M25 - N25 - O25 - P25)</f>
        <v/>
      </c>
      <c r="R25" s="25" t="n">
        <v>1400388.300309288</v>
      </c>
      <c r="S25" s="25" t="n">
        <v>172235.4326641007</v>
      </c>
      <c r="T25" s="25" t="n">
        <v>433134.1723591348</v>
      </c>
      <c r="U25" s="25" t="n">
        <v>400208.9786312749</v>
      </c>
      <c r="V25" s="25" t="n">
        <v>93866.0326987349</v>
      </c>
      <c r="W25" s="25" t="n">
        <v>309951.3283733043</v>
      </c>
      <c r="X25" s="25" t="n">
        <v>276444.6402629438</v>
      </c>
      <c r="Y25" s="25">
        <f>X25 / 12</f>
        <v/>
      </c>
      <c r="Z25" s="17" t="n">
        <v>157</v>
      </c>
      <c r="AA25" s="25">
        <f>I25</f>
        <v/>
      </c>
      <c r="AB25" s="25">
        <f>Q25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 t="n">
        <v>2809784.245035838</v>
      </c>
      <c r="J26" s="19">
        <f>I26 * (0.01000000 / 12)</f>
        <v/>
      </c>
      <c r="K26" s="19">
        <f>(I26 - J26) * (0.00664805 / 12) * 1.0</f>
        <v/>
      </c>
      <c r="L26" s="19" t="n">
        <v>55689.00066263395</v>
      </c>
      <c r="M26" s="24">
        <f>(I26 - J26) - K26 + L26</f>
        <v/>
      </c>
      <c r="N26" s="24">
        <f>M26 * (0.00400000 / 12) * 1.0</f>
        <v/>
      </c>
      <c r="O26" s="24">
        <f>M26 * (0.00500000 / 12) * 1.0</f>
        <v/>
      </c>
      <c r="P26" s="24">
        <f>Y26</f>
        <v/>
      </c>
      <c r="Q26" s="24">
        <f>MAX(0, M26 - N26 - O26 - P26)</f>
        <v/>
      </c>
      <c r="R26" s="24" t="n">
        <v>1413485.410625917</v>
      </c>
      <c r="S26" s="24" t="n">
        <v>173846.2619330511</v>
      </c>
      <c r="T26" s="24" t="n">
        <v>437185.0531298728</v>
      </c>
      <c r="U26" s="24" t="n">
        <v>403951.9270275743</v>
      </c>
      <c r="V26" s="24" t="n">
        <v>94743.91334438733</v>
      </c>
      <c r="W26" s="24" t="n">
        <v>312850.1434659426</v>
      </c>
      <c r="X26" s="24" t="n">
        <v>280410.3727460189</v>
      </c>
      <c r="Y26" s="24">
        <f>X26 / 12</f>
        <v/>
      </c>
      <c r="Z26" s="15" t="n">
        <v>156</v>
      </c>
      <c r="AA26" s="24">
        <f>I26</f>
        <v/>
      </c>
      <c r="AB26" s="24">
        <f>Q26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 t="n">
        <v>2836062.709526745</v>
      </c>
      <c r="J27" s="21">
        <f>I27 * (0.01000000 / 12)</f>
        <v/>
      </c>
      <c r="K27" s="21">
        <f>(I27 - J27) * (0.00664805 / 12) * 1.0</f>
        <v/>
      </c>
      <c r="L27" s="21" t="n">
        <v>30355.77458303983</v>
      </c>
      <c r="M27" s="25">
        <f>(I27 - J27) - K27 + L27</f>
        <v/>
      </c>
      <c r="N27" s="25">
        <f>M27 * (0.00400000 / 12) * 1.0</f>
        <v/>
      </c>
      <c r="O27" s="25">
        <f>M27 * (0.00500000 / 12) * 1.0</f>
        <v/>
      </c>
      <c r="P27" s="25">
        <f>Y27</f>
        <v/>
      </c>
      <c r="Q27" s="25">
        <f>MAX(0, M27 - N27 - O27 - P27)</f>
        <v/>
      </c>
      <c r="R27" s="25" t="n">
        <v>1413876.682877856</v>
      </c>
      <c r="S27" s="25" t="n">
        <v>173894.3849754868</v>
      </c>
      <c r="T27" s="25" t="n">
        <v>437306.0719808397</v>
      </c>
      <c r="U27" s="25" t="n">
        <v>404063.7464909909</v>
      </c>
      <c r="V27" s="25" t="n">
        <v>94770.13976600664</v>
      </c>
      <c r="W27" s="25" t="n">
        <v>312936.7446994844</v>
      </c>
      <c r="X27" s="25" t="n">
        <v>281886.9796618166</v>
      </c>
      <c r="Y27" s="25">
        <f>X27 / 12</f>
        <v/>
      </c>
      <c r="Z27" s="17" t="n">
        <v>155</v>
      </c>
      <c r="AA27" s="25">
        <f>I27</f>
        <v/>
      </c>
      <c r="AB27" s="25">
        <f>Q27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 t="n">
        <v>2836847.770790664</v>
      </c>
      <c r="J28" s="19">
        <f>I28 * (0.01000000 / 12)</f>
        <v/>
      </c>
      <c r="K28" s="19">
        <f>(I28 - J28) * (0.00664805 / 12) * 1.0</f>
        <v/>
      </c>
      <c r="L28" s="19" t="n">
        <v>140747.9109111282</v>
      </c>
      <c r="M28" s="24">
        <f>(I28 - J28) - K28 + L28</f>
        <v/>
      </c>
      <c r="N28" s="24">
        <f>M28 * (0.00400000 / 12) * 1.0</f>
        <v/>
      </c>
      <c r="O28" s="24">
        <f>M28 * (0.00500000 / 12) * 1.0</f>
        <v/>
      </c>
      <c r="P28" s="24">
        <f>Y28</f>
        <v/>
      </c>
      <c r="Q28" s="24">
        <f>MAX(0, M28 - N28 - O28 - P28)</f>
        <v/>
      </c>
      <c r="R28" s="24" t="n">
        <v>1468729.600040406</v>
      </c>
      <c r="S28" s="24" t="n">
        <v>180640.8108905657</v>
      </c>
      <c r="T28" s="24" t="n">
        <v>454271.8470244028</v>
      </c>
      <c r="U28" s="24" t="n">
        <v>419739.8485747641</v>
      </c>
      <c r="V28" s="24" t="n">
        <v>98446.85265689821</v>
      </c>
      <c r="W28" s="24" t="n">
        <v>325077.4734787295</v>
      </c>
      <c r="X28" s="24" t="n">
        <v>294295.7578923728</v>
      </c>
      <c r="Y28" s="24">
        <f>X28 / 12</f>
        <v/>
      </c>
      <c r="Z28" s="15" t="n">
        <v>154</v>
      </c>
      <c r="AA28" s="24">
        <f>I28</f>
        <v/>
      </c>
      <c r="AB28" s="24">
        <f>Q28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 t="n">
        <v>2946906.432665766</v>
      </c>
      <c r="J29" s="21">
        <f>I29 * (0.01000000 / 12)</f>
        <v/>
      </c>
      <c r="K29" s="21">
        <f>(I29 - J29) * (0.00664805 / 12) * 1.0</f>
        <v/>
      </c>
      <c r="L29" s="21" t="n">
        <v>154129.9468354338</v>
      </c>
      <c r="M29" s="25">
        <f>(I29 - J29) - K29 + L29</f>
        <v/>
      </c>
      <c r="N29" s="25">
        <f>M29 * (0.00400000 / 12) * 1.0</f>
        <v/>
      </c>
      <c r="O29" s="25">
        <f>M29 * (0.00500000 / 12) * 1.0</f>
        <v/>
      </c>
      <c r="P29" s="25">
        <f>Y29</f>
        <v/>
      </c>
      <c r="Q29" s="25">
        <f>MAX(0, M29 - N29 - O29 - P29)</f>
        <v/>
      </c>
      <c r="R29" s="25" t="n">
        <v>1529559.139494682</v>
      </c>
      <c r="S29" s="25" t="n">
        <v>188122.3087325222</v>
      </c>
      <c r="T29" s="25" t="n">
        <v>473086.1660391333</v>
      </c>
      <c r="U29" s="25" t="n">
        <v>437123.9754274592</v>
      </c>
      <c r="V29" s="25" t="n">
        <v>102524.1700253759</v>
      </c>
      <c r="W29" s="25" t="n">
        <v>338541.0225201097</v>
      </c>
      <c r="X29" s="25" t="n">
        <v>308038.6912463552</v>
      </c>
      <c r="Y29" s="25">
        <f>X29 / 12</f>
        <v/>
      </c>
      <c r="Z29" s="17" t="n">
        <v>153</v>
      </c>
      <c r="AA29" s="25">
        <f>I29</f>
        <v/>
      </c>
      <c r="AB29" s="25">
        <f>Q29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 t="n">
        <v>3068956.782239282</v>
      </c>
      <c r="J30" s="19">
        <f>I30 * (0.01000000 / 12)</f>
        <v/>
      </c>
      <c r="K30" s="19">
        <f>(I30 - J30) * (0.00664805 / 12) * 1.0</f>
        <v/>
      </c>
      <c r="L30" s="19" t="n">
        <v>144453.2238721215</v>
      </c>
      <c r="M30" s="24">
        <f>(I30 - J30) - K30 + L30</f>
        <v/>
      </c>
      <c r="N30" s="24">
        <f>M30 * (0.00400000 / 12) * 1.0</f>
        <v/>
      </c>
      <c r="O30" s="24">
        <f>M30 * (0.00500000 / 12) * 1.0</f>
        <v/>
      </c>
      <c r="P30" s="24">
        <f>Y30</f>
        <v/>
      </c>
      <c r="Q30" s="24">
        <f>MAX(0, M30 - N30 - O30 - P30)</f>
        <v/>
      </c>
      <c r="R30" s="24" t="n">
        <v>1584908.7656922</v>
      </c>
      <c r="S30" s="24" t="n">
        <v>194929.8254861399</v>
      </c>
      <c r="T30" s="24" t="n">
        <v>490205.5710842586</v>
      </c>
      <c r="U30" s="24" t="n">
        <v>452942.0291510152</v>
      </c>
      <c r="V30" s="24" t="n">
        <v>106234.1766152421</v>
      </c>
      <c r="W30" s="24" t="n">
        <v>350791.6891110099</v>
      </c>
      <c r="X30" s="24" t="n">
        <v>320817.8478948053</v>
      </c>
      <c r="Y30" s="24">
        <f>X30 / 12</f>
        <v/>
      </c>
      <c r="Z30" s="15" t="n">
        <v>152</v>
      </c>
      <c r="AA30" s="24">
        <f>I30</f>
        <v/>
      </c>
      <c r="AB30" s="24">
        <f>Q30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 t="n">
        <v>3180012.057139865</v>
      </c>
      <c r="J31" s="21">
        <f>I31 * (0.01000000 / 12)</f>
        <v/>
      </c>
      <c r="K31" s="21">
        <f>(I31 - J31) * (0.00664805 / 12) * 1.0</f>
        <v/>
      </c>
      <c r="L31" s="21" t="n">
        <v>126589.7277400677</v>
      </c>
      <c r="M31" s="25">
        <f>(I31 - J31) - K31 + L31</f>
        <v/>
      </c>
      <c r="N31" s="25">
        <f>M31 * (0.00400000 / 12) * 1.0</f>
        <v/>
      </c>
      <c r="O31" s="25">
        <f>M31 * (0.00500000 / 12) * 1.0</f>
        <v/>
      </c>
      <c r="P31" s="25">
        <f>Y31</f>
        <v/>
      </c>
      <c r="Q31" s="25">
        <f>MAX(0, M31 - N31 - O31 - P31)</f>
        <v/>
      </c>
      <c r="R31" s="25" t="n">
        <v>1630787.324752987</v>
      </c>
      <c r="S31" s="25" t="n">
        <v>200572.4843601787</v>
      </c>
      <c r="T31" s="25" t="n">
        <v>504395.615162344</v>
      </c>
      <c r="U31" s="25" t="n">
        <v>466053.4006604296</v>
      </c>
      <c r="V31" s="25" t="n">
        <v>109309.3510679419</v>
      </c>
      <c r="W31" s="25" t="n">
        <v>360946.101513344</v>
      </c>
      <c r="X31" s="25" t="n">
        <v>331806.9697968295</v>
      </c>
      <c r="Y31" s="25">
        <f>X31 / 12</f>
        <v/>
      </c>
      <c r="Z31" s="17" t="n">
        <v>151</v>
      </c>
      <c r="AA31" s="25">
        <f>I31</f>
        <v/>
      </c>
      <c r="AB31" s="25">
        <f>Q31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 t="n">
        <v>3272064.277517225</v>
      </c>
      <c r="J32" s="19">
        <f>I32 * (0.01000000 / 12)</f>
        <v/>
      </c>
      <c r="K32" s="19">
        <f>(I32 - J32) * (0.00664805 / 12) * 1.0</f>
        <v/>
      </c>
      <c r="L32" s="19" t="n">
        <v>181425.9344686655</v>
      </c>
      <c r="M32" s="24">
        <f>(I32 - J32) - K32 + L32</f>
        <v/>
      </c>
      <c r="N32" s="24">
        <f>M32 * (0.00400000 / 12) * 1.0</f>
        <v/>
      </c>
      <c r="O32" s="24">
        <f>M32 * (0.00500000 / 12) * 1.0</f>
        <v/>
      </c>
      <c r="P32" s="24">
        <f>Y32</f>
        <v/>
      </c>
      <c r="Q32" s="24">
        <f>MAX(0, M32 - N32 - O32 - P32)</f>
        <v/>
      </c>
      <c r="R32" s="24" t="n">
        <v>1703190.901888953</v>
      </c>
      <c r="S32" s="24" t="n">
        <v>209477.4869453099</v>
      </c>
      <c r="T32" s="24" t="n">
        <v>526789.7350301701</v>
      </c>
      <c r="U32" s="24" t="n">
        <v>486745.2056751073</v>
      </c>
      <c r="V32" s="24" t="n">
        <v>114162.459693206</v>
      </c>
      <c r="W32" s="24" t="n">
        <v>376971.3602985789</v>
      </c>
      <c r="X32" s="24" t="n">
        <v>348340.8036782217</v>
      </c>
      <c r="Y32" s="24">
        <f>X32 / 12</f>
        <v/>
      </c>
      <c r="Z32" s="15" t="n">
        <v>150</v>
      </c>
      <c r="AA32" s="24">
        <f>I32</f>
        <v/>
      </c>
      <c r="AB32" s="24">
        <f>Q32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 t="n">
        <v>3417337.149531326</v>
      </c>
      <c r="J33" s="21">
        <f>I33 * (0.01000000 / 12)</f>
        <v/>
      </c>
      <c r="K33" s="21">
        <f>(I33 - J33) * (0.00664805 / 12) * 1.0</f>
        <v/>
      </c>
      <c r="L33" s="21" t="n">
        <v>175832.2027137199</v>
      </c>
      <c r="M33" s="25">
        <f>(I33 - J33) - K33 + L33</f>
        <v/>
      </c>
      <c r="N33" s="25">
        <f>M33 * (0.00400000 / 12) * 1.0</f>
        <v/>
      </c>
      <c r="O33" s="25">
        <f>M33 * (0.00500000 / 12) * 1.0</f>
        <v/>
      </c>
      <c r="P33" s="25">
        <f>Y33</f>
        <v/>
      </c>
      <c r="Q33" s="25">
        <f>MAX(0, M33 - N33 - O33 - P33)</f>
        <v/>
      </c>
      <c r="R33" s="25" t="n">
        <v>1771990.660245367</v>
      </c>
      <c r="S33" s="25" t="n">
        <v>217939.2515466604</v>
      </c>
      <c r="T33" s="25" t="n">
        <v>548069.2090072323</v>
      </c>
      <c r="U33" s="25" t="n">
        <v>506407.0958921406</v>
      </c>
      <c r="V33" s="25" t="n">
        <v>118774.0094798772</v>
      </c>
      <c r="W33" s="25" t="n">
        <v>392198.9771600045</v>
      </c>
      <c r="X33" s="25" t="n">
        <v>364312.8364058314</v>
      </c>
      <c r="Y33" s="25">
        <f>X33 / 12</f>
        <v/>
      </c>
      <c r="Z33" s="17" t="n">
        <v>149</v>
      </c>
      <c r="AA33" s="25">
        <f>I33</f>
        <v/>
      </c>
      <c r="AB33" s="25">
        <f>Q33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 t="n">
        <v>3555379.203331282</v>
      </c>
      <c r="J34" s="19">
        <f>I34 * (0.01000000 / 12)</f>
        <v/>
      </c>
      <c r="K34" s="19">
        <f>(I34 - J34) * (0.00664805 / 12) * 1.0</f>
        <v/>
      </c>
      <c r="L34" s="19" t="n">
        <v>67447.41367043715</v>
      </c>
      <c r="M34" s="24">
        <f>(I34 - J34) - K34 + L34</f>
        <v/>
      </c>
      <c r="N34" s="24">
        <f>M34 * (0.00400000 / 12) * 1.0</f>
        <v/>
      </c>
      <c r="O34" s="24">
        <f>M34 * (0.00500000 / 12) * 1.0</f>
        <v/>
      </c>
      <c r="P34" s="24">
        <f>Y34</f>
        <v/>
      </c>
      <c r="Q34" s="24">
        <f>MAX(0, M34 - N34 - O34 - P34)</f>
        <v/>
      </c>
      <c r="R34" s="24" t="n">
        <v>1786461.060332346</v>
      </c>
      <c r="S34" s="24" t="n">
        <v>219718.983367651</v>
      </c>
      <c r="T34" s="24" t="n">
        <v>552544.8424897421</v>
      </c>
      <c r="U34" s="24" t="n">
        <v>510542.5089328783</v>
      </c>
      <c r="V34" s="24" t="n">
        <v>119743.9397823713</v>
      </c>
      <c r="W34" s="24" t="n">
        <v>395401.7457978613</v>
      </c>
      <c r="X34" s="24" t="n">
        <v>369230.9258626713</v>
      </c>
      <c r="Y34" s="24">
        <f>X34 / 12</f>
        <v/>
      </c>
      <c r="Z34" s="15" t="n">
        <v>148</v>
      </c>
      <c r="AA34" s="24">
        <f>I34</f>
        <v/>
      </c>
      <c r="AB34" s="24">
        <f>Q34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 t="n">
        <v>3584413.08070285</v>
      </c>
      <c r="J35" s="21">
        <f>I35 * (0.01000000 / 12)</f>
        <v/>
      </c>
      <c r="K35" s="21">
        <f>(I35 - J35) * (0.00664805 / 12) * 1.0</f>
        <v/>
      </c>
      <c r="L35" s="21" t="n">
        <v>150690.7631385141</v>
      </c>
      <c r="M35" s="25">
        <f>(I35 - J35) - K35 + L35</f>
        <v/>
      </c>
      <c r="N35" s="25">
        <f>M35 * (0.00400000 / 12) * 1.0</f>
        <v/>
      </c>
      <c r="O35" s="25">
        <f>M35 * (0.00500000 / 12) * 1.0</f>
        <v/>
      </c>
      <c r="P35" s="25">
        <f>Y35</f>
        <v/>
      </c>
      <c r="Q35" s="25">
        <f>MAX(0, M35 - N35 - O35 - P35)</f>
        <v/>
      </c>
      <c r="R35" s="25" t="n">
        <v>1841798.294382808</v>
      </c>
      <c r="S35" s="25" t="n">
        <v>226524.9759962747</v>
      </c>
      <c r="T35" s="25" t="n">
        <v>569660.4146962486</v>
      </c>
      <c r="U35" s="25" t="n">
        <v>526357.021175464</v>
      </c>
      <c r="V35" s="25" t="n">
        <v>123453.1157442749</v>
      </c>
      <c r="W35" s="25" t="n">
        <v>407649.6696048917</v>
      </c>
      <c r="X35" s="25" t="n">
        <v>382699.3878197078</v>
      </c>
      <c r="Y35" s="25">
        <f>X35 / 12</f>
        <v/>
      </c>
      <c r="Z35" s="17" t="n">
        <v>147</v>
      </c>
      <c r="AA35" s="25">
        <f>I35</f>
        <v/>
      </c>
      <c r="AB35" s="25">
        <f>Q35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 t="n">
        <v>3695443.491599962</v>
      </c>
      <c r="J36" s="19">
        <f>I36 * (0.01000000 / 12)</f>
        <v/>
      </c>
      <c r="K36" s="19">
        <f>(I36 - J36) * (0.00664805 / 12) * 1.0</f>
        <v/>
      </c>
      <c r="L36" s="19" t="n">
        <v>125382.3241637363</v>
      </c>
      <c r="M36" s="24">
        <f>(I36 - J36) - K36 + L36</f>
        <v/>
      </c>
      <c r="N36" s="24">
        <f>M36 * (0.00400000 / 12) * 1.0</f>
        <v/>
      </c>
      <c r="O36" s="24">
        <f>M36 * (0.00500000 / 12) * 1.0</f>
        <v/>
      </c>
      <c r="P36" s="24">
        <f>Y36</f>
        <v/>
      </c>
      <c r="Q36" s="24">
        <f>MAX(0, M36 - N36 - O36 - P36)</f>
        <v/>
      </c>
      <c r="R36" s="24" t="n">
        <v>1883961.768609022</v>
      </c>
      <c r="S36" s="24" t="n">
        <v>231710.7121412924</v>
      </c>
      <c r="T36" s="24" t="n">
        <v>582701.3987638275</v>
      </c>
      <c r="U36" s="24" t="n">
        <v>538406.6797964998</v>
      </c>
      <c r="V36" s="24" t="n">
        <v>126279.2733532295</v>
      </c>
      <c r="W36" s="24" t="n">
        <v>416981.8132984391</v>
      </c>
      <c r="X36" s="24" t="n">
        <v>393567.2614983139</v>
      </c>
      <c r="Y36" s="24">
        <f>X36 / 12</f>
        <v/>
      </c>
      <c r="Z36" s="15" t="n">
        <v>146</v>
      </c>
      <c r="AA36" s="24">
        <f>I36</f>
        <v/>
      </c>
      <c r="AB36" s="24">
        <f>Q36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 t="n">
        <v>3780041.64596231</v>
      </c>
      <c r="J37" s="21">
        <f>I37 * (0.01000000 / 12)</f>
        <v/>
      </c>
      <c r="K37" s="21">
        <f>(I37 - J37) * (0.00664805 / 12) * 1.0</f>
        <v/>
      </c>
      <c r="L37" s="21" t="n">
        <v>99142.77262972365</v>
      </c>
      <c r="M37" s="25">
        <f>(I37 - J37) - K37 + L37</f>
        <v/>
      </c>
      <c r="N37" s="25">
        <f>M37 * (0.00400000 / 12) * 1.0</f>
        <v/>
      </c>
      <c r="O37" s="25">
        <f>M37 * (0.00500000 / 12) * 1.0</f>
        <v/>
      </c>
      <c r="P37" s="25">
        <f>Y37</f>
        <v/>
      </c>
      <c r="Q37" s="25">
        <f>MAX(0, M37 - N37 - O37 - P37)</f>
        <v/>
      </c>
      <c r="R37" s="25" t="n">
        <v>1912628.461203421</v>
      </c>
      <c r="S37" s="25" t="n">
        <v>235236.4629640853</v>
      </c>
      <c r="T37" s="25" t="n">
        <v>591567.8854149987</v>
      </c>
      <c r="U37" s="25" t="n">
        <v>546599.1702374776</v>
      </c>
      <c r="V37" s="25" t="n">
        <v>128200.7609176687</v>
      </c>
      <c r="W37" s="25" t="n">
        <v>423326.6816808304</v>
      </c>
      <c r="X37" s="25" t="n">
        <v>401725.0805187723</v>
      </c>
      <c r="Y37" s="25">
        <f>X37 / 12</f>
        <v/>
      </c>
      <c r="Z37" s="17" t="n">
        <v>145</v>
      </c>
      <c r="AA37" s="25">
        <f>I37</f>
        <v/>
      </c>
      <c r="AB37" s="25">
        <f>Q37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 t="n">
        <v>3837559.422418483</v>
      </c>
      <c r="J38" s="19">
        <f>I38 * (0.01000000 / 12)</f>
        <v/>
      </c>
      <c r="K38" s="19">
        <f>(I38 - J38) * (0.00664805 / 12) * 1.0</f>
        <v/>
      </c>
      <c r="L38" s="19" t="n">
        <v>104213.8094558967</v>
      </c>
      <c r="M38" s="24">
        <f>(I38 - J38) - K38 + L38</f>
        <v/>
      </c>
      <c r="N38" s="24">
        <f>M38 * (0.00400000 / 12) * 1.0</f>
        <v/>
      </c>
      <c r="O38" s="24">
        <f>M38 * (0.00500000 / 12) * 1.0</f>
        <v/>
      </c>
      <c r="P38" s="24">
        <f>Y38</f>
        <v/>
      </c>
      <c r="Q38" s="24">
        <f>MAX(0, M38 - N38 - O38 - P38)</f>
        <v/>
      </c>
      <c r="R38" s="24" t="n">
        <v>1943398.152069906</v>
      </c>
      <c r="S38" s="24" t="n">
        <v>239020.8640606664</v>
      </c>
      <c r="T38" s="24" t="n">
        <v>601084.8205281085</v>
      </c>
      <c r="U38" s="24" t="n">
        <v>555392.6645502738</v>
      </c>
      <c r="V38" s="24" t="n">
        <v>130263.2094602376</v>
      </c>
      <c r="W38" s="24" t="n">
        <v>430137.0117554224</v>
      </c>
      <c r="X38" s="24" t="n">
        <v>410423.4180467397</v>
      </c>
      <c r="Y38" s="24">
        <f>X38 / 12</f>
        <v/>
      </c>
      <c r="Z38" s="15" t="n">
        <v>144</v>
      </c>
      <c r="AA38" s="24">
        <f>I38</f>
        <v/>
      </c>
      <c r="AB38" s="24">
        <f>Q38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 t="n">
        <v>3899296.722424615</v>
      </c>
      <c r="J39" s="21">
        <f>I39 * (0.01000000 / 12)</f>
        <v/>
      </c>
      <c r="K39" s="21">
        <f>(I39 - J39) * (0.00664805 / 12) * 1.0</f>
        <v/>
      </c>
      <c r="L39" s="21" t="n">
        <v>216221.9744099064</v>
      </c>
      <c r="M39" s="25">
        <f>(I39 - J39) - K39 + L39</f>
        <v/>
      </c>
      <c r="N39" s="25">
        <f>M39 * (0.00400000 / 12) * 1.0</f>
        <v/>
      </c>
      <c r="O39" s="25">
        <f>M39 * (0.00500000 / 12) * 1.0</f>
        <v/>
      </c>
      <c r="P39" s="25">
        <f>Y39</f>
        <v/>
      </c>
      <c r="Q39" s="25">
        <f>MAX(0, M39 - N39 - O39 - P39)</f>
        <v/>
      </c>
      <c r="R39" s="25" t="n">
        <v>2029035.318924032</v>
      </c>
      <c r="S39" s="25" t="n">
        <v>249553.4816796443</v>
      </c>
      <c r="T39" s="25" t="n">
        <v>627572.0336677434</v>
      </c>
      <c r="U39" s="25" t="n">
        <v>579866.421630361</v>
      </c>
      <c r="V39" s="25" t="n">
        <v>136003.3467510026</v>
      </c>
      <c r="W39" s="25" t="n">
        <v>449091.2929492173</v>
      </c>
      <c r="X39" s="25" t="n">
        <v>430876.5169761864</v>
      </c>
      <c r="Y39" s="25">
        <f>X39 / 12</f>
        <v/>
      </c>
      <c r="Z39" s="17" t="n">
        <v>143</v>
      </c>
      <c r="AA39" s="25">
        <f>I39</f>
        <v/>
      </c>
      <c r="AB39" s="25">
        <f>Q39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 t="n">
        <v>4071121.895602001</v>
      </c>
      <c r="J40" s="19">
        <f>I40 * (0.01000000 / 12)</f>
        <v/>
      </c>
      <c r="K40" s="19">
        <f>(I40 - J40) * (0.00664805 / 12) * 1.0</f>
        <v/>
      </c>
      <c r="L40" s="19" t="n">
        <v>67147.41836224587</v>
      </c>
      <c r="M40" s="24">
        <f>(I40 - J40) - K40 + L40</f>
        <v/>
      </c>
      <c r="N40" s="24">
        <f>M40 * (0.00400000 / 12) * 1.0</f>
        <v/>
      </c>
      <c r="O40" s="24">
        <f>M40 * (0.00500000 / 12) * 1.0</f>
        <v/>
      </c>
      <c r="P40" s="24">
        <f>Y40</f>
        <v/>
      </c>
      <c r="Q40" s="24">
        <f>MAX(0, M40 - N40 - O40 - P40)</f>
        <v/>
      </c>
      <c r="R40" s="24" t="n">
        <v>2040049.542809368</v>
      </c>
      <c r="S40" s="24" t="n">
        <v>250908.1342541703</v>
      </c>
      <c r="T40" s="24" t="n">
        <v>630978.6864837513</v>
      </c>
      <c r="U40" s="24" t="n">
        <v>583014.1138030196</v>
      </c>
      <c r="V40" s="24" t="n">
        <v>136741.6144865612</v>
      </c>
      <c r="W40" s="24" t="n">
        <v>451529.0977520043</v>
      </c>
      <c r="X40" s="24" t="n">
        <v>435630.180995941</v>
      </c>
      <c r="Y40" s="24">
        <f>X40 / 12</f>
        <v/>
      </c>
      <c r="Z40" s="15" t="n">
        <v>142</v>
      </c>
      <c r="AA40" s="24">
        <f>I40</f>
        <v/>
      </c>
      <c r="AB40" s="24">
        <f>Q40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 t="n">
        <v>4093221.189588875</v>
      </c>
      <c r="J41" s="21">
        <f>I41 * (0.01000000 / 12)</f>
        <v/>
      </c>
      <c r="K41" s="21">
        <f>(I41 - J41) * (0.00664805 / 12) * 1.0</f>
        <v/>
      </c>
      <c r="L41" s="21" t="n">
        <v>107100.4527255097</v>
      </c>
      <c r="M41" s="25">
        <f>(I41 - J41) - K41 + L41</f>
        <v/>
      </c>
      <c r="N41" s="25">
        <f>M41 * (0.00400000 / 12) * 1.0</f>
        <v/>
      </c>
      <c r="O41" s="25">
        <f>M41 * (0.00500000 / 12) * 1.0</f>
        <v/>
      </c>
      <c r="P41" s="25">
        <f>Y41</f>
        <v/>
      </c>
      <c r="Q41" s="25">
        <f>MAX(0, M41 - N41 - O41 - P41)</f>
        <v/>
      </c>
      <c r="R41" s="25" t="n">
        <v>2070563.882725347</v>
      </c>
      <c r="S41" s="25" t="n">
        <v>254661.1294318131</v>
      </c>
      <c r="T41" s="25" t="n">
        <v>640416.6426289675</v>
      </c>
      <c r="U41" s="25" t="n">
        <v>591734.6328252683</v>
      </c>
      <c r="V41" s="25" t="n">
        <v>138786.9472187049</v>
      </c>
      <c r="W41" s="25" t="n">
        <v>458282.9103833321</v>
      </c>
      <c r="X41" s="25" t="n">
        <v>444632.6707800272</v>
      </c>
      <c r="Y41" s="25">
        <f>X41 / 12</f>
        <v/>
      </c>
      <c r="Z41" s="17" t="n">
        <v>141</v>
      </c>
      <c r="AA41" s="25">
        <f>I41</f>
        <v/>
      </c>
      <c r="AB41" s="25">
        <f>Q41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 t="n">
        <v>4154446.145213433</v>
      </c>
      <c r="J42" s="19">
        <f>I42 * (0.01000000 / 12)</f>
        <v/>
      </c>
      <c r="K42" s="19">
        <f>(I42 - J42) * (0.00664805 / 12) * 1.0</f>
        <v/>
      </c>
      <c r="L42" s="19" t="n">
        <v>225528.9270675839</v>
      </c>
      <c r="M42" s="24">
        <f>(I42 - J42) - K42 + L42</f>
        <v/>
      </c>
      <c r="N42" s="24">
        <f>M42 * (0.00400000 / 12) * 1.0</f>
        <v/>
      </c>
      <c r="O42" s="24">
        <f>M42 * (0.00500000 / 12) * 1.0</f>
        <v/>
      </c>
      <c r="P42" s="24">
        <f>Y42</f>
        <v/>
      </c>
      <c r="Q42" s="24">
        <f>MAX(0, M42 - N42 - O42 - P42)</f>
        <v/>
      </c>
      <c r="R42" s="24" t="n">
        <v>2159094.337968212</v>
      </c>
      <c r="S42" s="24" t="n">
        <v>265549.5960516334</v>
      </c>
      <c r="T42" s="24" t="n">
        <v>667798.7376177121</v>
      </c>
      <c r="U42" s="24" t="n">
        <v>617035.2462784679</v>
      </c>
      <c r="V42" s="24" t="n">
        <v>144721.0175082277</v>
      </c>
      <c r="W42" s="24" t="n">
        <v>477877.5700916135</v>
      </c>
      <c r="X42" s="24" t="n">
        <v>466274.4529052178</v>
      </c>
      <c r="Y42" s="24">
        <f>X42 / 12</f>
        <v/>
      </c>
      <c r="Z42" s="15" t="n">
        <v>140</v>
      </c>
      <c r="AA42" s="24">
        <f>I42</f>
        <v/>
      </c>
      <c r="AB42" s="24">
        <f>Q42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 t="n">
        <v>4332076.505515866</v>
      </c>
      <c r="J43" s="21">
        <f>I43 * (0.01000000 / 12)</f>
        <v/>
      </c>
      <c r="K43" s="21">
        <f>(I43 - J43) * (0.00664805 / 12) * 1.0</f>
        <v/>
      </c>
      <c r="L43" s="21" t="n">
        <v>129133.9183069282</v>
      </c>
      <c r="M43" s="25">
        <f>(I43 - J43) - K43 + L43</f>
        <v/>
      </c>
      <c r="N43" s="25">
        <f>M43 * (0.00400000 / 12) * 1.0</f>
        <v/>
      </c>
      <c r="O43" s="25">
        <f>M43 * (0.00500000 / 12) * 1.0</f>
        <v/>
      </c>
      <c r="P43" s="25">
        <f>Y43</f>
        <v/>
      </c>
      <c r="Q43" s="25">
        <f>MAX(0, M43 - N43 - O43 - P43)</f>
        <v/>
      </c>
      <c r="R43" s="25" t="n">
        <v>2198958.268862048</v>
      </c>
      <c r="S43" s="25" t="n">
        <v>270452.5086107252</v>
      </c>
      <c r="T43" s="25" t="n">
        <v>680128.4826683314</v>
      </c>
      <c r="U43" s="25" t="n">
        <v>628427.7315368255</v>
      </c>
      <c r="V43" s="25" t="n">
        <v>147393.0400036702</v>
      </c>
      <c r="W43" s="25" t="n">
        <v>486700.7502995583</v>
      </c>
      <c r="X43" s="25" t="n">
        <v>477602.2370708178</v>
      </c>
      <c r="Y43" s="25">
        <f>X43 / 12</f>
        <v/>
      </c>
      <c r="Z43" s="17" t="n">
        <v>139</v>
      </c>
      <c r="AA43" s="25">
        <f>I43</f>
        <v/>
      </c>
      <c r="AB43" s="25">
        <f>Q43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 t="n">
        <v>4412060.781981159</v>
      </c>
      <c r="J44" s="19">
        <f>I44 * (0.01000000 / 12)</f>
        <v/>
      </c>
      <c r="K44" s="19">
        <f>(I44 - J44) * (0.00664805 / 12) * 1.0</f>
        <v/>
      </c>
      <c r="L44" s="19" t="n">
        <v>157334.8201308698</v>
      </c>
      <c r="M44" s="24">
        <f>(I44 - J44) - K44 + L44</f>
        <v/>
      </c>
      <c r="N44" s="24">
        <f>M44 * (0.00400000 / 12) * 1.0</f>
        <v/>
      </c>
      <c r="O44" s="24">
        <f>M44 * (0.00500000 / 12) * 1.0</f>
        <v/>
      </c>
      <c r="P44" s="24">
        <f>Y44</f>
        <v/>
      </c>
      <c r="Q44" s="24">
        <f>MAX(0, M44 - N44 - O44 - P44)</f>
        <v/>
      </c>
      <c r="R44" s="24" t="n">
        <v>2252184.251587791</v>
      </c>
      <c r="S44" s="24" t="n">
        <v>276998.8359127426</v>
      </c>
      <c r="T44" s="24" t="n">
        <v>696591.0537786618</v>
      </c>
      <c r="U44" s="24" t="n">
        <v>643638.8813147914</v>
      </c>
      <c r="V44" s="24" t="n">
        <v>150960.7017970839</v>
      </c>
      <c r="W44" s="24" t="n">
        <v>498481.3857462949</v>
      </c>
      <c r="X44" s="24" t="n">
        <v>491988.630979864</v>
      </c>
      <c r="Y44" s="24">
        <f>X44 / 12</f>
        <v/>
      </c>
      <c r="Z44" s="15" t="n">
        <v>138</v>
      </c>
      <c r="AA44" s="24">
        <f>I44</f>
        <v/>
      </c>
      <c r="AB44" s="24">
        <f>Q44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 t="n">
        <v>4518855.110137366</v>
      </c>
      <c r="J45" s="21">
        <f>I45 * (0.01000000 / 12)</f>
        <v/>
      </c>
      <c r="K45" s="21">
        <f>(I45 - J45) * (0.00664805 / 12) * 1.0</f>
        <v/>
      </c>
      <c r="L45" s="21" t="n">
        <v>224442.1419428507</v>
      </c>
      <c r="M45" s="25">
        <f>(I45 - J45) - K45 + L45</f>
        <v/>
      </c>
      <c r="N45" s="25">
        <f>M45 * (0.00400000 / 12) * 1.0</f>
        <v/>
      </c>
      <c r="O45" s="25">
        <f>M45 * (0.00500000 / 12) * 1.0</f>
        <v/>
      </c>
      <c r="P45" s="25">
        <f>Y45</f>
        <v/>
      </c>
      <c r="Q45" s="25">
        <f>MAX(0, M45 - N45 - O45 - P45)</f>
        <v/>
      </c>
      <c r="R45" s="25" t="n">
        <v>2337816.96956949</v>
      </c>
      <c r="S45" s="25" t="n">
        <v>287530.9063595774</v>
      </c>
      <c r="T45" s="25" t="n">
        <v>723076.8909008902</v>
      </c>
      <c r="U45" s="25" t="n">
        <v>668111.3669770227</v>
      </c>
      <c r="V45" s="25" t="n">
        <v>156700.5408862682</v>
      </c>
      <c r="W45" s="25" t="n">
        <v>517434.6822603989</v>
      </c>
      <c r="X45" s="25" t="n">
        <v>513672.3608509565</v>
      </c>
      <c r="Y45" s="25">
        <f>X45 / 12</f>
        <v/>
      </c>
      <c r="Z45" s="17" t="n">
        <v>137</v>
      </c>
      <c r="AA45" s="25">
        <f>I45</f>
        <v/>
      </c>
      <c r="AB45" s="25">
        <f>Q45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 t="n">
        <v>4690671.356953647</v>
      </c>
      <c r="J46" s="19">
        <f>I46 * (0.01000000 / 12)</f>
        <v/>
      </c>
      <c r="K46" s="19">
        <f>(I46 - J46) * (0.00664805 / 12) * 1.0</f>
        <v/>
      </c>
      <c r="L46" s="19" t="n">
        <v>165380.5952787689</v>
      </c>
      <c r="M46" s="24">
        <f>(I46 - J46) - K46 + L46</f>
        <v/>
      </c>
      <c r="N46" s="24">
        <f>M46 * (0.00400000 / 12) * 1.0</f>
        <v/>
      </c>
      <c r="O46" s="24">
        <f>M46 * (0.00500000 / 12) * 1.0</f>
        <v/>
      </c>
      <c r="P46" s="24">
        <f>Y46</f>
        <v/>
      </c>
      <c r="Q46" s="24">
        <f>MAX(0, M46 - N46 - O46 - P46)</f>
        <v/>
      </c>
      <c r="R46" s="24" t="n">
        <v>2393218.686858725</v>
      </c>
      <c r="S46" s="24" t="n">
        <v>294344.8298588941</v>
      </c>
      <c r="T46" s="24" t="n">
        <v>740212.4075001419</v>
      </c>
      <c r="U46" s="24" t="n">
        <v>683944.3075163334</v>
      </c>
      <c r="V46" s="24" t="n">
        <v>160414.0390678004</v>
      </c>
      <c r="W46" s="24" t="n">
        <v>529696.8782985751</v>
      </c>
      <c r="X46" s="24" t="n">
        <v>528939.1549194917</v>
      </c>
      <c r="Y46" s="24">
        <f>X46 / 12</f>
        <v/>
      </c>
      <c r="Z46" s="15" t="n">
        <v>136</v>
      </c>
      <c r="AA46" s="24">
        <f>I46</f>
        <v/>
      </c>
      <c r="AB46" s="24">
        <f>Q46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 t="n">
        <v>4801831.149100469</v>
      </c>
      <c r="J47" s="21">
        <f>I47 * (0.01000000 / 12)</f>
        <v/>
      </c>
      <c r="K47" s="21">
        <f>(I47 - J47) * (0.00664805 / 12) * 1.0</f>
        <v/>
      </c>
      <c r="L47" s="21" t="n">
        <v>57189.95490060759</v>
      </c>
      <c r="M47" s="25">
        <f>(I47 - J47) - K47 + L47</f>
        <v/>
      </c>
      <c r="N47" s="25">
        <f>M47 * (0.00400000 / 12) * 1.0</f>
        <v/>
      </c>
      <c r="O47" s="25">
        <f>M47 * (0.00500000 / 12) * 1.0</f>
        <v/>
      </c>
      <c r="P47" s="25">
        <f>Y47</f>
        <v/>
      </c>
      <c r="Q47" s="25">
        <f>MAX(0, M47 - N47 - O47 - P47)</f>
        <v/>
      </c>
      <c r="R47" s="25" t="n">
        <v>2394478.540075354</v>
      </c>
      <c r="S47" s="25" t="n">
        <v>294499.7807134617</v>
      </c>
      <c r="T47" s="25" t="n">
        <v>740602.0747661126</v>
      </c>
      <c r="U47" s="25" t="n">
        <v>684304.3537756039</v>
      </c>
      <c r="V47" s="25" t="n">
        <v>160498.4852340541</v>
      </c>
      <c r="W47" s="25" t="n">
        <v>529975.7246570911</v>
      </c>
      <c r="X47" s="25" t="n">
        <v>532359.9414147611</v>
      </c>
      <c r="Y47" s="25">
        <f>X47 / 12</f>
        <v/>
      </c>
      <c r="Z47" s="17" t="n">
        <v>135</v>
      </c>
      <c r="AA47" s="25">
        <f>I47</f>
        <v/>
      </c>
      <c r="AB47" s="25">
        <f>Q47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 t="n">
        <v>4804358.959221677</v>
      </c>
      <c r="J48" s="19">
        <f>I48 * (0.01000000 / 12)</f>
        <v/>
      </c>
      <c r="K48" s="19">
        <f>(I48 - J48) * (0.00664805 / 12) * 1.0</f>
        <v/>
      </c>
      <c r="L48" s="19" t="n">
        <v>249518.3186489089</v>
      </c>
      <c r="M48" s="24">
        <f>(I48 - J48) - K48 + L48</f>
        <v/>
      </c>
      <c r="N48" s="24">
        <f>M48 * (0.00400000 / 12) * 1.0</f>
        <v/>
      </c>
      <c r="O48" s="24">
        <f>M48 * (0.00500000 / 12) * 1.0</f>
        <v/>
      </c>
      <c r="P48" s="24">
        <f>Y48</f>
        <v/>
      </c>
      <c r="Q48" s="24">
        <f>MAX(0, M48 - N48 - O48 - P48)</f>
        <v/>
      </c>
      <c r="R48" s="24" t="n">
        <v>2490495.273400635</v>
      </c>
      <c r="S48" s="24" t="n">
        <v>306308.9936322078</v>
      </c>
      <c r="T48" s="24" t="n">
        <v>770299.6438705447</v>
      </c>
      <c r="U48" s="24" t="n">
        <v>711744.4279087107</v>
      </c>
      <c r="V48" s="24" t="n">
        <v>166934.3500780734</v>
      </c>
      <c r="W48" s="24" t="n">
        <v>551227.3403937144</v>
      </c>
      <c r="X48" s="24" t="n">
        <v>557025.4439741576</v>
      </c>
      <c r="Y48" s="24">
        <f>X48 / 12</f>
        <v/>
      </c>
      <c r="Z48" s="15" t="n">
        <v>134</v>
      </c>
      <c r="AA48" s="24">
        <f>I48</f>
        <v/>
      </c>
      <c r="AB48" s="24">
        <f>Q48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 t="n">
        <v>4997010.029283886</v>
      </c>
      <c r="J49" s="21">
        <f>I49 * (0.01000000 / 12)</f>
        <v/>
      </c>
      <c r="K49" s="21">
        <f>(I49 - J49) * (0.00664805 / 12) * 1.0</f>
        <v/>
      </c>
      <c r="L49" s="21" t="n">
        <v>253070.6353362186</v>
      </c>
      <c r="M49" s="25">
        <f>(I49 - J49) - K49 + L49</f>
        <v/>
      </c>
      <c r="N49" s="25">
        <f>M49 * (0.00400000 / 12) * 1.0</f>
        <v/>
      </c>
      <c r="O49" s="25">
        <f>M49 * (0.00500000 / 12) * 1.0</f>
        <v/>
      </c>
      <c r="P49" s="25">
        <f>Y49</f>
        <v/>
      </c>
      <c r="Q49" s="25">
        <f>MAX(0, M49 - N49 - O49 - P49)</f>
        <v/>
      </c>
      <c r="R49" s="25" t="n">
        <v>2587033.925357583</v>
      </c>
      <c r="S49" s="25" t="n">
        <v>318182.3979479548</v>
      </c>
      <c r="T49" s="25" t="n">
        <v>800158.6401980662</v>
      </c>
      <c r="U49" s="25" t="n">
        <v>739333.658188339</v>
      </c>
      <c r="V49" s="25" t="n">
        <v>173405.1983844191</v>
      </c>
      <c r="W49" s="25" t="n">
        <v>572594.4736429821</v>
      </c>
      <c r="X49" s="25" t="n">
        <v>582117.2877887702</v>
      </c>
      <c r="Y49" s="25">
        <f>X49 / 12</f>
        <v/>
      </c>
      <c r="Z49" s="17" t="n">
        <v>133</v>
      </c>
      <c r="AA49" s="25">
        <f>I49</f>
        <v/>
      </c>
      <c r="AB49" s="25">
        <f>Q49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 t="n">
        <v>5190708.293719344</v>
      </c>
      <c r="J50" s="19">
        <f>I50 * (0.01000000 / 12)</f>
        <v/>
      </c>
      <c r="K50" s="19">
        <f>(I50 - J50) * (0.00664805 / 12) * 1.0</f>
        <v/>
      </c>
      <c r="L50" s="19" t="n">
        <v>281300.3653417156</v>
      </c>
      <c r="M50" s="24">
        <f>(I50 - J50) - K50 + L50</f>
        <v/>
      </c>
      <c r="N50" s="24">
        <f>M50 * (0.00400000 / 12) * 1.0</f>
        <v/>
      </c>
      <c r="O50" s="24">
        <f>M50 * (0.00500000 / 12) * 1.0</f>
        <v/>
      </c>
      <c r="P50" s="24">
        <f>Y50</f>
        <v/>
      </c>
      <c r="Q50" s="24">
        <f>MAX(0, M50 - N50 - O50 - P50)</f>
        <v/>
      </c>
      <c r="R50" s="24" t="n">
        <v>2696250.912169146</v>
      </c>
      <c r="S50" s="24" t="n">
        <v>331615.1258375011</v>
      </c>
      <c r="T50" s="24" t="n">
        <v>833938.9918189255</v>
      </c>
      <c r="U50" s="24" t="n">
        <v>770546.1574154372</v>
      </c>
      <c r="V50" s="24" t="n">
        <v>180725.8574138092</v>
      </c>
      <c r="W50" s="24" t="n">
        <v>596767.7333993634</v>
      </c>
      <c r="X50" s="24" t="n">
        <v>610396.848762834</v>
      </c>
      <c r="Y50" s="24">
        <f>X50 / 12</f>
        <v/>
      </c>
      <c r="Z50" s="15" t="n">
        <v>132</v>
      </c>
      <c r="AA50" s="24">
        <f>I50</f>
        <v/>
      </c>
      <c r="AB50" s="24">
        <f>Q50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 t="n">
        <v>5409844.778054181</v>
      </c>
      <c r="J51" s="21">
        <f>I51 * (0.01000000 / 12)</f>
        <v/>
      </c>
      <c r="K51" s="21">
        <f>(I51 - J51) * (0.00664805 / 12) * 1.0</f>
        <v/>
      </c>
      <c r="L51" s="21" t="n">
        <v>144962.2691031419</v>
      </c>
      <c r="M51" s="25">
        <f>(I51 - J51) - K51 + L51</f>
        <v/>
      </c>
      <c r="N51" s="25">
        <f>M51 * (0.00400000 / 12) * 1.0</f>
        <v/>
      </c>
      <c r="O51" s="25">
        <f>M51 * (0.00500000 / 12) * 1.0</f>
        <v/>
      </c>
      <c r="P51" s="25">
        <f>Y51</f>
        <v/>
      </c>
      <c r="Q51" s="25">
        <f>MAX(0, M51 - N51 - O51 - P51)</f>
        <v/>
      </c>
      <c r="R51" s="25" t="n">
        <v>2736795.257767959</v>
      </c>
      <c r="S51" s="25" t="n">
        <v>336601.7234152959</v>
      </c>
      <c r="T51" s="25" t="n">
        <v>846479.1862570726</v>
      </c>
      <c r="U51" s="25" t="n">
        <v>782133.0945083784</v>
      </c>
      <c r="V51" s="25" t="n">
        <v>183443.4871375698</v>
      </c>
      <c r="W51" s="25" t="n">
        <v>605741.5114390707</v>
      </c>
      <c r="X51" s="25" t="n">
        <v>623394.2840090708</v>
      </c>
      <c r="Y51" s="25">
        <f>X51 / 12</f>
        <v/>
      </c>
      <c r="Z51" s="17" t="n">
        <v>131</v>
      </c>
      <c r="AA51" s="25">
        <f>I51</f>
        <v/>
      </c>
      <c r="AB51" s="25">
        <f>Q51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 t="n">
        <v>5491194.260525348</v>
      </c>
      <c r="J52" s="19">
        <f>I52 * (0.01000000 / 12)</f>
        <v/>
      </c>
      <c r="K52" s="19">
        <f>(I52 - J52) * (0.00664805 / 12) * 1.0</f>
        <v/>
      </c>
      <c r="L52" s="19" t="n">
        <v>92018.51839440964</v>
      </c>
      <c r="M52" s="24">
        <f>(I52 - J52) - K52 + L52</f>
        <v/>
      </c>
      <c r="N52" s="24">
        <f>M52 * (0.00400000 / 12) * 1.0</f>
        <v/>
      </c>
      <c r="O52" s="24">
        <f>M52 * (0.00500000 / 12) * 1.0</f>
        <v/>
      </c>
      <c r="P52" s="24">
        <f>Y52</f>
        <v/>
      </c>
      <c r="Q52" s="24">
        <f>MAX(0, M52 - N52 - O52 - P52)</f>
        <v/>
      </c>
      <c r="R52" s="24" t="n">
        <v>2750593.337891467</v>
      </c>
      <c r="S52" s="24" t="n">
        <v>338298.7657995271</v>
      </c>
      <c r="T52" s="24" t="n">
        <v>850746.874021331</v>
      </c>
      <c r="U52" s="24" t="n">
        <v>786076.369064501</v>
      </c>
      <c r="V52" s="24" t="n">
        <v>184368.3527907368</v>
      </c>
      <c r="W52" s="24" t="n">
        <v>608795.4738738739</v>
      </c>
      <c r="X52" s="24" t="n">
        <v>630435.6140769832</v>
      </c>
      <c r="Y52" s="24">
        <f>X52 / 12</f>
        <v/>
      </c>
      <c r="Z52" s="15" t="n">
        <v>130</v>
      </c>
      <c r="AA52" s="24">
        <f>I52</f>
        <v/>
      </c>
      <c r="AB52" s="24">
        <f>Q52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 t="n">
        <v>5518879.173441437</v>
      </c>
      <c r="J53" s="21">
        <f>I53 * (0.01000000 / 12)</f>
        <v/>
      </c>
      <c r="K53" s="21">
        <f>(I53 - J53) * (0.00664805 / 12) * 1.0</f>
        <v/>
      </c>
      <c r="L53" s="21" t="n">
        <v>242310.7772420996</v>
      </c>
      <c r="M53" s="25">
        <f>(I53 - J53) - K53 + L53</f>
        <v/>
      </c>
      <c r="N53" s="25">
        <f>M53 * (0.00400000 / 12) * 1.0</f>
        <v/>
      </c>
      <c r="O53" s="25">
        <f>M53 * (0.00500000 / 12) * 1.0</f>
        <v/>
      </c>
      <c r="P53" s="25">
        <f>Y53</f>
        <v/>
      </c>
      <c r="Q53" s="25">
        <f>MAX(0, M53 - N53 - O53 - P53)</f>
        <v/>
      </c>
      <c r="R53" s="25" t="n">
        <v>2838207.245736996</v>
      </c>
      <c r="S53" s="25" t="n">
        <v>349074.5051582709</v>
      </c>
      <c r="T53" s="25" t="n">
        <v>877845.4847805335</v>
      </c>
      <c r="U53" s="25" t="n">
        <v>811115.0476688636</v>
      </c>
      <c r="V53" s="25" t="n">
        <v>190240.9882139805</v>
      </c>
      <c r="W53" s="25" t="n">
        <v>628187.2719306701</v>
      </c>
      <c r="X53" s="25" t="n">
        <v>654603.0391323088</v>
      </c>
      <c r="Y53" s="25">
        <f>X53 / 12</f>
        <v/>
      </c>
      <c r="Z53" s="17" t="n">
        <v>129</v>
      </c>
      <c r="AA53" s="25">
        <f>I53</f>
        <v/>
      </c>
      <c r="AB53" s="25">
        <f>Q53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 t="n">
        <v>5694670.543489315</v>
      </c>
      <c r="J54" s="19">
        <f>I54 * (0.01000000 / 12)</f>
        <v/>
      </c>
      <c r="K54" s="19">
        <f>(I54 - J54) * (0.00664805 / 12) * 1.0</f>
        <v/>
      </c>
      <c r="L54" s="19" t="n">
        <v>307097.7942949446</v>
      </c>
      <c r="M54" s="24">
        <f>(I54 - J54) - K54 + L54</f>
        <v/>
      </c>
      <c r="N54" s="24">
        <f>M54 * (0.00400000 / 12) * 1.0</f>
        <v/>
      </c>
      <c r="O54" s="24">
        <f>M54 * (0.00500000 / 12) * 1.0</f>
        <v/>
      </c>
      <c r="P54" s="24">
        <f>Y54</f>
        <v/>
      </c>
      <c r="Q54" s="24">
        <f>MAX(0, M54 - N54 - O54 - P54)</f>
        <v/>
      </c>
      <c r="R54" s="24" t="n">
        <v>2956585.876929365</v>
      </c>
      <c r="S54" s="24" t="n">
        <v>363634.034652411</v>
      </c>
      <c r="T54" s="24" t="n">
        <v>914459.4942200512</v>
      </c>
      <c r="U54" s="24" t="n">
        <v>844945.8009469387</v>
      </c>
      <c r="V54" s="24" t="n">
        <v>198175.7392140283</v>
      </c>
      <c r="W54" s="24" t="n">
        <v>654388.3005889249</v>
      </c>
      <c r="X54" s="24" t="n">
        <v>686230.6259867678</v>
      </c>
      <c r="Y54" s="24">
        <f>X54 / 12</f>
        <v/>
      </c>
      <c r="Z54" s="15" t="n">
        <v>128</v>
      </c>
      <c r="AA54" s="24">
        <f>I54</f>
        <v/>
      </c>
      <c r="AB54" s="24">
        <f>Q54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 t="n">
        <v>5932189.246551719</v>
      </c>
      <c r="J55" s="21">
        <f>I55 * (0.01000000 / 12)</f>
        <v/>
      </c>
      <c r="K55" s="21">
        <f>(I55 - J55) * (0.00664805 / 12) * 1.0</f>
        <v/>
      </c>
      <c r="L55" s="21" t="n">
        <v>223898.7454860703</v>
      </c>
      <c r="M55" s="25">
        <f>(I55 - J55) - K55 + L55</f>
        <v/>
      </c>
      <c r="N55" s="25">
        <f>M55 * (0.00400000 / 12) * 1.0</f>
        <v/>
      </c>
      <c r="O55" s="25">
        <f>M55 * (0.00500000 / 12) * 1.0</f>
        <v/>
      </c>
      <c r="P55" s="25">
        <f>Y55</f>
        <v/>
      </c>
      <c r="Q55" s="25">
        <f>MAX(0, M55 - N55 - O55 - P55)</f>
        <v/>
      </c>
      <c r="R55" s="25" t="n">
        <v>3032358.967544768</v>
      </c>
      <c r="S55" s="25" t="n">
        <v>372953.4577321081</v>
      </c>
      <c r="T55" s="25" t="n">
        <v>937895.7903413113</v>
      </c>
      <c r="U55" s="25" t="n">
        <v>866600.5599850056</v>
      </c>
      <c r="V55" s="25" t="n">
        <v>203254.701527423</v>
      </c>
      <c r="W55" s="25" t="n">
        <v>671159.3419393904</v>
      </c>
      <c r="X55" s="25" t="n">
        <v>708324.7862723473</v>
      </c>
      <c r="Y55" s="25">
        <f>X55 / 12</f>
        <v/>
      </c>
      <c r="Z55" s="17" t="n">
        <v>127</v>
      </c>
      <c r="AA55" s="25">
        <f>I55</f>
        <v/>
      </c>
      <c r="AB55" s="25">
        <f>Q55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 t="n">
        <v>6084222.819070007</v>
      </c>
      <c r="J56" s="19">
        <f>I56 * (0.01000000 / 12)</f>
        <v/>
      </c>
      <c r="K56" s="19">
        <f>(I56 - J56) * (0.00664805 / 12) * 1.0</f>
        <v/>
      </c>
      <c r="L56" s="19" t="n">
        <v>300464.9604466427</v>
      </c>
      <c r="M56" s="24">
        <f>(I56 - J56) - K56 + L56</f>
        <v/>
      </c>
      <c r="N56" s="24">
        <f>M56 * (0.00400000 / 12) * 1.0</f>
        <v/>
      </c>
      <c r="O56" s="24">
        <f>M56 * (0.00500000 / 12) * 1.0</f>
        <v/>
      </c>
      <c r="P56" s="24">
        <f>Y56</f>
        <v/>
      </c>
      <c r="Q56" s="24">
        <f>MAX(0, M56 - N56 - O56 - P56)</f>
        <v/>
      </c>
      <c r="R56" s="24" t="n">
        <v>3144813.696550305</v>
      </c>
      <c r="S56" s="24" t="n">
        <v>386784.3994081526</v>
      </c>
      <c r="T56" s="24" t="n">
        <v>972677.5619149003</v>
      </c>
      <c r="U56" s="24" t="n">
        <v>898738.3550719991</v>
      </c>
      <c r="V56" s="24" t="n">
        <v>210792.3818034078</v>
      </c>
      <c r="W56" s="24" t="n">
        <v>696049.2190037933</v>
      </c>
      <c r="X56" s="24" t="n">
        <v>739342.9785541059</v>
      </c>
      <c r="Y56" s="24">
        <f>X56 / 12</f>
        <v/>
      </c>
      <c r="Z56" s="15" t="n">
        <v>126</v>
      </c>
      <c r="AA56" s="24">
        <f>I56</f>
        <v/>
      </c>
      <c r="AB56" s="24">
        <f>Q56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 t="n">
        <v>6309855.613752559</v>
      </c>
      <c r="J57" s="21">
        <f>I57 * (0.01000000 / 12)</f>
        <v/>
      </c>
      <c r="K57" s="21">
        <f>(I57 - J57) * (0.00664805 / 12) * 1.0</f>
        <v/>
      </c>
      <c r="L57" s="21" t="n">
        <v>131081.2423865402</v>
      </c>
      <c r="M57" s="25">
        <f>(I57 - J57) - K57 + L57</f>
        <v/>
      </c>
      <c r="N57" s="25">
        <f>M57 * (0.00400000 / 12) * 1.0</f>
        <v/>
      </c>
      <c r="O57" s="25">
        <f>M57 * (0.00500000 / 12) * 1.0</f>
        <v/>
      </c>
      <c r="P57" s="25">
        <f>Y57</f>
        <v/>
      </c>
      <c r="Q57" s="25">
        <f>MAX(0, M57 - N57 - O57 - P57)</f>
        <v/>
      </c>
      <c r="R57" s="25" t="n">
        <v>3172201.521235878</v>
      </c>
      <c r="S57" s="25" t="n">
        <v>390152.8607366329</v>
      </c>
      <c r="T57" s="25" t="n">
        <v>981148.5001363083</v>
      </c>
      <c r="U57" s="25" t="n">
        <v>906565.3651533634</v>
      </c>
      <c r="V57" s="25" t="n">
        <v>212628.1486738647</v>
      </c>
      <c r="W57" s="25" t="n">
        <v>702111.0324598708</v>
      </c>
      <c r="X57" s="25" t="n">
        <v>750651.6000020715</v>
      </c>
      <c r="Y57" s="25">
        <f>X57 / 12</f>
        <v/>
      </c>
      <c r="Z57" s="17" t="n">
        <v>125</v>
      </c>
      <c r="AA57" s="25">
        <f>I57</f>
        <v/>
      </c>
      <c r="AB57" s="25">
        <f>Q57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 t="n">
        <v>6364807.428395918</v>
      </c>
      <c r="J58" s="19">
        <f>I58 * (0.01000000 / 12)</f>
        <v/>
      </c>
      <c r="K58" s="19">
        <f>(I58 - J58) * (0.00664805 / 12) * 1.0</f>
        <v/>
      </c>
      <c r="L58" s="19" t="n">
        <v>344394.5905779902</v>
      </c>
      <c r="M58" s="24">
        <f>(I58 - J58) - K58 + L58</f>
        <v/>
      </c>
      <c r="N58" s="24">
        <f>M58 * (0.00400000 / 12) * 1.0</f>
        <v/>
      </c>
      <c r="O58" s="24">
        <f>M58 * (0.00500000 / 12) * 1.0</f>
        <v/>
      </c>
      <c r="P58" s="24">
        <f>Y58</f>
        <v/>
      </c>
      <c r="Q58" s="24">
        <f>MAX(0, M58 - N58 - O58 - P58)</f>
        <v/>
      </c>
      <c r="R58" s="24" t="n">
        <v>3304253.886999595</v>
      </c>
      <c r="S58" s="24" t="n">
        <v>406394.1392067607</v>
      </c>
      <c r="T58" s="24" t="n">
        <v>1021991.737787252</v>
      </c>
      <c r="U58" s="24" t="n">
        <v>944303.8569820006</v>
      </c>
      <c r="V58" s="24" t="n">
        <v>221479.4306218678</v>
      </c>
      <c r="W58" s="24" t="n">
        <v>731338.5018512261</v>
      </c>
      <c r="X58" s="24" t="n">
        <v>787055.8164810599</v>
      </c>
      <c r="Y58" s="24">
        <f>X58 / 12</f>
        <v/>
      </c>
      <c r="Z58" s="15" t="n">
        <v>124</v>
      </c>
      <c r="AA58" s="24">
        <f>I58</f>
        <v/>
      </c>
      <c r="AB58" s="24">
        <f>Q58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 t="n">
        <v>6629761.553448702</v>
      </c>
      <c r="J59" s="21">
        <f>I59 * (0.01000000 / 12)</f>
        <v/>
      </c>
      <c r="K59" s="21">
        <f>(I59 - J59) * (0.00664805 / 12) * 1.0</f>
        <v/>
      </c>
      <c r="L59" s="21" t="n">
        <v>344227.2494977031</v>
      </c>
      <c r="M59" s="25">
        <f>(I59 - J59) - K59 + L59</f>
        <v/>
      </c>
      <c r="N59" s="25">
        <f>M59 * (0.00400000 / 12) * 1.0</f>
        <v/>
      </c>
      <c r="O59" s="25">
        <f>M59 * (0.00500000 / 12) * 1.0</f>
        <v/>
      </c>
      <c r="P59" s="25">
        <f>Y59</f>
        <v/>
      </c>
      <c r="Q59" s="25">
        <f>MAX(0, M59 - N59 - O59 - P59)</f>
        <v/>
      </c>
      <c r="R59" s="25" t="n">
        <v>3434426.791417589</v>
      </c>
      <c r="S59" s="25" t="n">
        <v>422404.2604771426</v>
      </c>
      <c r="T59" s="25" t="n">
        <v>1062253.666001177</v>
      </c>
      <c r="U59" s="25" t="n">
        <v>981505.2282810081</v>
      </c>
      <c r="V59" s="25" t="n">
        <v>230204.7349534521</v>
      </c>
      <c r="W59" s="25" t="n">
        <v>760149.9855187612</v>
      </c>
      <c r="X59" s="25" t="n">
        <v>823510.589093592</v>
      </c>
      <c r="Y59" s="25">
        <f>X59 / 12</f>
        <v/>
      </c>
      <c r="Z59" s="17" t="n">
        <v>123</v>
      </c>
      <c r="AA59" s="25">
        <f>I59</f>
        <v/>
      </c>
      <c r="AB59" s="25">
        <f>Q59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 t="n">
        <v>6890944.666649129</v>
      </c>
      <c r="J60" s="19">
        <f>I60 * (0.01000000 / 12)</f>
        <v/>
      </c>
      <c r="K60" s="19">
        <f>(I60 - J60) * (0.00664805 / 12) * 1.0</f>
        <v/>
      </c>
      <c r="L60" s="19" t="n">
        <v>389734.4672162181</v>
      </c>
      <c r="M60" s="24">
        <f>(I60 - J60) - K60 + L60</f>
        <v/>
      </c>
      <c r="N60" s="24">
        <f>M60 * (0.00400000 / 12) * 1.0</f>
        <v/>
      </c>
      <c r="O60" s="24">
        <f>M60 * (0.00500000 / 12) * 1.0</f>
        <v/>
      </c>
      <c r="P60" s="24">
        <f>Y60</f>
        <v/>
      </c>
      <c r="Q60" s="24">
        <f>MAX(0, M60 - N60 - O60 - P60)</f>
        <v/>
      </c>
      <c r="R60" s="24" t="n">
        <v>3585243.187551325</v>
      </c>
      <c r="S60" s="24" t="n">
        <v>440953.349494237</v>
      </c>
      <c r="T60" s="24" t="n">
        <v>1108900.538802917</v>
      </c>
      <c r="U60" s="24" t="n">
        <v>1024606.185240018</v>
      </c>
      <c r="V60" s="24" t="n">
        <v>240313.7431248772</v>
      </c>
      <c r="W60" s="24" t="n">
        <v>793530.5431196793</v>
      </c>
      <c r="X60" s="24" t="n">
        <v>865456.2953869615</v>
      </c>
      <c r="Y60" s="24">
        <f>X60 / 12</f>
        <v/>
      </c>
      <c r="Z60" s="15" t="n">
        <v>122</v>
      </c>
      <c r="AA60" s="24">
        <f>I60</f>
        <v/>
      </c>
      <c r="AB60" s="24">
        <f>Q60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 t="n">
        <v>7193547.547333054</v>
      </c>
      <c r="J61" s="21">
        <f>I61 * (0.01000000 / 12)</f>
        <v/>
      </c>
      <c r="K61" s="21">
        <f>(I61 - J61) * (0.00664805 / 12) * 1.0</f>
        <v/>
      </c>
      <c r="L61" s="21" t="n">
        <v>279111.7772941285</v>
      </c>
      <c r="M61" s="25">
        <f>(I61 - J61) - K61 + L61</f>
        <v/>
      </c>
      <c r="N61" s="25">
        <f>M61 * (0.00400000 / 12) * 1.0</f>
        <v/>
      </c>
      <c r="O61" s="25">
        <f>M61 * (0.00500000 / 12) * 1.0</f>
        <v/>
      </c>
      <c r="P61" s="25">
        <f>Y61</f>
        <v/>
      </c>
      <c r="Q61" s="25">
        <f>MAX(0, M61 - N61 - O61 - P61)</f>
        <v/>
      </c>
      <c r="R61" s="25" t="n">
        <v>3679449.639245713</v>
      </c>
      <c r="S61" s="25" t="n">
        <v>452539.9137091401</v>
      </c>
      <c r="T61" s="25" t="n">
        <v>1138038.195463236</v>
      </c>
      <c r="U61" s="25" t="n">
        <v>1051528.909319305</v>
      </c>
      <c r="V61" s="25" t="n">
        <v>246628.2673702056</v>
      </c>
      <c r="W61" s="25" t="n">
        <v>814381.4848460292</v>
      </c>
      <c r="X61" s="25" t="n">
        <v>894232.1157551383</v>
      </c>
      <c r="Y61" s="25">
        <f>X61 / 12</f>
        <v/>
      </c>
      <c r="Z61" s="17" t="n">
        <v>121</v>
      </c>
      <c r="AA61" s="25">
        <f>I61</f>
        <v/>
      </c>
      <c r="AB61" s="25">
        <f>Q61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 t="n">
        <v>7382566.409953629</v>
      </c>
      <c r="J62" s="19">
        <f>I62 * (0.01000000 / 12)</f>
        <v/>
      </c>
      <c r="K62" s="19">
        <f>(I62 - J62) * (0.00664805 / 12) * 1.0</f>
        <v/>
      </c>
      <c r="L62" s="19" t="n">
        <v>274416.732266381</v>
      </c>
      <c r="M62" s="24">
        <f>(I62 - J62) - K62 + L62</f>
        <v/>
      </c>
      <c r="N62" s="24">
        <f>M62 * (0.00400000 / 12) * 1.0</f>
        <v/>
      </c>
      <c r="O62" s="24">
        <f>M62 * (0.00500000 / 12) * 1.0</f>
        <v/>
      </c>
      <c r="P62" s="24">
        <f>Y62</f>
        <v/>
      </c>
      <c r="Q62" s="24">
        <f>MAX(0, M62 - N62 - O62 - P62)</f>
        <v/>
      </c>
      <c r="R62" s="24" t="n">
        <v>3769942.026614295</v>
      </c>
      <c r="S62" s="24" t="n">
        <v>463669.6807086167</v>
      </c>
      <c r="T62" s="24" t="n">
        <v>1166027.10775209</v>
      </c>
      <c r="U62" s="24" t="n">
        <v>1077390.212155588</v>
      </c>
      <c r="V62" s="24" t="n">
        <v>252693.8431750377</v>
      </c>
      <c r="W62" s="24" t="n">
        <v>834410.3837352653</v>
      </c>
      <c r="X62" s="24" t="n">
        <v>922513.4925164097</v>
      </c>
      <c r="Y62" s="24">
        <f>X62 / 12</f>
        <v/>
      </c>
      <c r="Z62" s="15" t="n">
        <v>120</v>
      </c>
      <c r="AA62" s="24">
        <f>I62</f>
        <v/>
      </c>
      <c r="AB62" s="24">
        <f>Q62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 t="n">
        <v>7564133.254140894</v>
      </c>
      <c r="J63" s="21">
        <f>I63 * (0.01000000 / 12)</f>
        <v/>
      </c>
      <c r="K63" s="21">
        <f>(I63 - J63) * (0.00664805 / 12) * 1.0</f>
        <v/>
      </c>
      <c r="L63" s="21" t="n">
        <v>346715.4107324005</v>
      </c>
      <c r="M63" s="25">
        <f>(I63 - J63) - K63 + L63</f>
        <v/>
      </c>
      <c r="N63" s="25">
        <f>M63 * (0.00400000 / 12) * 1.0</f>
        <v/>
      </c>
      <c r="O63" s="25">
        <f>M63 * (0.00500000 / 12) * 1.0</f>
        <v/>
      </c>
      <c r="P63" s="25">
        <f>Y63</f>
        <v/>
      </c>
      <c r="Q63" s="25">
        <f>MAX(0, M63 - N63 - O63 - P63)</f>
        <v/>
      </c>
      <c r="R63" s="25" t="n">
        <v>3894705.104267323</v>
      </c>
      <c r="S63" s="25" t="n">
        <v>479014.440912146</v>
      </c>
      <c r="T63" s="25" t="n">
        <v>1204615.799451591</v>
      </c>
      <c r="U63" s="25" t="n">
        <v>1113045.539943877</v>
      </c>
      <c r="V63" s="25" t="n">
        <v>261056.5345257063</v>
      </c>
      <c r="W63" s="25" t="n">
        <v>862024.4973650045</v>
      </c>
      <c r="X63" s="25" t="n">
        <v>959651.5643132976</v>
      </c>
      <c r="Y63" s="25">
        <f>X63 / 12</f>
        <v/>
      </c>
      <c r="Z63" s="17" t="n">
        <v>119</v>
      </c>
      <c r="AA63" s="25">
        <f>I63</f>
        <v/>
      </c>
      <c r="AB63" s="25">
        <f>Q63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 t="n">
        <v>7814461.916465649</v>
      </c>
      <c r="J64" s="19">
        <f>I64 * (0.01000000 / 12)</f>
        <v/>
      </c>
      <c r="K64" s="19">
        <f>(I64 - J64) * (0.00664805 / 12) * 1.0</f>
        <v/>
      </c>
      <c r="L64" s="19" t="n">
        <v>249698.1193196799</v>
      </c>
      <c r="M64" s="24">
        <f>(I64 - J64) - K64 + L64</f>
        <v/>
      </c>
      <c r="N64" s="24">
        <f>M64 * (0.00400000 / 12) * 1.0</f>
        <v/>
      </c>
      <c r="O64" s="24">
        <f>M64 * (0.00500000 / 12) * 1.0</f>
        <v/>
      </c>
      <c r="P64" s="24">
        <f>Y64</f>
        <v/>
      </c>
      <c r="Q64" s="24">
        <f>MAX(0, M64 - N64 - O64 - P64)</f>
        <v/>
      </c>
      <c r="R64" s="24" t="n">
        <v>3969831.418673311</v>
      </c>
      <c r="S64" s="24" t="n">
        <v>488254.3162119587</v>
      </c>
      <c r="T64" s="24" t="n">
        <v>1227852.050429583</v>
      </c>
      <c r="U64" s="24" t="n">
        <v>1134515.460500991</v>
      </c>
      <c r="V64" s="24" t="n">
        <v>266092.1443512171</v>
      </c>
      <c r="W64" s="24" t="n">
        <v>878652.3861732611</v>
      </c>
      <c r="X64" s="24" t="n">
        <v>985014.9207410461</v>
      </c>
      <c r="Y64" s="24">
        <f>X64 / 12</f>
        <v/>
      </c>
      <c r="Z64" s="15" t="n">
        <v>118</v>
      </c>
      <c r="AA64" s="24">
        <f>I64</f>
        <v/>
      </c>
      <c r="AB64" s="24">
        <f>Q64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 t="n">
        <v>7965197.776340322</v>
      </c>
      <c r="J65" s="21">
        <f>I65 * (0.01000000 / 12)</f>
        <v/>
      </c>
      <c r="K65" s="21">
        <f>(I65 - J65) * (0.00664805 / 12) * 1.0</f>
        <v/>
      </c>
      <c r="L65" s="21" t="n">
        <v>226749.2007787557</v>
      </c>
      <c r="M65" s="25">
        <f>(I65 - J65) - K65 + L65</f>
        <v/>
      </c>
      <c r="N65" s="25">
        <f>M65 * (0.00400000 / 12) * 1.0</f>
        <v/>
      </c>
      <c r="O65" s="25">
        <f>M65 * (0.00500000 / 12) * 1.0</f>
        <v/>
      </c>
      <c r="P65" s="25">
        <f>Y65</f>
        <v/>
      </c>
      <c r="Q65" s="25">
        <f>MAX(0, M65 - N65 - O65 - P65)</f>
        <v/>
      </c>
      <c r="R65" s="25" t="n">
        <v>4032428.956277607</v>
      </c>
      <c r="S65" s="25" t="n">
        <v>495953.2622618522</v>
      </c>
      <c r="T65" s="25" t="n">
        <v>1247213.203786811</v>
      </c>
      <c r="U65" s="25" t="n">
        <v>1152404.853452871</v>
      </c>
      <c r="V65" s="25" t="n">
        <v>270287.9681169023</v>
      </c>
      <c r="W65" s="25" t="n">
        <v>892507.25051986</v>
      </c>
      <c r="X65" s="25" t="n">
        <v>1007628.7751833</v>
      </c>
      <c r="Y65" s="25">
        <f>X65 / 12</f>
        <v/>
      </c>
      <c r="Z65" s="17" t="n">
        <v>117</v>
      </c>
      <c r="AA65" s="25">
        <f>I65</f>
        <v/>
      </c>
      <c r="AB65" s="25">
        <f>Q65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 t="n">
        <v>8090795.494415903</v>
      </c>
      <c r="J66" s="19">
        <f>I66 * (0.01000000 / 12)</f>
        <v/>
      </c>
      <c r="K66" s="19">
        <f>(I66 - J66) * (0.00664805 / 12) * 1.0</f>
        <v/>
      </c>
      <c r="L66" s="19" t="n">
        <v>316667.2042084479</v>
      </c>
      <c r="M66" s="24">
        <f>(I66 - J66) - K66 + L66</f>
        <v/>
      </c>
      <c r="N66" s="24">
        <f>M66 * (0.00400000 / 12) * 1.0</f>
        <v/>
      </c>
      <c r="O66" s="24">
        <f>M66 * (0.00500000 / 12) * 1.0</f>
        <v/>
      </c>
      <c r="P66" s="24">
        <f>Y66</f>
        <v/>
      </c>
      <c r="Q66" s="24">
        <f>MAX(0, M66 - N66 - O66 - P66)</f>
        <v/>
      </c>
      <c r="R66" s="24" t="n">
        <v>4138268.454070953</v>
      </c>
      <c r="S66" s="24" t="n">
        <v>508970.5887357751</v>
      </c>
      <c r="T66" s="24" t="n">
        <v>1279948.912353858</v>
      </c>
      <c r="U66" s="24" t="n">
        <v>1182652.119372878</v>
      </c>
      <c r="V66" s="24" t="n">
        <v>277382.2388691598</v>
      </c>
      <c r="W66" s="24" t="n">
        <v>915932.9624657294</v>
      </c>
      <c r="X66" s="24" t="n">
        <v>1041471.72024416</v>
      </c>
      <c r="Y66" s="24">
        <f>X66 / 12</f>
        <v/>
      </c>
      <c r="Z66" s="15" t="n">
        <v>116</v>
      </c>
      <c r="AA66" s="24">
        <f>I66</f>
        <v/>
      </c>
      <c r="AB66" s="24">
        <f>Q66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 t="n">
        <v>8303155.275868353</v>
      </c>
      <c r="J67" s="21">
        <f>I67 * (0.01000000 / 12)</f>
        <v/>
      </c>
      <c r="K67" s="21">
        <f>(I67 - J67) * (0.00664805 / 12) * 1.0</f>
        <v/>
      </c>
      <c r="L67" s="21" t="n">
        <v>276094.4951066943</v>
      </c>
      <c r="M67" s="25">
        <f>(I67 - J67) - K67 + L67</f>
        <v/>
      </c>
      <c r="N67" s="25">
        <f>M67 * (0.00400000 / 12) * 1.0</f>
        <v/>
      </c>
      <c r="O67" s="25">
        <f>M67 * (0.00500000 / 12) * 1.0</f>
        <v/>
      </c>
      <c r="P67" s="25">
        <f>Y67</f>
        <v/>
      </c>
      <c r="Q67" s="25">
        <f>MAX(0, M67 - N67 - O67 - P67)</f>
        <v/>
      </c>
      <c r="R67" s="25" t="n">
        <v>4222476.573187247</v>
      </c>
      <c r="S67" s="25" t="n">
        <v>519327.4460635761</v>
      </c>
      <c r="T67" s="25" t="n">
        <v>1305994.127078446</v>
      </c>
      <c r="U67" s="25" t="n">
        <v>1206717.477057279</v>
      </c>
      <c r="V67" s="25" t="n">
        <v>283026.5891259589</v>
      </c>
      <c r="W67" s="25" t="n">
        <v>934570.9490685512</v>
      </c>
      <c r="X67" s="25" t="n">
        <v>1070344.326273108</v>
      </c>
      <c r="Y67" s="25">
        <f>X67 / 12</f>
        <v/>
      </c>
      <c r="Z67" s="17" t="n">
        <v>115</v>
      </c>
      <c r="AA67" s="25">
        <f>I67</f>
        <v/>
      </c>
      <c r="AB67" s="25">
        <f>Q67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 t="n">
        <v>8472113.161581058</v>
      </c>
      <c r="J68" s="19">
        <f>I68 * (0.01000000 / 12)</f>
        <v/>
      </c>
      <c r="K68" s="19">
        <f>(I68 - J68) * (0.00664805 / 12) * 1.0</f>
        <v/>
      </c>
      <c r="L68" s="19" t="n">
        <v>103252.5901896394</v>
      </c>
      <c r="M68" s="24">
        <f>(I68 - J68) - K68 + L68</f>
        <v/>
      </c>
      <c r="N68" s="24">
        <f>M68 * (0.00400000 / 12) * 1.0</f>
        <v/>
      </c>
      <c r="O68" s="24">
        <f>M68 * (0.00500000 / 12) * 1.0</f>
        <v/>
      </c>
      <c r="P68" s="24">
        <f>Y68</f>
        <v/>
      </c>
      <c r="Q68" s="24">
        <f>MAX(0, M68 - N68 - O68 - P68)</f>
        <v/>
      </c>
      <c r="R68" s="24" t="n">
        <v>4220125.783929368</v>
      </c>
      <c r="S68" s="24" t="n">
        <v>519038.3196799557</v>
      </c>
      <c r="T68" s="24" t="n">
        <v>1305267.037913693</v>
      </c>
      <c r="U68" s="24" t="n">
        <v>1206045.658414074</v>
      </c>
      <c r="V68" s="24" t="n">
        <v>282869.0190710683</v>
      </c>
      <c r="W68" s="24" t="n">
        <v>934050.643198355</v>
      </c>
      <c r="X68" s="24" t="n">
        <v>1077561.669430438</v>
      </c>
      <c r="Y68" s="24">
        <f>X68 / 12</f>
        <v/>
      </c>
      <c r="Z68" s="15" t="n">
        <v>114</v>
      </c>
      <c r="AA68" s="24">
        <f>I68</f>
        <v/>
      </c>
      <c r="AB68" s="24">
        <f>Q68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 t="n">
        <v>8467396.462206515</v>
      </c>
      <c r="J69" s="21">
        <f>I69 * (0.01000000 / 12)</f>
        <v/>
      </c>
      <c r="K69" s="21">
        <f>(I69 - J69) * (0.00664805 / 12) * 1.0</f>
        <v/>
      </c>
      <c r="L69" s="21" t="n">
        <v>323607.4538098224</v>
      </c>
      <c r="M69" s="25">
        <f>(I69 - J69) - K69 + L69</f>
        <v/>
      </c>
      <c r="N69" s="25">
        <f>M69 * (0.00400000 / 12) * 1.0</f>
        <v/>
      </c>
      <c r="O69" s="25">
        <f>M69 * (0.00500000 / 12) * 1.0</f>
        <v/>
      </c>
      <c r="P69" s="25">
        <f>Y69</f>
        <v/>
      </c>
      <c r="Q69" s="25">
        <f>MAX(0, M69 - N69 - O69 - P69)</f>
        <v/>
      </c>
      <c r="R69" s="25" t="n">
        <v>4326059.778063154</v>
      </c>
      <c r="S69" s="25" t="n">
        <v>532067.268371857</v>
      </c>
      <c r="T69" s="25" t="n">
        <v>1338031.973798761</v>
      </c>
      <c r="U69" s="25" t="n">
        <v>1236319.929903811</v>
      </c>
      <c r="V69" s="25" t="n">
        <v>289969.6237784007</v>
      </c>
      <c r="W69" s="25" t="n">
        <v>957497.2702477274</v>
      </c>
      <c r="X69" s="25" t="n">
        <v>1112764.752275419</v>
      </c>
      <c r="Y69" s="25">
        <f>X69 / 12</f>
        <v/>
      </c>
      <c r="Z69" s="17" t="n">
        <v>113</v>
      </c>
      <c r="AA69" s="25">
        <f>I69</f>
        <v/>
      </c>
      <c r="AB69" s="25">
        <f>Q69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 t="n">
        <v>8679945.84416371</v>
      </c>
      <c r="J70" s="19">
        <f>I70 * (0.01000000 / 12)</f>
        <v/>
      </c>
      <c r="K70" s="19">
        <f>(I70 - J70) * (0.00664805 / 12) * 1.0</f>
        <v/>
      </c>
      <c r="L70" s="19" t="n">
        <v>262391.6609730428</v>
      </c>
      <c r="M70" s="24">
        <f>(I70 - J70) - K70 + L70</f>
        <v/>
      </c>
      <c r="N70" s="24">
        <f>M70 * (0.00400000 / 12) * 1.0</f>
        <v/>
      </c>
      <c r="O70" s="24">
        <f>M70 * (0.00500000 / 12) * 1.0</f>
        <v/>
      </c>
      <c r="P70" s="24">
        <f>Y70</f>
        <v/>
      </c>
      <c r="Q70" s="24">
        <f>MAX(0, M70 - N70 - O70 - P70)</f>
        <v/>
      </c>
      <c r="R70" s="24" t="n">
        <v>4400138.481753846</v>
      </c>
      <c r="S70" s="24" t="n">
        <v>541178.2967762959</v>
      </c>
      <c r="T70" s="24" t="n">
        <v>1360944.203217858</v>
      </c>
      <c r="U70" s="24" t="n">
        <v>1257490.459774585</v>
      </c>
      <c r="V70" s="24" t="n">
        <v>294935.0137501497</v>
      </c>
      <c r="W70" s="24" t="n">
        <v>973893.2888434491</v>
      </c>
      <c r="X70" s="24" t="n">
        <v>1140264.316950361</v>
      </c>
      <c r="Y70" s="24">
        <f>X70 / 12</f>
        <v/>
      </c>
      <c r="Z70" s="15" t="n">
        <v>112</v>
      </c>
      <c r="AA70" s="24">
        <f>I70</f>
        <v/>
      </c>
      <c r="AB70" s="24">
        <f>Q70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 t="n">
        <v>8828579.744116183</v>
      </c>
      <c r="J71" s="21">
        <f>I71 * (0.01000000 / 12)</f>
        <v/>
      </c>
      <c r="K71" s="21">
        <f>(I71 - J71) * (0.00664805 / 12) * 1.0</f>
        <v/>
      </c>
      <c r="L71" s="21" t="n">
        <v>500284.4451377826</v>
      </c>
      <c r="M71" s="25">
        <f>(I71 - J71) - K71 + L71</f>
        <v/>
      </c>
      <c r="N71" s="25">
        <f>M71 * (0.00400000 / 12) * 1.0</f>
        <v/>
      </c>
      <c r="O71" s="25">
        <f>M71 * (0.00500000 / 12) * 1.0</f>
        <v/>
      </c>
      <c r="P71" s="25">
        <f>Y71</f>
        <v/>
      </c>
      <c r="Q71" s="25">
        <f>MAX(0, M71 - N71 - O71 - P71)</f>
        <v/>
      </c>
      <c r="R71" s="25" t="n">
        <v>4590117.759625776</v>
      </c>
      <c r="S71" s="25" t="n">
        <v>564544.0754780021</v>
      </c>
      <c r="T71" s="25" t="n">
        <v>1419703.989534461</v>
      </c>
      <c r="U71" s="25" t="n">
        <v>1311783.5531555</v>
      </c>
      <c r="V71" s="25" t="n">
        <v>307669.0540908682</v>
      </c>
      <c r="W71" s="25" t="n">
        <v>1015941.861747693</v>
      </c>
      <c r="X71" s="25" t="n">
        <v>1198467.405483614</v>
      </c>
      <c r="Y71" s="25">
        <f>X71 / 12</f>
        <v/>
      </c>
      <c r="Z71" s="17" t="n">
        <v>111</v>
      </c>
      <c r="AA71" s="25">
        <f>I71</f>
        <v/>
      </c>
      <c r="AB71" s="25">
        <f>Q71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 t="n">
        <v>9209760.293632301</v>
      </c>
      <c r="J72" s="19">
        <f>I72 * (0.01000000 / 12)</f>
        <v/>
      </c>
      <c r="K72" s="19">
        <f>(I72 - J72) * (0.00664805 / 12) * 1.0</f>
        <v/>
      </c>
      <c r="L72" s="19" t="n">
        <v>138800.3001255807</v>
      </c>
      <c r="M72" s="24">
        <f>(I72 - J72) - K72 + L72</f>
        <v/>
      </c>
      <c r="N72" s="24">
        <f>M72 * (0.00400000 / 12) * 1.0</f>
        <v/>
      </c>
      <c r="O72" s="24">
        <f>M72 * (0.00500000 / 12) * 1.0</f>
        <v/>
      </c>
      <c r="P72" s="24">
        <f>Y72</f>
        <v/>
      </c>
      <c r="Q72" s="24">
        <f>MAX(0, M72 - N72 - O72 - P72)</f>
        <v/>
      </c>
      <c r="R72" s="24" t="n">
        <v>4599185.151930939</v>
      </c>
      <c r="S72" s="24" t="n">
        <v>565659.2849070369</v>
      </c>
      <c r="T72" s="24" t="n">
        <v>1422508.495585165</v>
      </c>
      <c r="U72" s="24" t="n">
        <v>1314374.871443789</v>
      </c>
      <c r="V72" s="24" t="n">
        <v>308276.8284791723</v>
      </c>
      <c r="W72" s="24" t="n">
        <v>1017948.769609782</v>
      </c>
      <c r="X72" s="24" t="n">
        <v>1209990.64724431</v>
      </c>
      <c r="Y72" s="24">
        <f>X72 / 12</f>
        <v/>
      </c>
      <c r="Z72" s="15" t="n">
        <v>110</v>
      </c>
      <c r="AA72" s="24">
        <f>I72</f>
        <v/>
      </c>
      <c r="AB72" s="24">
        <f>Q72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 t="n">
        <v>9227953.401955886</v>
      </c>
      <c r="J73" s="21">
        <f>I73 * (0.01000000 / 12)</f>
        <v/>
      </c>
      <c r="K73" s="21">
        <f>(I73 - J73) * (0.00664805 / 12) * 1.0</f>
        <v/>
      </c>
      <c r="L73" s="21" t="n">
        <v>402043.126152784</v>
      </c>
      <c r="M73" s="25">
        <f>(I73 - J73) - K73 + L73</f>
        <v/>
      </c>
      <c r="N73" s="25">
        <f>M73 * (0.00400000 / 12) * 1.0</f>
        <v/>
      </c>
      <c r="O73" s="25">
        <f>M73 * (0.00500000 / 12) * 1.0</f>
        <v/>
      </c>
      <c r="P73" s="25">
        <f>Y73</f>
        <v/>
      </c>
      <c r="Q73" s="25">
        <f>MAX(0, M73 - N73 - O73 - P73)</f>
        <v/>
      </c>
      <c r="R73" s="25" t="n">
        <v>4737424.685249457</v>
      </c>
      <c r="S73" s="25" t="n">
        <v>582661.530517872</v>
      </c>
      <c r="T73" s="25" t="n">
        <v>1465265.397965744</v>
      </c>
      <c r="U73" s="25" t="n">
        <v>1353881.558570245</v>
      </c>
      <c r="V73" s="25" t="n">
        <v>317542.8274537909</v>
      </c>
      <c r="W73" s="25" t="n">
        <v>1048545.659755406</v>
      </c>
      <c r="X73" s="25" t="n">
        <v>1255967.293390192</v>
      </c>
      <c r="Y73" s="25">
        <f>X73 / 12</f>
        <v/>
      </c>
      <c r="Z73" s="17" t="n">
        <v>109</v>
      </c>
      <c r="AA73" s="25">
        <f>I73</f>
        <v/>
      </c>
      <c r="AB73" s="25">
        <f>Q73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 t="n">
        <v>9505321.659512514</v>
      </c>
      <c r="J74" s="19">
        <f>I74 * (0.01000000 / 12)</f>
        <v/>
      </c>
      <c r="K74" s="19">
        <f>(I74 - J74) * (0.00664805 / 12) * 1.0</f>
        <v/>
      </c>
      <c r="L74" s="19" t="n">
        <v>516935.6764213676</v>
      </c>
      <c r="M74" s="24">
        <f>(I74 - J74) - K74 + L74</f>
        <v/>
      </c>
      <c r="N74" s="24">
        <f>M74 * (0.00400000 / 12) * 1.0</f>
        <v/>
      </c>
      <c r="O74" s="24">
        <f>M74 * (0.00500000 / 12) * 1.0</f>
        <v/>
      </c>
      <c r="P74" s="24">
        <f>Y74</f>
        <v/>
      </c>
      <c r="Q74" s="24">
        <f>MAX(0, M74 - N74 - O74 - P74)</f>
        <v/>
      </c>
      <c r="R74" s="24" t="n">
        <v>4930044.083518765</v>
      </c>
      <c r="S74" s="24" t="n">
        <v>606352.0207862396</v>
      </c>
      <c r="T74" s="24" t="n">
        <v>1524841.762343585</v>
      </c>
      <c r="U74" s="24" t="n">
        <v>1408929.156889158</v>
      </c>
      <c r="V74" s="24" t="n">
        <v>330453.8313034833</v>
      </c>
      <c r="W74" s="24" t="n">
        <v>1091178.576890498</v>
      </c>
      <c r="X74" s="24" t="n">
        <v>1317220.730373506</v>
      </c>
      <c r="Y74" s="24">
        <f>X74 / 12</f>
        <v/>
      </c>
      <c r="Z74" s="15" t="n">
        <v>108</v>
      </c>
      <c r="AA74" s="24">
        <f>I74</f>
        <v/>
      </c>
      <c r="AB74" s="24">
        <f>Q74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 t="n">
        <v>9891799.431731729</v>
      </c>
      <c r="J75" s="21">
        <f>I75 * (0.01000000 / 12)</f>
        <v/>
      </c>
      <c r="K75" s="21">
        <f>(I75 - J75) * (0.00664805 / 12) * 1.0</f>
        <v/>
      </c>
      <c r="L75" s="21" t="n">
        <v>517739.5660811627</v>
      </c>
      <c r="M75" s="25">
        <f>(I75 - J75) - K75 + L75</f>
        <v/>
      </c>
      <c r="N75" s="25">
        <f>M75 * (0.00400000 / 12) * 1.0</f>
        <v/>
      </c>
      <c r="O75" s="25">
        <f>M75 * (0.00500000 / 12) * 1.0</f>
        <v/>
      </c>
      <c r="P75" s="25">
        <f>Y75</f>
        <v/>
      </c>
      <c r="Q75" s="25">
        <f>MAX(0, M75 - N75 - O75 - P75)</f>
        <v/>
      </c>
      <c r="R75" s="25" t="n">
        <v>5120095.667783531</v>
      </c>
      <c r="S75" s="25" t="n">
        <v>629726.6925377176</v>
      </c>
      <c r="T75" s="25" t="n">
        <v>1583623.912721363</v>
      </c>
      <c r="U75" s="25" t="n">
        <v>1463242.914301341</v>
      </c>
      <c r="V75" s="25" t="n">
        <v>343192.7182387019</v>
      </c>
      <c r="W75" s="25" t="n">
        <v>1133243.153543491</v>
      </c>
      <c r="X75" s="25" t="n">
        <v>1378780.471485532</v>
      </c>
      <c r="Y75" s="25">
        <f>X75 / 12</f>
        <v/>
      </c>
      <c r="Z75" s="17" t="n">
        <v>107</v>
      </c>
      <c r="AA75" s="25">
        <f>I75</f>
        <v/>
      </c>
      <c r="AB75" s="25">
        <f>Q75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 t="n">
        <v>10273125.05912615</v>
      </c>
      <c r="J76" s="19">
        <f>I76 * (0.01000000 / 12)</f>
        <v/>
      </c>
      <c r="K76" s="19">
        <f>(I76 - J76) * (0.00664805 / 12) * 1.0</f>
        <v/>
      </c>
      <c r="L76" s="19" t="n">
        <v>440115.6147307145</v>
      </c>
      <c r="M76" s="24">
        <f>(I76 - J76) - K76 + L76</f>
        <v/>
      </c>
      <c r="N76" s="24">
        <f>M76 * (0.00400000 / 12) * 1.0</f>
        <v/>
      </c>
      <c r="O76" s="24">
        <f>M76 * (0.00500000 / 12) * 1.0</f>
        <v/>
      </c>
      <c r="P76" s="24">
        <f>Y76</f>
        <v/>
      </c>
      <c r="Q76" s="24">
        <f>MAX(0, M76 - N76 - O76 - P76)</f>
        <v/>
      </c>
      <c r="R76" s="24" t="n">
        <v>5268948.309921472</v>
      </c>
      <c r="S76" s="24" t="n">
        <v>648034.257101175</v>
      </c>
      <c r="T76" s="24" t="n">
        <v>1629663.404726294</v>
      </c>
      <c r="U76" s="24" t="n">
        <v>1505782.661215418</v>
      </c>
      <c r="V76" s="24" t="n">
        <v>353170.0987774618</v>
      </c>
      <c r="W76" s="24" t="n">
        <v>1166189.068724546</v>
      </c>
      <c r="X76" s="24" t="n">
        <v>1430172.915433617</v>
      </c>
      <c r="Y76" s="24">
        <f>X76 / 12</f>
        <v/>
      </c>
      <c r="Z76" s="15" t="n">
        <v>106</v>
      </c>
      <c r="AA76" s="24">
        <f>I76</f>
        <v/>
      </c>
      <c r="AB76" s="24">
        <f>Q76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 t="n">
        <v>10571787.80046637</v>
      </c>
      <c r="J77" s="21">
        <f>I77 * (0.01000000 / 12)</f>
        <v/>
      </c>
      <c r="K77" s="21">
        <f>(I77 - J77) * (0.00664805 / 12) * 1.0</f>
        <v/>
      </c>
      <c r="L77" s="21" t="n">
        <v>206830.6751361438</v>
      </c>
      <c r="M77" s="25">
        <f>(I77 - J77) - K77 + L77</f>
        <v/>
      </c>
      <c r="N77" s="25">
        <f>M77 * (0.00400000 / 12) * 1.0</f>
        <v/>
      </c>
      <c r="O77" s="25">
        <f>M77 * (0.00500000 / 12) * 1.0</f>
        <v/>
      </c>
      <c r="P77" s="25">
        <f>Y77</f>
        <v/>
      </c>
      <c r="Q77" s="25">
        <f>MAX(0, M77 - N77 - O77 - P77)</f>
        <v/>
      </c>
      <c r="R77" s="25" t="n">
        <v>5300464.742129692</v>
      </c>
      <c r="S77" s="25" t="n">
        <v>651910.5008088755</v>
      </c>
      <c r="T77" s="25" t="n">
        <v>1639411.303774868</v>
      </c>
      <c r="U77" s="25" t="n">
        <v>1514789.56247371</v>
      </c>
      <c r="V77" s="25" t="n">
        <v>355282.600328318</v>
      </c>
      <c r="W77" s="25" t="n">
        <v>1173164.676865778</v>
      </c>
      <c r="X77" s="25" t="n">
        <v>1450324.334220723</v>
      </c>
      <c r="Y77" s="25">
        <f>X77 / 12</f>
        <v/>
      </c>
      <c r="Z77" s="17" t="n">
        <v>105</v>
      </c>
      <c r="AA77" s="25">
        <f>I77</f>
        <v/>
      </c>
      <c r="AB77" s="25">
        <f>Q77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 t="n">
        <v>10635023.38638124</v>
      </c>
      <c r="J78" s="19">
        <f>I78 * (0.01000000 / 12)</f>
        <v/>
      </c>
      <c r="K78" s="19">
        <f>(I78 - J78) * (0.00664805 / 12) * 1.0</f>
        <v/>
      </c>
      <c r="L78" s="19" t="n">
        <v>437887.7991810702</v>
      </c>
      <c r="M78" s="24">
        <f>(I78 - J78) - K78 + L78</f>
        <v/>
      </c>
      <c r="N78" s="24">
        <f>M78 * (0.00400000 / 12) * 1.0</f>
        <v/>
      </c>
      <c r="O78" s="24">
        <f>M78 * (0.00500000 / 12) * 1.0</f>
        <v/>
      </c>
      <c r="P78" s="24">
        <f>Y78</f>
        <v/>
      </c>
      <c r="Q78" s="24">
        <f>MAX(0, M78 - N78 - O78 - P78)</f>
        <v/>
      </c>
      <c r="R78" s="24" t="n">
        <v>5444840.481254845</v>
      </c>
      <c r="S78" s="24" t="n">
        <v>669667.4457140338</v>
      </c>
      <c r="T78" s="24" t="n">
        <v>1684066.108632136</v>
      </c>
      <c r="U78" s="24" t="n">
        <v>1556049.880830877</v>
      </c>
      <c r="V78" s="24" t="n">
        <v>364959.9004361757</v>
      </c>
      <c r="W78" s="24" t="n">
        <v>1205119.708278734</v>
      </c>
      <c r="X78" s="24" t="n">
        <v>1501974.944340318</v>
      </c>
      <c r="Y78" s="24">
        <f>X78 / 12</f>
        <v/>
      </c>
      <c r="Z78" s="15" t="n">
        <v>104</v>
      </c>
      <c r="AA78" s="24">
        <f>I78</f>
        <v/>
      </c>
      <c r="AB78" s="24">
        <f>Q78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 t="n">
        <v>10924703.5251468</v>
      </c>
      <c r="J79" s="21">
        <f>I79 * (0.01000000 / 12)</f>
        <v/>
      </c>
      <c r="K79" s="21">
        <f>(I79 - J79) * (0.00664805 / 12) * 1.0</f>
        <v/>
      </c>
      <c r="L79" s="21" t="n">
        <v>573719.6348492621</v>
      </c>
      <c r="M79" s="25">
        <f>(I79 - J79) - K79 + L79</f>
        <v/>
      </c>
      <c r="N79" s="25">
        <f>M79 * (0.00400000 / 12) * 1.0</f>
        <v/>
      </c>
      <c r="O79" s="25">
        <f>M79 * (0.00500000 / 12) * 1.0</f>
        <v/>
      </c>
      <c r="P79" s="25">
        <f>Y79</f>
        <v/>
      </c>
      <c r="Q79" s="25">
        <f>MAX(0, M79 - N79 - O79 - P79)</f>
        <v/>
      </c>
      <c r="R79" s="25" t="n">
        <v>5653628.998043261</v>
      </c>
      <c r="S79" s="25" t="n">
        <v>695346.59521593</v>
      </c>
      <c r="T79" s="25" t="n">
        <v>1748643.512911555</v>
      </c>
      <c r="U79" s="25" t="n">
        <v>1615718.3592346</v>
      </c>
      <c r="V79" s="25" t="n">
        <v>378954.6972647792</v>
      </c>
      <c r="W79" s="25" t="n">
        <v>1251331.375509436</v>
      </c>
      <c r="X79" s="25" t="n">
        <v>1572431.483384737</v>
      </c>
      <c r="Y79" s="25">
        <f>X79 / 12</f>
        <v/>
      </c>
      <c r="Z79" s="17" t="n">
        <v>103</v>
      </c>
      <c r="AA79" s="25">
        <f>I79</f>
        <v/>
      </c>
      <c r="AB79" s="25">
        <f>Q79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 t="n">
        <v>11343623.53817956</v>
      </c>
      <c r="J80" s="19">
        <f>I80 * (0.01000000 / 12)</f>
        <v/>
      </c>
      <c r="K80" s="19">
        <f>(I80 - J80) * (0.00664805 / 12) * 1.0</f>
        <v/>
      </c>
      <c r="L80" s="19" t="n">
        <v>522144.163916836</v>
      </c>
      <c r="M80" s="24">
        <f>(I80 - J80) - K80 + L80</f>
        <v/>
      </c>
      <c r="N80" s="24">
        <f>M80 * (0.00400000 / 12) * 1.0</f>
        <v/>
      </c>
      <c r="O80" s="24">
        <f>M80 * (0.00500000 / 12) * 1.0</f>
        <v/>
      </c>
      <c r="P80" s="24">
        <f>Y80</f>
        <v/>
      </c>
      <c r="Q80" s="24">
        <f>MAX(0, M80 - N80 - O80 - P80)</f>
        <v/>
      </c>
      <c r="R80" s="24" t="n">
        <v>5833644.136130969</v>
      </c>
      <c r="S80" s="24" t="n">
        <v>717486.872443165</v>
      </c>
      <c r="T80" s="24" t="n">
        <v>1804321.432978806</v>
      </c>
      <c r="U80" s="24" t="n">
        <v>1667163.857984009</v>
      </c>
      <c r="V80" s="24" t="n">
        <v>391020.8555112284</v>
      </c>
      <c r="W80" s="24" t="n">
        <v>1291174.561263891</v>
      </c>
      <c r="X80" s="24" t="n">
        <v>1636035.096868416</v>
      </c>
      <c r="Y80" s="24">
        <f>X80 / 12</f>
        <v/>
      </c>
      <c r="Z80" s="15" t="n">
        <v>102</v>
      </c>
      <c r="AA80" s="24">
        <f>I80</f>
        <v/>
      </c>
      <c r="AB80" s="24">
        <f>Q80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 t="n">
        <v>11704811.71631207</v>
      </c>
      <c r="J81" s="21">
        <f>I81 * (0.01000000 / 12)</f>
        <v/>
      </c>
      <c r="K81" s="21">
        <f>(I81 - J81) * (0.00664805 / 12) * 1.0</f>
        <v/>
      </c>
      <c r="L81" s="21" t="n">
        <v>307725.9483070243</v>
      </c>
      <c r="M81" s="25">
        <f>(I81 - J81) - K81 + L81</f>
        <v/>
      </c>
      <c r="N81" s="25">
        <f>M81 * (0.00400000 / 12) * 1.0</f>
        <v/>
      </c>
      <c r="O81" s="25">
        <f>M81 * (0.00500000 / 12) * 1.0</f>
        <v/>
      </c>
      <c r="P81" s="25">
        <f>Y81</f>
        <v/>
      </c>
      <c r="Q81" s="25">
        <f>MAX(0, M81 - N81 - O81 - P81)</f>
        <v/>
      </c>
      <c r="R81" s="25" t="n">
        <v>5905076.905949341</v>
      </c>
      <c r="S81" s="25" t="n">
        <v>726272.4742747037</v>
      </c>
      <c r="T81" s="25" t="n">
        <v>1826415.286253479</v>
      </c>
      <c r="U81" s="25" t="n">
        <v>1687578.221516966</v>
      </c>
      <c r="V81" s="25" t="n">
        <v>395808.8923050603</v>
      </c>
      <c r="W81" s="25" t="n">
        <v>1306984.9489183</v>
      </c>
      <c r="X81" s="25" t="n">
        <v>1670046.991623227</v>
      </c>
      <c r="Y81" s="25">
        <f>X81 / 12</f>
        <v/>
      </c>
      <c r="Z81" s="17" t="n">
        <v>101</v>
      </c>
      <c r="AA81" s="25">
        <f>I81</f>
        <v/>
      </c>
      <c r="AB81" s="25">
        <f>Q81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 t="n">
        <v>11848136.72921785</v>
      </c>
      <c r="J82" s="19">
        <f>I82 * (0.01000000 / 12)</f>
        <v/>
      </c>
      <c r="K82" s="19">
        <f>(I82 - J82) * (0.00664805 / 12) * 1.0</f>
        <v/>
      </c>
      <c r="L82" s="19" t="n">
        <v>360933.3958681422</v>
      </c>
      <c r="M82" s="24">
        <f>(I82 - J82) - K82 + L82</f>
        <v/>
      </c>
      <c r="N82" s="24">
        <f>M82 * (0.00400000 / 12) * 1.0</f>
        <v/>
      </c>
      <c r="O82" s="24">
        <f>M82 * (0.00500000 / 12) * 1.0</f>
        <v/>
      </c>
      <c r="P82" s="24">
        <f>Y82</f>
        <v/>
      </c>
      <c r="Q82" s="24">
        <f>MAX(0, M82 - N82 - O82 - P82)</f>
        <v/>
      </c>
      <c r="R82" s="24" t="n">
        <v>6001125.401912649</v>
      </c>
      <c r="S82" s="24" t="n">
        <v>738085.5937183058</v>
      </c>
      <c r="T82" s="24" t="n">
        <v>1856122.679407377</v>
      </c>
      <c r="U82" s="24" t="n">
        <v>1715027.372913087</v>
      </c>
      <c r="V82" s="24" t="n">
        <v>402246.8861534557</v>
      </c>
      <c r="W82" s="24" t="n">
        <v>1328243.594756394</v>
      </c>
      <c r="X82" s="24" t="n">
        <v>1711706.629799818</v>
      </c>
      <c r="Y82" s="24">
        <f>X82 / 12</f>
        <v/>
      </c>
      <c r="Z82" s="15" t="n">
        <v>100</v>
      </c>
      <c r="AA82" s="24">
        <f>I82</f>
        <v/>
      </c>
      <c r="AB82" s="24">
        <f>Q82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 t="n">
        <v>12040851.52886127</v>
      </c>
      <c r="J83" s="21">
        <f>I83 * (0.01000000 / 12)</f>
        <v/>
      </c>
      <c r="K83" s="21">
        <f>(I83 - J83) * (0.00664805 / 12) * 1.0</f>
        <v/>
      </c>
      <c r="L83" s="21" t="n">
        <v>677109.1843238389</v>
      </c>
      <c r="M83" s="25">
        <f>(I83 - J83) - K83 + L83</f>
        <v/>
      </c>
      <c r="N83" s="25">
        <f>M83 * (0.00400000 / 12) * 1.0</f>
        <v/>
      </c>
      <c r="O83" s="25">
        <f>M83 * (0.00500000 / 12) * 1.0</f>
        <v/>
      </c>
      <c r="P83" s="25">
        <f>Y83</f>
        <v/>
      </c>
      <c r="Q83" s="25">
        <f>MAX(0, M83 - N83 - O83 - P83)</f>
        <v/>
      </c>
      <c r="R83" s="25" t="n">
        <v>6250833.479075775</v>
      </c>
      <c r="S83" s="25" t="n">
        <v>768797.4889122408</v>
      </c>
      <c r="T83" s="25" t="n">
        <v>1933356.330466554</v>
      </c>
      <c r="U83" s="25" t="n">
        <v>1786390.018898749</v>
      </c>
      <c r="V83" s="25" t="n">
        <v>418984.4628176962</v>
      </c>
      <c r="W83" s="25" t="n">
        <v>1383512.087220349</v>
      </c>
      <c r="X83" s="25" t="n">
        <v>1798340.756036831</v>
      </c>
      <c r="Y83" s="25">
        <f>X83 / 12</f>
        <v/>
      </c>
      <c r="Z83" s="17" t="n">
        <v>99</v>
      </c>
      <c r="AA83" s="25">
        <f>I83</f>
        <v/>
      </c>
      <c r="AB83" s="25">
        <f>Q83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 t="n">
        <v>12541873.86739136</v>
      </c>
      <c r="J84" s="19">
        <f>I84 * (0.01000000 / 12)</f>
        <v/>
      </c>
      <c r="K84" s="19">
        <f>(I84 - J84) * (0.00664805 / 12) * 1.0</f>
        <v/>
      </c>
      <c r="L84" s="19" t="n">
        <v>217798.1319869995</v>
      </c>
      <c r="M84" s="24">
        <f>(I84 - J84) - K84 + L84</f>
        <v/>
      </c>
      <c r="N84" s="24">
        <f>M84 * (0.00400000 / 12) * 1.0</f>
        <v/>
      </c>
      <c r="O84" s="24">
        <f>M84 * (0.00500000 / 12) * 1.0</f>
        <v/>
      </c>
      <c r="P84" s="24">
        <f>Y84</f>
        <v/>
      </c>
      <c r="Q84" s="24">
        <f>MAX(0, M84 - N84 - O84 - P84)</f>
        <v/>
      </c>
      <c r="R84" s="24" t="n">
        <v>6270371.792563894</v>
      </c>
      <c r="S84" s="24" t="n">
        <v>771200.529466357</v>
      </c>
      <c r="T84" s="24" t="n">
        <v>1939399.44810764</v>
      </c>
      <c r="U84" s="24" t="n">
        <v>1791973.761981671</v>
      </c>
      <c r="V84" s="24" t="n">
        <v>420294.0881354376</v>
      </c>
      <c r="W84" s="24" t="n">
        <v>1387836.549384507</v>
      </c>
      <c r="X84" s="24" t="n">
        <v>1819741.1442451</v>
      </c>
      <c r="Y84" s="24">
        <f>X84 / 12</f>
        <v/>
      </c>
      <c r="Z84" s="15" t="n">
        <v>98</v>
      </c>
      <c r="AA84" s="24">
        <f>I84</f>
        <v/>
      </c>
      <c r="AB84" s="24">
        <f>Q84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 t="n">
        <v>12581076.16963951</v>
      </c>
      <c r="J85" s="21">
        <f>I85 * (0.01000000 / 12)</f>
        <v/>
      </c>
      <c r="K85" s="21">
        <f>(I85 - J85) * (0.00664805 / 12) * 1.0</f>
        <v/>
      </c>
      <c r="L85" s="21" t="n">
        <v>236708.9113566806</v>
      </c>
      <c r="M85" s="25">
        <f>(I85 - J85) - K85 + L85</f>
        <v/>
      </c>
      <c r="N85" s="25">
        <f>M85 * (0.00400000 / 12) * 1.0</f>
        <v/>
      </c>
      <c r="O85" s="25">
        <f>M85 * (0.00500000 / 12) * 1.0</f>
        <v/>
      </c>
      <c r="P85" s="25">
        <f>Y85</f>
        <v/>
      </c>
      <c r="Q85" s="25">
        <f>MAX(0, M85 - N85 - O85 - P85)</f>
        <v/>
      </c>
      <c r="R85" s="25" t="n">
        <v>6298277.910244404</v>
      </c>
      <c r="S85" s="25" t="n">
        <v>774632.7362704389</v>
      </c>
      <c r="T85" s="25" t="n">
        <v>1948030.692158048</v>
      </c>
      <c r="U85" s="25" t="n">
        <v>1799948.892059532</v>
      </c>
      <c r="V85" s="25" t="n">
        <v>422164.5954469562</v>
      </c>
      <c r="W85" s="25" t="n">
        <v>1394013.077882285</v>
      </c>
      <c r="X85" s="25" t="n">
        <v>1844022.357314941</v>
      </c>
      <c r="Y85" s="25">
        <f>X85 / 12</f>
        <v/>
      </c>
      <c r="Z85" s="17" t="n">
        <v>97</v>
      </c>
      <c r="AA85" s="25">
        <f>I85</f>
        <v/>
      </c>
      <c r="AB85" s="25">
        <f>Q85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 t="n">
        <v>12637067.90406167</v>
      </c>
      <c r="J86" s="19">
        <f>I86 * (0.01000000 / 12)</f>
        <v/>
      </c>
      <c r="K86" s="19">
        <f>(I86 - J86) * (0.00664805 / 12) * 1.0</f>
        <v/>
      </c>
      <c r="L86" s="19" t="n">
        <v>733240.2614734226</v>
      </c>
      <c r="M86" s="24">
        <f>(I86 - J86) - K86 + L86</f>
        <v/>
      </c>
      <c r="N86" s="24">
        <f>M86 * (0.00400000 / 12) * 1.0</f>
        <v/>
      </c>
      <c r="O86" s="24">
        <f>M86 * (0.00500000 / 12) * 1.0</f>
        <v/>
      </c>
      <c r="P86" s="24">
        <f>Y86</f>
        <v/>
      </c>
      <c r="Q86" s="24">
        <f>MAX(0, M86 - N86 - O86 - P86)</f>
        <v/>
      </c>
      <c r="R86" s="24" t="n">
        <v>6569395.849581605</v>
      </c>
      <c r="S86" s="24" t="n">
        <v>807977.8560307431</v>
      </c>
      <c r="T86" s="24" t="n">
        <v>2031886.322943165</v>
      </c>
      <c r="U86" s="24" t="n">
        <v>1877430.140343878</v>
      </c>
      <c r="V86" s="24" t="n">
        <v>440337.2446710455</v>
      </c>
      <c r="W86" s="24" t="n">
        <v>1454020.2669061</v>
      </c>
      <c r="X86" s="24" t="n">
        <v>1940638.202703368</v>
      </c>
      <c r="Y86" s="24">
        <f>X86 / 12</f>
        <v/>
      </c>
      <c r="Z86" s="15" t="n">
        <v>96</v>
      </c>
      <c r="AA86" s="24">
        <f>I86</f>
        <v/>
      </c>
      <c r="AB86" s="24">
        <f>Q86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 t="n">
        <v>13181047.68047654</v>
      </c>
      <c r="J87" s="21">
        <f>I87 * (0.01000000 / 12)</f>
        <v/>
      </c>
      <c r="K87" s="21">
        <f>(I87 - J87) * (0.00664805 / 12) * 1.0</f>
        <v/>
      </c>
      <c r="L87" s="21" t="n">
        <v>519988.2288251412</v>
      </c>
      <c r="M87" s="25">
        <f>(I87 - J87) - K87 + L87</f>
        <v/>
      </c>
      <c r="N87" s="25">
        <f>M87 * (0.00400000 / 12) * 1.0</f>
        <v/>
      </c>
      <c r="O87" s="25">
        <f>M87 * (0.00500000 / 12) * 1.0</f>
        <v/>
      </c>
      <c r="P87" s="25">
        <f>Y87</f>
        <v/>
      </c>
      <c r="Q87" s="25">
        <f>MAX(0, M87 - N87 - O87 - P87)</f>
        <v/>
      </c>
      <c r="R87" s="25" t="n">
        <v>6730998.258996145</v>
      </c>
      <c r="S87" s="25" t="n">
        <v>827853.5297270507</v>
      </c>
      <c r="T87" s="25" t="n">
        <v>2081869.263987123</v>
      </c>
      <c r="U87" s="25" t="n">
        <v>1923613.570469552</v>
      </c>
      <c r="V87" s="25" t="n">
        <v>451169.2239463289</v>
      </c>
      <c r="W87" s="25" t="n">
        <v>1489788.118904935</v>
      </c>
      <c r="X87" s="25" t="n">
        <v>2006416.750426437</v>
      </c>
      <c r="Y87" s="25">
        <f>X87 / 12</f>
        <v/>
      </c>
      <c r="Z87" s="17" t="n">
        <v>95</v>
      </c>
      <c r="AA87" s="25">
        <f>I87</f>
        <v/>
      </c>
      <c r="AB87" s="25">
        <f>Q87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 t="n">
        <v>13505291.96603114</v>
      </c>
      <c r="J88" s="19">
        <f>I88 * (0.01000000 / 12)</f>
        <v/>
      </c>
      <c r="K88" s="19">
        <f>(I88 - J88) * (0.00664805 / 12) * 1.0</f>
        <v/>
      </c>
      <c r="L88" s="19" t="n">
        <v>211429.447965349</v>
      </c>
      <c r="M88" s="24">
        <f>(I88 - J88) - K88 + L88</f>
        <v/>
      </c>
      <c r="N88" s="24">
        <f>M88 * (0.00400000 / 12) * 1.0</f>
        <v/>
      </c>
      <c r="O88" s="24">
        <f>M88 * (0.00500000 / 12) * 1.0</f>
        <v/>
      </c>
      <c r="P88" s="24">
        <f>Y88</f>
        <v/>
      </c>
      <c r="Q88" s="24">
        <f>MAX(0, M88 - N88 - O88 - P88)</f>
        <v/>
      </c>
      <c r="R88" s="24" t="n">
        <v>6737736.356045385</v>
      </c>
      <c r="S88" s="24" t="n">
        <v>828682.2563454838</v>
      </c>
      <c r="T88" s="24" t="n">
        <v>2083953.328876878</v>
      </c>
      <c r="U88" s="24" t="n">
        <v>1925539.212762764</v>
      </c>
      <c r="V88" s="24" t="n">
        <v>451620.8689920719</v>
      </c>
      <c r="W88" s="24" t="n">
        <v>1491279.478216248</v>
      </c>
      <c r="X88" s="24" t="n">
        <v>2026875.021862382</v>
      </c>
      <c r="Y88" s="24">
        <f>X88 / 12</f>
        <v/>
      </c>
      <c r="Z88" s="15" t="n">
        <v>94</v>
      </c>
      <c r="AA88" s="24">
        <f>I88</f>
        <v/>
      </c>
      <c r="AB88" s="24">
        <f>Q88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 t="n">
        <v>13518811.50123883</v>
      </c>
      <c r="J89" s="21">
        <f>I89 * (0.01000000 / 12)</f>
        <v/>
      </c>
      <c r="K89" s="21">
        <f>(I89 - J89) * (0.00664805 / 12) * 1.0</f>
        <v/>
      </c>
      <c r="L89" s="21" t="n">
        <v>291031.6742577727</v>
      </c>
      <c r="M89" s="25">
        <f>(I89 - J89) - K89 + L89</f>
        <v/>
      </c>
      <c r="N89" s="25">
        <f>M89 * (0.00400000 / 12) * 1.0</f>
        <v/>
      </c>
      <c r="O89" s="25">
        <f>M89 * (0.00500000 / 12) * 1.0</f>
        <v/>
      </c>
      <c r="P89" s="25">
        <f>Y89</f>
        <v/>
      </c>
      <c r="Q89" s="25">
        <f>MAX(0, M89 - N89 - O89 - P89)</f>
        <v/>
      </c>
      <c r="R89" s="25" t="n">
        <v>6782753.084098591</v>
      </c>
      <c r="S89" s="25" t="n">
        <v>834218.9175926922</v>
      </c>
      <c r="T89" s="25" t="n">
        <v>2097876.812273117</v>
      </c>
      <c r="U89" s="25" t="n">
        <v>1938404.286508037</v>
      </c>
      <c r="V89" s="25" t="n">
        <v>454638.276140146</v>
      </c>
      <c r="W89" s="25" t="n">
        <v>1501243.139477935</v>
      </c>
      <c r="X89" s="25" t="n">
        <v>2059397.055485969</v>
      </c>
      <c r="Y89" s="25">
        <f>X89 / 12</f>
        <v/>
      </c>
      <c r="Z89" s="17" t="n">
        <v>93</v>
      </c>
      <c r="AA89" s="25">
        <f>I89</f>
        <v/>
      </c>
      <c r="AB89" s="25">
        <f>Q89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 t="n">
        <v>13609134.51609052</v>
      </c>
      <c r="J90" s="19">
        <f>I90 * (0.01000000 / 12)</f>
        <v/>
      </c>
      <c r="K90" s="19">
        <f>(I90 - J90) * (0.00664805 / 12) * 1.0</f>
        <v/>
      </c>
      <c r="L90" s="19" t="n">
        <v>282987.8649311442</v>
      </c>
      <c r="M90" s="24">
        <f>(I90 - J90) - K90 + L90</f>
        <v/>
      </c>
      <c r="N90" s="24">
        <f>M90 * (0.00400000 / 12) * 1.0</f>
        <v/>
      </c>
      <c r="O90" s="24">
        <f>M90 * (0.00500000 / 12) * 1.0</f>
        <v/>
      </c>
      <c r="P90" s="24">
        <f>Y90</f>
        <v/>
      </c>
      <c r="Q90" s="24">
        <f>MAX(0, M90 - N90 - O90 - P90)</f>
        <v/>
      </c>
      <c r="R90" s="24" t="n">
        <v>6822357.773038575</v>
      </c>
      <c r="S90" s="24" t="n">
        <v>839089.9456736884</v>
      </c>
      <c r="T90" s="24" t="n">
        <v>2110126.374884981</v>
      </c>
      <c r="U90" s="24" t="n">
        <v>1949722.684488211</v>
      </c>
      <c r="V90" s="24" t="n">
        <v>457292.9220167523</v>
      </c>
      <c r="W90" s="24" t="n">
        <v>1510008.941037437</v>
      </c>
      <c r="X90" s="24" t="n">
        <v>2090935.433713821</v>
      </c>
      <c r="Y90" s="24">
        <f>X90 / 12</f>
        <v/>
      </c>
      <c r="Z90" s="15" t="n">
        <v>92</v>
      </c>
      <c r="AA90" s="24">
        <f>I90</f>
        <v/>
      </c>
      <c r="AB90" s="24">
        <f>Q90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 t="n">
        <v>13688598.64113965</v>
      </c>
      <c r="J91" s="21">
        <f>I91 * (0.01000000 / 12)</f>
        <v/>
      </c>
      <c r="K91" s="21">
        <f>(I91 - J91) * (0.00664805 / 12) * 1.0</f>
        <v/>
      </c>
      <c r="L91" s="21" t="n">
        <v>244013.9881710246</v>
      </c>
      <c r="M91" s="25">
        <f>(I91 - J91) - K91 + L91</f>
        <v/>
      </c>
      <c r="N91" s="25">
        <f>M91 * (0.00400000 / 12) * 1.0</f>
        <v/>
      </c>
      <c r="O91" s="25">
        <f>M91 * (0.00500000 / 12) * 1.0</f>
        <v/>
      </c>
      <c r="P91" s="25">
        <f>Y91</f>
        <v/>
      </c>
      <c r="Q91" s="25">
        <f>MAX(0, M91 - N91 - O91 - P91)</f>
        <v/>
      </c>
      <c r="R91" s="25" t="n">
        <v>6841394.737080391</v>
      </c>
      <c r="S91" s="25" t="n">
        <v>841431.3246595231</v>
      </c>
      <c r="T91" s="25" t="n">
        <v>2116014.427264926</v>
      </c>
      <c r="U91" s="25" t="n">
        <v>1955163.149774684</v>
      </c>
      <c r="V91" s="25" t="n">
        <v>458568.9425953582</v>
      </c>
      <c r="W91" s="25" t="n">
        <v>1514222.43831648</v>
      </c>
      <c r="X91" s="25" t="n">
        <v>2116775.9673788</v>
      </c>
      <c r="Y91" s="25">
        <f>X91 / 12</f>
        <v/>
      </c>
      <c r="Z91" s="17" t="n">
        <v>91</v>
      </c>
      <c r="AA91" s="25">
        <f>I91</f>
        <v/>
      </c>
      <c r="AB91" s="25">
        <f>Q91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 t="n">
        <v>13726795.01969136</v>
      </c>
      <c r="J92" s="19">
        <f>I92 * (0.01000000 / 12)</f>
        <v/>
      </c>
      <c r="K92" s="19">
        <f>(I92 - J92) * (0.00664805 / 12) * 1.0</f>
        <v/>
      </c>
      <c r="L92" s="19" t="n">
        <v>209587.9645848549</v>
      </c>
      <c r="M92" s="24">
        <f>(I92 - J92) - K92 + L92</f>
        <v/>
      </c>
      <c r="N92" s="24">
        <f>M92 * (0.00400000 / 12) * 1.0</f>
        <v/>
      </c>
      <c r="O92" s="24">
        <f>M92 * (0.00500000 / 12) * 1.0</f>
        <v/>
      </c>
      <c r="P92" s="24">
        <f>Y92</f>
        <v/>
      </c>
      <c r="Q92" s="24">
        <f>MAX(0, M92 - N92 - O92 - P92)</f>
        <v/>
      </c>
      <c r="R92" s="24" t="n">
        <v>6842383.529629182</v>
      </c>
      <c r="S92" s="24" t="n">
        <v>841552.9374382207</v>
      </c>
      <c r="T92" s="24" t="n">
        <v>2116320.256613943</v>
      </c>
      <c r="U92" s="24" t="n">
        <v>1955445.731152965</v>
      </c>
      <c r="V92" s="24" t="n">
        <v>458635.2199512149</v>
      </c>
      <c r="W92" s="24" t="n">
        <v>1514441.290162011</v>
      </c>
      <c r="X92" s="24" t="n">
        <v>2137543.743696278</v>
      </c>
      <c r="Y92" s="24">
        <f>X92 / 12</f>
        <v/>
      </c>
      <c r="Z92" s="15" t="n">
        <v>90</v>
      </c>
      <c r="AA92" s="24">
        <f>I92</f>
        <v/>
      </c>
      <c r="AB92" s="24">
        <f>Q92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 t="n">
        <v>13728778.96494754</v>
      </c>
      <c r="J93" s="21">
        <f>I93 * (0.01000000 / 12)</f>
        <v/>
      </c>
      <c r="K93" s="21">
        <f>(I93 - J93) * (0.00664805 / 12) * 1.0</f>
        <v/>
      </c>
      <c r="L93" s="21" t="n">
        <v>771590.436577404</v>
      </c>
      <c r="M93" s="25">
        <f>(I93 - J93) - K93 + L93</f>
        <v/>
      </c>
      <c r="N93" s="25">
        <f>M93 * (0.00400000 / 12) * 1.0</f>
        <v/>
      </c>
      <c r="O93" s="25">
        <f>M93 * (0.00500000 / 12) * 1.0</f>
        <v/>
      </c>
      <c r="P93" s="25">
        <f>Y93</f>
        <v/>
      </c>
      <c r="Q93" s="25">
        <f>MAX(0, M93 - N93 - O93 - P93)</f>
        <v/>
      </c>
      <c r="R93" s="25" t="n">
        <v>7118770.054482863</v>
      </c>
      <c r="S93" s="25" t="n">
        <v>875546.0468352269</v>
      </c>
      <c r="T93" s="25" t="n">
        <v>2201805.438593311</v>
      </c>
      <c r="U93" s="25" t="n">
        <v>2034432.65841786</v>
      </c>
      <c r="V93" s="25" t="n">
        <v>477161.0149565542</v>
      </c>
      <c r="W93" s="25" t="n">
        <v>1575614.587956602</v>
      </c>
      <c r="X93" s="25" t="n">
        <v>2245661.844313921</v>
      </c>
      <c r="Y93" s="25">
        <f>X93 / 12</f>
        <v/>
      </c>
      <c r="Z93" s="17" t="n">
        <v>89</v>
      </c>
      <c r="AA93" s="25">
        <f>I93</f>
        <v/>
      </c>
      <c r="AB93" s="25">
        <f>Q93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 t="n">
        <v>14283329.80124242</v>
      </c>
      <c r="J94" s="19">
        <f>I94 * (0.01000000 / 12)</f>
        <v/>
      </c>
      <c r="K94" s="19">
        <f>(I94 - J94) * (0.00664805 / 12) * 1.0</f>
        <v/>
      </c>
      <c r="L94" s="19" t="n">
        <v>322177.434214555</v>
      </c>
      <c r="M94" s="24">
        <f>(I94 - J94) - K94 + L94</f>
        <v/>
      </c>
      <c r="N94" s="24">
        <f>M94 * (0.00400000 / 12) * 1.0</f>
        <v/>
      </c>
      <c r="O94" s="24">
        <f>M94 * (0.00500000 / 12) * 1.0</f>
        <v/>
      </c>
      <c r="P94" s="24">
        <f>Y94</f>
        <v/>
      </c>
      <c r="Q94" s="24">
        <f>MAX(0, M94 - N94 - O94 - P94)</f>
        <v/>
      </c>
      <c r="R94" s="24" t="n">
        <v>7169156.072330846</v>
      </c>
      <c r="S94" s="24" t="n">
        <v>881743.0834588204</v>
      </c>
      <c r="T94" s="24" t="n">
        <v>2217389.620590717</v>
      </c>
      <c r="U94" s="24" t="n">
        <v>2048832.190844533</v>
      </c>
      <c r="V94" s="24" t="n">
        <v>480538.3179501832</v>
      </c>
      <c r="W94" s="24" t="n">
        <v>1586766.647110462</v>
      </c>
      <c r="X94" s="24" t="n">
        <v>2283993.840283424</v>
      </c>
      <c r="Y94" s="24">
        <f>X94 / 12</f>
        <v/>
      </c>
      <c r="Z94" s="15" t="n">
        <v>88</v>
      </c>
      <c r="AA94" s="24">
        <f>I94</f>
        <v/>
      </c>
      <c r="AB94" s="24">
        <f>Q94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 t="n">
        <v>14384425.93228556</v>
      </c>
      <c r="J95" s="21">
        <f>I95 * (0.01000000 / 12)</f>
        <v/>
      </c>
      <c r="K95" s="21">
        <f>(I95 - J95) * (0.00664805 / 12) * 1.0</f>
        <v/>
      </c>
      <c r="L95" s="21" t="n">
        <v>659920.4571528883</v>
      </c>
      <c r="M95" s="25">
        <f>(I95 - J95) - K95 + L95</f>
        <v/>
      </c>
      <c r="N95" s="25">
        <f>M95 * (0.00400000 / 12) * 1.0</f>
        <v/>
      </c>
      <c r="O95" s="25">
        <f>M95 * (0.00500000 / 12) * 1.0</f>
        <v/>
      </c>
      <c r="P95" s="25">
        <f>Y95</f>
        <v/>
      </c>
      <c r="Q95" s="25">
        <f>MAX(0, M95 - N95 - O95 - P95)</f>
        <v/>
      </c>
      <c r="R95" s="25" t="n">
        <v>7383815.748311811</v>
      </c>
      <c r="S95" s="25" t="n">
        <v>908144.3338548365</v>
      </c>
      <c r="T95" s="25" t="n">
        <v>2283782.949551234</v>
      </c>
      <c r="U95" s="25" t="n">
        <v>2110178.55432007</v>
      </c>
      <c r="V95" s="25" t="n">
        <v>494926.6502150834</v>
      </c>
      <c r="W95" s="25" t="n">
        <v>1634277.792200569</v>
      </c>
      <c r="X95" s="25" t="n">
        <v>2376031.749757466</v>
      </c>
      <c r="Y95" s="25">
        <f>X95 / 12</f>
        <v/>
      </c>
      <c r="Z95" s="17" t="n">
        <v>87</v>
      </c>
      <c r="AA95" s="25">
        <f>I95</f>
        <v/>
      </c>
      <c r="AB95" s="25">
        <f>Q95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 t="n">
        <v>14815126.02845361</v>
      </c>
      <c r="J96" s="19">
        <f>I96 * (0.01000000 / 12)</f>
        <v/>
      </c>
      <c r="K96" s="19">
        <f>(I96 - J96) * (0.00664805 / 12) * 1.0</f>
        <v/>
      </c>
      <c r="L96" s="19" t="n">
        <v>572557.9037887062</v>
      </c>
      <c r="M96" s="24">
        <f>(I96 - J96) - K96 + L96</f>
        <v/>
      </c>
      <c r="N96" s="24">
        <f>M96 * (0.00400000 / 12) * 1.0</f>
        <v/>
      </c>
      <c r="O96" s="24">
        <f>M96 * (0.00500000 / 12) * 1.0</f>
        <v/>
      </c>
      <c r="P96" s="24">
        <f>Y96</f>
        <v/>
      </c>
      <c r="Q96" s="24">
        <f>MAX(0, M96 - N96 - O96 - P96)</f>
        <v/>
      </c>
      <c r="R96" s="24" t="n">
        <v>7551242.382944507</v>
      </c>
      <c r="S96" s="24" t="n">
        <v>928736.3359795958</v>
      </c>
      <c r="T96" s="24" t="n">
        <v>2335567.29879672</v>
      </c>
      <c r="U96" s="24" t="n">
        <v>2158026.456524926</v>
      </c>
      <c r="V96" s="24" t="n">
        <v>506149.019009225</v>
      </c>
      <c r="W96" s="24" t="n">
        <v>1671334.73404878</v>
      </c>
      <c r="X96" s="24" t="n">
        <v>2454667.282905137</v>
      </c>
      <c r="Y96" s="24">
        <f>X96 / 12</f>
        <v/>
      </c>
      <c r="Z96" s="15" t="n">
        <v>86</v>
      </c>
      <c r="AA96" s="24">
        <f>I96</f>
        <v/>
      </c>
      <c r="AB96" s="24">
        <f>Q96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 t="n">
        <v>15151056.22730375</v>
      </c>
      <c r="J97" s="21">
        <f>I97 * (0.01000000 / 12)</f>
        <v/>
      </c>
      <c r="K97" s="21">
        <f>(I97 - J97) * (0.00664805 / 12) * 1.0</f>
        <v/>
      </c>
      <c r="L97" s="21" t="n">
        <v>130966.3766453346</v>
      </c>
      <c r="M97" s="25">
        <f>(I97 - J97) - K97 + L97</f>
        <v/>
      </c>
      <c r="N97" s="25">
        <f>M97 * (0.00400000 / 12) * 1.0</f>
        <v/>
      </c>
      <c r="O97" s="25">
        <f>M97 * (0.00500000 / 12) * 1.0</f>
        <v/>
      </c>
      <c r="P97" s="25">
        <f>Y97</f>
        <v/>
      </c>
      <c r="Q97" s="25">
        <f>MAX(0, M97 - N97 - O97 - P97)</f>
        <v/>
      </c>
      <c r="R97" s="25" t="n">
        <v>7498060.995802599</v>
      </c>
      <c r="S97" s="25" t="n">
        <v>922195.4935417944</v>
      </c>
      <c r="T97" s="25" t="n">
        <v>2319118.520911663</v>
      </c>
      <c r="U97" s="25" t="n">
        <v>2142828.051464303</v>
      </c>
      <c r="V97" s="25" t="n">
        <v>502584.3463942625</v>
      </c>
      <c r="W97" s="25" t="n">
        <v>1659563.969050437</v>
      </c>
      <c r="X97" s="25" t="n">
        <v>2462553.967025443</v>
      </c>
      <c r="Y97" s="25">
        <f>X97 / 12</f>
        <v/>
      </c>
      <c r="Z97" s="17" t="n">
        <v>85</v>
      </c>
      <c r="AA97" s="25">
        <f>I97</f>
        <v/>
      </c>
      <c r="AB97" s="25">
        <f>Q97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 t="n">
        <v>15044351.37716506</v>
      </c>
      <c r="J98" s="19">
        <f>I98 * (0.01000000 / 12)</f>
        <v/>
      </c>
      <c r="K98" s="19">
        <f>(I98 - J98) * (0.00664805 / 12) * 1.0</f>
        <v/>
      </c>
      <c r="L98" s="19" t="n">
        <v>714452.637779034</v>
      </c>
      <c r="M98" s="24">
        <f>(I98 - J98) - K98 + L98</f>
        <v/>
      </c>
      <c r="N98" s="24">
        <f>M98 * (0.00400000 / 12) * 1.0</f>
        <v/>
      </c>
      <c r="O98" s="24">
        <f>M98 * (0.00500000 / 12) * 1.0</f>
        <v/>
      </c>
      <c r="P98" s="24">
        <f>Y98</f>
        <v/>
      </c>
      <c r="Q98" s="24">
        <f>MAX(0, M98 - N98 - O98 - P98)</f>
        <v/>
      </c>
      <c r="R98" s="24" t="n">
        <v>7731297.250255174</v>
      </c>
      <c r="S98" s="24" t="n">
        <v>950881.4995515</v>
      </c>
      <c r="T98" s="24" t="n">
        <v>2391257.506944429</v>
      </c>
      <c r="U98" s="24" t="n">
        <v>2209483.309262183</v>
      </c>
      <c r="V98" s="24" t="n">
        <v>518217.8402488888</v>
      </c>
      <c r="W98" s="24" t="n">
        <v>1711186.71316821</v>
      </c>
      <c r="X98" s="24" t="n">
        <v>2565741.464162399</v>
      </c>
      <c r="Y98" s="24">
        <f>X98 / 12</f>
        <v/>
      </c>
      <c r="Z98" s="15" t="n">
        <v>84</v>
      </c>
      <c r="AA98" s="24">
        <f>I98</f>
        <v/>
      </c>
      <c r="AB98" s="24">
        <f>Q98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 t="n">
        <v>15512324.11943038</v>
      </c>
      <c r="J99" s="21">
        <f>I99 * (0.01000000 / 12)</f>
        <v/>
      </c>
      <c r="K99" s="21">
        <f>(I99 - J99) * (0.00664805 / 12) * 1.0</f>
        <v/>
      </c>
      <c r="L99" s="21" t="n">
        <v>522374.7039899977</v>
      </c>
      <c r="M99" s="25">
        <f>(I99 - J99) - K99 + L99</f>
        <v/>
      </c>
      <c r="N99" s="25">
        <f>M99 * (0.00400000 / 12) * 1.0</f>
        <v/>
      </c>
      <c r="O99" s="25">
        <f>M99 * (0.00500000 / 12) * 1.0</f>
        <v/>
      </c>
      <c r="P99" s="25">
        <f>Y99</f>
        <v/>
      </c>
      <c r="Q99" s="25">
        <f>MAX(0, M99 - N99 - O99 - P99)</f>
        <v/>
      </c>
      <c r="R99" s="25" t="n">
        <v>7865377.045365823</v>
      </c>
      <c r="S99" s="25" t="n">
        <v>967372.1339828903</v>
      </c>
      <c r="T99" s="25" t="n">
        <v>2432727.819908703</v>
      </c>
      <c r="U99" s="25" t="n">
        <v>2247801.208550882</v>
      </c>
      <c r="V99" s="25" t="n">
        <v>527205.0178976281</v>
      </c>
      <c r="W99" s="25" t="n">
        <v>1740862.91839885</v>
      </c>
      <c r="X99" s="25" t="n">
        <v>2637949.414797358</v>
      </c>
      <c r="Y99" s="25">
        <f>X99 / 12</f>
        <v/>
      </c>
      <c r="Z99" s="17" t="n">
        <v>83</v>
      </c>
      <c r="AA99" s="25">
        <f>I99</f>
        <v/>
      </c>
      <c r="AB99" s="25">
        <f>Q99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 t="n">
        <v>15781346.14410478</v>
      </c>
      <c r="J100" s="19">
        <f>I100 * (0.01000000 / 12)</f>
        <v/>
      </c>
      <c r="K100" s="19">
        <f>(I100 - J100) * (0.00664805 / 12) * 1.0</f>
        <v/>
      </c>
      <c r="L100" s="19" t="n">
        <v>450605.3065078406</v>
      </c>
      <c r="M100" s="24">
        <f>(I100 - J100) - K100 + L100</f>
        <v/>
      </c>
      <c r="N100" s="24">
        <f>M100 * (0.00400000 / 12) * 1.0</f>
        <v/>
      </c>
      <c r="O100" s="24">
        <f>M100 * (0.00500000 / 12) * 1.0</f>
        <v/>
      </c>
      <c r="P100" s="24">
        <f>Y100</f>
        <v/>
      </c>
      <c r="Q100" s="24">
        <f>MAX(0, M100 - N100 - O100 - P100)</f>
        <v/>
      </c>
      <c r="R100" s="24" t="n">
        <v>7960903.121400354</v>
      </c>
      <c r="S100" s="24" t="n">
        <v>979121.0003743602</v>
      </c>
      <c r="T100" s="24" t="n">
        <v>2462273.630790439</v>
      </c>
      <c r="U100" s="24" t="n">
        <v>2275101.060537642</v>
      </c>
      <c r="V100" s="24" t="n">
        <v>533607.9946824663</v>
      </c>
      <c r="W100" s="24" t="n">
        <v>1762005.935770999</v>
      </c>
      <c r="X100" s="24" t="n">
        <v>2698732.629143894</v>
      </c>
      <c r="Y100" s="24">
        <f>X100 / 12</f>
        <v/>
      </c>
      <c r="Z100" s="15" t="n">
        <v>82</v>
      </c>
      <c r="AA100" s="24">
        <f>I100</f>
        <v/>
      </c>
      <c r="AB100" s="24">
        <f>Q100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 t="n">
        <v>15973012.74355626</v>
      </c>
      <c r="J101" s="21">
        <f>I101 * (0.01000000 / 12)</f>
        <v/>
      </c>
      <c r="K101" s="21">
        <f>(I101 - J101) * (0.00664805 / 12) * 1.0</f>
        <v/>
      </c>
      <c r="L101" s="21" t="n">
        <v>332884.3147205329</v>
      </c>
      <c r="M101" s="25">
        <f>(I101 - J101) - K101 + L101</f>
        <v/>
      </c>
      <c r="N101" s="25">
        <f>M101 * (0.00400000 / 12) * 1.0</f>
        <v/>
      </c>
      <c r="O101" s="25">
        <f>M101 * (0.00500000 / 12) * 1.0</f>
        <v/>
      </c>
      <c r="P101" s="25">
        <f>Y101</f>
        <v/>
      </c>
      <c r="Q101" s="25">
        <f>MAX(0, M101 - N101 - O101 - P101)</f>
        <v/>
      </c>
      <c r="R101" s="25" t="n">
        <v>7995875.704802842</v>
      </c>
      <c r="S101" s="25" t="n">
        <v>983422.3202528387</v>
      </c>
      <c r="T101" s="25" t="n">
        <v>2473090.50277084</v>
      </c>
      <c r="U101" s="25" t="n">
        <v>2285095.675517298</v>
      </c>
      <c r="V101" s="25" t="n">
        <v>535952.157124049</v>
      </c>
      <c r="W101" s="25" t="n">
        <v>1769746.502212359</v>
      </c>
      <c r="X101" s="25" t="n">
        <v>2740185.559461914</v>
      </c>
      <c r="Y101" s="25">
        <f>X101 / 12</f>
        <v/>
      </c>
      <c r="Z101" s="17" t="n">
        <v>81</v>
      </c>
      <c r="AA101" s="25">
        <f>I101</f>
        <v/>
      </c>
      <c r="AB101" s="25">
        <f>Q101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 t="n">
        <v>16043182.86268022</v>
      </c>
      <c r="J102" s="19">
        <f>I102 * (0.01000000 / 12)</f>
        <v/>
      </c>
      <c r="K102" s="19">
        <f>(I102 - J102) * (0.00664805 / 12) * 1.0</f>
        <v/>
      </c>
      <c r="L102" s="19" t="n">
        <v>277163.30848664</v>
      </c>
      <c r="M102" s="24">
        <f>(I102 - J102) - K102 + L102</f>
        <v/>
      </c>
      <c r="N102" s="24">
        <f>M102 * (0.00400000 / 12) * 1.0</f>
        <v/>
      </c>
      <c r="O102" s="24">
        <f>M102 * (0.00500000 / 12) * 1.0</f>
        <v/>
      </c>
      <c r="P102" s="24">
        <f>Y102</f>
        <v/>
      </c>
      <c r="Q102" s="24">
        <f>MAX(0, M102 - N102 - O102 - P102)</f>
        <v/>
      </c>
      <c r="R102" s="24" t="n">
        <v>8001679.14894882</v>
      </c>
      <c r="S102" s="24" t="n">
        <v>984136.0927923579</v>
      </c>
      <c r="T102" s="24" t="n">
        <v>2474885.483474724</v>
      </c>
      <c r="U102" s="24" t="n">
        <v>2286754.208692485</v>
      </c>
      <c r="V102" s="24" t="n">
        <v>536341.1537172451</v>
      </c>
      <c r="W102" s="24" t="n">
        <v>1771030.992536785</v>
      </c>
      <c r="X102" s="24" t="n">
        <v>2772547.331009094</v>
      </c>
      <c r="Y102" s="24">
        <f>X102 / 12</f>
        <v/>
      </c>
      <c r="Z102" s="15" t="n">
        <v>80</v>
      </c>
      <c r="AA102" s="24">
        <f>I102</f>
        <v/>
      </c>
      <c r="AB102" s="24">
        <f>Q102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 t="n">
        <v>16054827.08016242</v>
      </c>
      <c r="J103" s="21">
        <f>I103 * (0.01000000 / 12)</f>
        <v/>
      </c>
      <c r="K103" s="21">
        <f>(I103 - J103) * (0.00664805 / 12) * 1.0</f>
        <v/>
      </c>
      <c r="L103" s="21" t="n">
        <v>227835.7767599673</v>
      </c>
      <c r="M103" s="25">
        <f>(I103 - J103) - K103 + L103</f>
        <v/>
      </c>
      <c r="N103" s="25">
        <f>M103 * (0.00400000 / 12) * 1.0</f>
        <v/>
      </c>
      <c r="O103" s="25">
        <f>M103 * (0.00500000 / 12) * 1.0</f>
        <v/>
      </c>
      <c r="P103" s="25">
        <f>Y103</f>
        <v/>
      </c>
      <c r="Q103" s="25">
        <f>MAX(0, M103 - N103 - O103 - P103)</f>
        <v/>
      </c>
      <c r="R103" s="25" t="n">
        <v>7981897.801705408</v>
      </c>
      <c r="S103" s="25" t="n">
        <v>981703.1612258806</v>
      </c>
      <c r="T103" s="25" t="n">
        <v>2468767.196522076</v>
      </c>
      <c r="U103" s="25" t="n">
        <v>2281101.010379925</v>
      </c>
      <c r="V103" s="25" t="n">
        <v>535015.2381931258</v>
      </c>
      <c r="W103" s="25" t="n">
        <v>1766652.73912396</v>
      </c>
      <c r="X103" s="25" t="n">
        <v>2796772.262337877</v>
      </c>
      <c r="Y103" s="25">
        <f>X103 / 12</f>
        <v/>
      </c>
      <c r="Z103" s="17" t="n">
        <v>79</v>
      </c>
      <c r="AA103" s="25">
        <f>I103</f>
        <v/>
      </c>
      <c r="AB103" s="25">
        <f>Q103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 t="n">
        <v>16015137.14715038</v>
      </c>
      <c r="J104" s="19">
        <f>I104 * (0.01000000 / 12)</f>
        <v/>
      </c>
      <c r="K104" s="19">
        <f>(I104 - J104) * (0.00664805 / 12) * 1.0</f>
        <v/>
      </c>
      <c r="L104" s="19" t="n">
        <v>450614.8420878475</v>
      </c>
      <c r="M104" s="24">
        <f>(I104 - J104) - K104 + L104</f>
        <v/>
      </c>
      <c r="N104" s="24">
        <f>M104 * (0.00400000 / 12) * 1.0</f>
        <v/>
      </c>
      <c r="O104" s="24">
        <f>M104 * (0.00500000 / 12) * 1.0</f>
        <v/>
      </c>
      <c r="P104" s="24">
        <f>Y104</f>
        <v/>
      </c>
      <c r="Q104" s="24">
        <f>MAX(0, M104 - N104 - O104 - P104)</f>
        <v/>
      </c>
      <c r="R104" s="24" t="n">
        <v>8070479.539072116</v>
      </c>
      <c r="S104" s="24" t="n">
        <v>992597.9350954732</v>
      </c>
      <c r="T104" s="24" t="n">
        <v>2496165.152854609</v>
      </c>
      <c r="U104" s="24" t="n">
        <v>2306416.279458569</v>
      </c>
      <c r="V104" s="24" t="n">
        <v>540952.7458503505</v>
      </c>
      <c r="W104" s="24" t="n">
        <v>1786258.749228702</v>
      </c>
      <c r="X104" s="24" t="n">
        <v>2860055.039882577</v>
      </c>
      <c r="Y104" s="24">
        <f>X104 / 12</f>
        <v/>
      </c>
      <c r="Z104" s="15" t="n">
        <v>78</v>
      </c>
      <c r="AA104" s="24">
        <f>I104</f>
        <v/>
      </c>
      <c r="AB104" s="24">
        <f>Q104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 t="n">
        <v>16192870.40155982</v>
      </c>
      <c r="J105" s="21">
        <f>I105 * (0.01000000 / 12)</f>
        <v/>
      </c>
      <c r="K105" s="21">
        <f>(I105 - J105) * (0.00664805 / 12) * 1.0</f>
        <v/>
      </c>
      <c r="L105" s="21" t="n">
        <v>904751.9960764328</v>
      </c>
      <c r="M105" s="25">
        <f>(I105 - J105) - K105 + L105</f>
        <v/>
      </c>
      <c r="N105" s="25">
        <f>M105 * (0.00400000 / 12) * 1.0</f>
        <v/>
      </c>
      <c r="O105" s="25">
        <f>M105 * (0.00500000 / 12) * 1.0</f>
        <v/>
      </c>
      <c r="P105" s="25">
        <f>Y105</f>
        <v/>
      </c>
      <c r="Q105" s="25">
        <f>MAX(0, M105 - N105 - O105 - P105)</f>
        <v/>
      </c>
      <c r="R105" s="25" t="n">
        <v>8379073.64458143</v>
      </c>
      <c r="S105" s="25" t="n">
        <v>1030552.293374708</v>
      </c>
      <c r="T105" s="25" t="n">
        <v>2591612.003171171</v>
      </c>
      <c r="U105" s="25" t="n">
        <v>2394607.62735132</v>
      </c>
      <c r="V105" s="25" t="n">
        <v>561637.3691023275</v>
      </c>
      <c r="W105" s="25" t="n">
        <v>1854560.628721454</v>
      </c>
      <c r="X105" s="25" t="n">
        <v>3003779.420351648</v>
      </c>
      <c r="Y105" s="25">
        <f>X105 / 12</f>
        <v/>
      </c>
      <c r="Z105" s="17" t="n">
        <v>77</v>
      </c>
      <c r="AA105" s="25">
        <f>I105</f>
        <v/>
      </c>
      <c r="AB105" s="25">
        <f>Q105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 t="n">
        <v>16812043.56630241</v>
      </c>
      <c r="J106" s="19">
        <f>I106 * (0.01000000 / 12)</f>
        <v/>
      </c>
      <c r="K106" s="19">
        <f>(I106 - J106) * (0.00664805 / 12) * 1.0</f>
        <v/>
      </c>
      <c r="L106" s="19" t="n">
        <v>272607.4013383219</v>
      </c>
      <c r="M106" s="24">
        <f>(I106 - J106) - K106 + L106</f>
        <v/>
      </c>
      <c r="N106" s="24">
        <f>M106 * (0.00400000 / 12) * 1.0</f>
        <v/>
      </c>
      <c r="O106" s="24">
        <f>M106 * (0.00500000 / 12) * 1.0</f>
        <v/>
      </c>
      <c r="P106" s="24">
        <f>Y106</f>
        <v/>
      </c>
      <c r="Q106" s="24">
        <f>MAX(0, M106 - N106 - O106 - P106)</f>
        <v/>
      </c>
      <c r="R106" s="24" t="n">
        <v>8370844.401525845</v>
      </c>
      <c r="S106" s="24" t="n">
        <v>1029540.168924752</v>
      </c>
      <c r="T106" s="24" t="n">
        <v>2589066.733134829</v>
      </c>
      <c r="U106" s="24" t="n">
        <v>2392255.838952733</v>
      </c>
      <c r="V106" s="24" t="n">
        <v>561085.7746641488</v>
      </c>
      <c r="W106" s="24" t="n">
        <v>1852739.230459257</v>
      </c>
      <c r="X106" s="24" t="n">
        <v>3036079.157379222</v>
      </c>
      <c r="Y106" s="24">
        <f>X106 / 12</f>
        <v/>
      </c>
      <c r="Z106" s="15" t="n">
        <v>76</v>
      </c>
      <c r="AA106" s="24">
        <f>I106</f>
        <v/>
      </c>
      <c r="AB106" s="24">
        <f>Q106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 t="n">
        <v>16795532.14766156</v>
      </c>
      <c r="J107" s="21">
        <f>I107 * (0.01000000 / 12)</f>
        <v/>
      </c>
      <c r="K107" s="21">
        <f>(I107 - J107) * (0.00664805 / 12) * 1.0</f>
        <v/>
      </c>
      <c r="L107" s="21" t="n">
        <v>469065.5854180501</v>
      </c>
      <c r="M107" s="25">
        <f>(I107 - J107) - K107 + L107</f>
        <v/>
      </c>
      <c r="N107" s="25">
        <f>M107 * (0.00400000 / 12) * 1.0</f>
        <v/>
      </c>
      <c r="O107" s="25">
        <f>M107 * (0.00500000 / 12) * 1.0</f>
        <v/>
      </c>
      <c r="P107" s="25">
        <f>Y107</f>
        <v/>
      </c>
      <c r="Q107" s="25">
        <f>MAX(0, M107 - N107 - O107 - P107)</f>
        <v/>
      </c>
      <c r="R107" s="25" t="n">
        <v>8457646.5104143</v>
      </c>
      <c r="S107" s="25" t="n">
        <v>1040216.064158422</v>
      </c>
      <c r="T107" s="25" t="n">
        <v>2615914.257913582</v>
      </c>
      <c r="U107" s="25" t="n">
        <v>2417062.518167075</v>
      </c>
      <c r="V107" s="25" t="n">
        <v>566903.9963598337</v>
      </c>
      <c r="W107" s="25" t="n">
        <v>1871951.351090112</v>
      </c>
      <c r="X107" s="25" t="n">
        <v>3104144.80187724</v>
      </c>
      <c r="Y107" s="25">
        <f>X107 / 12</f>
        <v/>
      </c>
      <c r="Z107" s="17" t="n">
        <v>75</v>
      </c>
      <c r="AA107" s="25">
        <f>I107</f>
        <v/>
      </c>
      <c r="AB107" s="25">
        <f>Q107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 t="n">
        <v>16969694.69810333</v>
      </c>
      <c r="J108" s="19">
        <f>I108 * (0.01000000 / 12)</f>
        <v/>
      </c>
      <c r="K108" s="19">
        <f>(I108 - J108) * (0.00664805 / 12) * 1.0</f>
        <v/>
      </c>
      <c r="L108" s="19" t="n">
        <v>652097.832027952</v>
      </c>
      <c r="M108" s="24">
        <f>(I108 - J108) - K108 + L108</f>
        <v/>
      </c>
      <c r="N108" s="24">
        <f>M108 * (0.00400000 / 12) * 1.0</f>
        <v/>
      </c>
      <c r="O108" s="24">
        <f>M108 * (0.00500000 / 12) * 1.0</f>
        <v/>
      </c>
      <c r="P108" s="24">
        <f>Y108</f>
        <v/>
      </c>
      <c r="Q108" s="24">
        <f>MAX(0, M108 - N108 - O108 - P108)</f>
        <v/>
      </c>
      <c r="R108" s="24" t="n">
        <v>8631179.029349955</v>
      </c>
      <c r="S108" s="24" t="n">
        <v>1061559.036299486</v>
      </c>
      <c r="T108" s="24" t="n">
        <v>2669587.131323042</v>
      </c>
      <c r="U108" s="24" t="n">
        <v>2466655.386193187</v>
      </c>
      <c r="V108" s="24" t="n">
        <v>578535.6338800205</v>
      </c>
      <c r="W108" s="24" t="n">
        <v>1910359.723073934</v>
      </c>
      <c r="X108" s="24" t="n">
        <v>3206196.380328971</v>
      </c>
      <c r="Y108" s="24">
        <f>X108 / 12</f>
        <v/>
      </c>
      <c r="Z108" s="15" t="n">
        <v>74</v>
      </c>
      <c r="AA108" s="24">
        <f>I108</f>
        <v/>
      </c>
      <c r="AB108" s="24">
        <f>Q108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 t="n">
        <v>17317875.94011962</v>
      </c>
      <c r="J109" s="21">
        <f>I109 * (0.01000000 / 12)</f>
        <v/>
      </c>
      <c r="K109" s="21">
        <f>(I109 - J109) * (0.00664805 / 12) * 1.0</f>
        <v/>
      </c>
      <c r="L109" s="21" t="n">
        <v>943662.5146143766</v>
      </c>
      <c r="M109" s="25">
        <f>(I109 - J109) - K109 + L109</f>
        <v/>
      </c>
      <c r="N109" s="25">
        <f>M109 * (0.00400000 / 12) * 1.0</f>
        <v/>
      </c>
      <c r="O109" s="25">
        <f>M109 * (0.00500000 / 12) * 1.0</f>
        <v/>
      </c>
      <c r="P109" s="25">
        <f>Y109</f>
        <v/>
      </c>
      <c r="Q109" s="25">
        <f>MAX(0, M109 - N109 - O109 - P109)</f>
        <v/>
      </c>
      <c r="R109" s="25" t="n">
        <v>8943038.588257171</v>
      </c>
      <c r="S109" s="25" t="n">
        <v>1099915.016599348</v>
      </c>
      <c r="T109" s="25" t="n">
        <v>2766043.972550386</v>
      </c>
      <c r="U109" s="25" t="n">
        <v>2555779.949372624</v>
      </c>
      <c r="V109" s="25" t="n">
        <v>599439.1358211125</v>
      </c>
      <c r="W109" s="25" t="n">
        <v>1979384.353262474</v>
      </c>
      <c r="X109" s="25" t="n">
        <v>3362898.588097608</v>
      </c>
      <c r="Y109" s="25">
        <f>X109 / 12</f>
        <v/>
      </c>
      <c r="Z109" s="17" t="n">
        <v>73</v>
      </c>
      <c r="AA109" s="25">
        <f>I109</f>
        <v/>
      </c>
      <c r="AB109" s="25">
        <f>Q109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 t="n">
        <v>17943601.01586312</v>
      </c>
      <c r="J110" s="19">
        <f>I110 * (0.01000000 / 12)</f>
        <v/>
      </c>
      <c r="K110" s="19">
        <f>(I110 - J110) * (0.00664805 / 12) * 1.0</f>
        <v/>
      </c>
      <c r="L110" s="19" t="n">
        <v>209638.2556822155</v>
      </c>
      <c r="M110" s="24">
        <f>(I110 - J110) - K110 + L110</f>
        <v/>
      </c>
      <c r="N110" s="24">
        <f>M110 * (0.00400000 / 12) * 1.0</f>
        <v/>
      </c>
      <c r="O110" s="24">
        <f>M110 * (0.00500000 / 12) * 1.0</f>
        <v/>
      </c>
      <c r="P110" s="24">
        <f>Y110</f>
        <v/>
      </c>
      <c r="Q110" s="24">
        <f>MAX(0, M110 - N110 - O110 - P110)</f>
        <v/>
      </c>
      <c r="R110" s="24" t="n">
        <v>8887799.453347182</v>
      </c>
      <c r="S110" s="24" t="n">
        <v>1093121.08930139</v>
      </c>
      <c r="T110" s="24" t="n">
        <v>2748958.741992698</v>
      </c>
      <c r="U110" s="24" t="n">
        <v>2539993.472323423</v>
      </c>
      <c r="V110" s="24" t="n">
        <v>595736.5353048373</v>
      </c>
      <c r="W110" s="24" t="n">
        <v>1967158.141975389</v>
      </c>
      <c r="X110" s="24" t="n">
        <v>3383880.233824304</v>
      </c>
      <c r="Y110" s="24">
        <f>X110 / 12</f>
        <v/>
      </c>
      <c r="Z110" s="15" t="n">
        <v>72</v>
      </c>
      <c r="AA110" s="24">
        <f>I110</f>
        <v/>
      </c>
      <c r="AB110" s="24">
        <f>Q110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 t="n">
        <v>17832767.43424492</v>
      </c>
      <c r="J111" s="21">
        <f>I111 * (0.01000000 / 12)</f>
        <v/>
      </c>
      <c r="K111" s="21">
        <f>(I111 - J111) * (0.00664805 / 12) * 1.0</f>
        <v/>
      </c>
      <c r="L111" s="21" t="n">
        <v>350086.5461082846</v>
      </c>
      <c r="M111" s="25">
        <f>(I111 - J111) - K111 + L111</f>
        <v/>
      </c>
      <c r="N111" s="25">
        <f>M111 * (0.00400000 / 12) * 1.0</f>
        <v/>
      </c>
      <c r="O111" s="25">
        <f>M111 * (0.00500000 / 12) * 1.0</f>
        <v/>
      </c>
      <c r="P111" s="25">
        <f>Y111</f>
        <v/>
      </c>
      <c r="Q111" s="25">
        <f>MAX(0, M111 - N111 - O111 - P111)</f>
        <v/>
      </c>
      <c r="R111" s="25" t="n">
        <v>8900635.344757389</v>
      </c>
      <c r="S111" s="25" t="n">
        <v>1094699.790944484</v>
      </c>
      <c r="T111" s="25" t="n">
        <v>2752928.828861622</v>
      </c>
      <c r="U111" s="25" t="n">
        <v>2543661.76845955</v>
      </c>
      <c r="V111" s="25" t="n">
        <v>596596.9068193395</v>
      </c>
      <c r="W111" s="25" t="n">
        <v>1969999.140855893</v>
      </c>
      <c r="X111" s="25" t="n">
        <v>3431781.215715884</v>
      </c>
      <c r="Y111" s="25">
        <f>X111 / 12</f>
        <v/>
      </c>
      <c r="Z111" s="17" t="n">
        <v>71</v>
      </c>
      <c r="AA111" s="25">
        <f>I111</f>
        <v/>
      </c>
      <c r="AB111" s="25">
        <f>Q111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 t="n">
        <v>17858521.78069828</v>
      </c>
      <c r="J112" s="19">
        <f>I112 * (0.01000000 / 12)</f>
        <v/>
      </c>
      <c r="K112" s="19">
        <f>(I112 - J112) * (0.00664805 / 12) * 1.0</f>
        <v/>
      </c>
      <c r="L112" s="19" t="n">
        <v>212042.7812669782</v>
      </c>
      <c r="M112" s="24">
        <f>(I112 - J112) - K112 + L112</f>
        <v/>
      </c>
      <c r="N112" s="24">
        <f>M112 * (0.00400000 / 12) * 1.0</f>
        <v/>
      </c>
      <c r="O112" s="24">
        <f>M112 * (0.00500000 / 12) * 1.0</f>
        <v/>
      </c>
      <c r="P112" s="24">
        <f>Y112</f>
        <v/>
      </c>
      <c r="Q112" s="24">
        <f>MAX(0, M112 - N112 - O112 - P112)</f>
        <v/>
      </c>
      <c r="R112" s="24" t="n">
        <v>8843778.531450994</v>
      </c>
      <c r="S112" s="24" t="n">
        <v>1087706.903444948</v>
      </c>
      <c r="T112" s="24" t="n">
        <v>2735343.257224809</v>
      </c>
      <c r="U112" s="24" t="n">
        <v>2527412.984335492</v>
      </c>
      <c r="V112" s="24" t="n">
        <v>592785.8756247876</v>
      </c>
      <c r="W112" s="24" t="n">
        <v>1957414.8848981</v>
      </c>
      <c r="X112" s="24" t="n">
        <v>3453842.628848365</v>
      </c>
      <c r="Y112" s="24">
        <f>X112 / 12</f>
        <v/>
      </c>
      <c r="Z112" s="15" t="n">
        <v>70</v>
      </c>
      <c r="AA112" s="24">
        <f>I112</f>
        <v/>
      </c>
      <c r="AB112" s="24">
        <f>Q112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 t="n">
        <v>17744442.43697913</v>
      </c>
      <c r="J113" s="21">
        <f>I113 * (0.01000000 / 12)</f>
        <v/>
      </c>
      <c r="K113" s="21">
        <f>(I113 - J113) * (0.00664805 / 12) * 1.0</f>
        <v/>
      </c>
      <c r="L113" s="21" t="n">
        <v>686739.7117248483</v>
      </c>
      <c r="M113" s="25">
        <f>(I113 - J113) - K113 + L113</f>
        <v/>
      </c>
      <c r="N113" s="25">
        <f>M113 * (0.00400000 / 12) * 1.0</f>
        <v/>
      </c>
      <c r="O113" s="25">
        <f>M113 * (0.00500000 / 12) * 1.0</f>
        <v/>
      </c>
      <c r="P113" s="25">
        <f>Y113</f>
        <v/>
      </c>
      <c r="Q113" s="25">
        <f>MAX(0, M113 - N113 - O113 - P113)</f>
        <v/>
      </c>
      <c r="R113" s="25" t="n">
        <v>9018698.108935425</v>
      </c>
      <c r="S113" s="25" t="n">
        <v>1109220.471576586</v>
      </c>
      <c r="T113" s="25" t="n">
        <v>2789445.141970916</v>
      </c>
      <c r="U113" s="25" t="n">
        <v>2577402.251906635</v>
      </c>
      <c r="V113" s="25" t="n">
        <v>604510.4857034181</v>
      </c>
      <c r="W113" s="25" t="n">
        <v>1996130.257904161</v>
      </c>
      <c r="X113" s="25" t="n">
        <v>3568333.882360808</v>
      </c>
      <c r="Y113" s="25">
        <f>X113 / 12</f>
        <v/>
      </c>
      <c r="Z113" s="17" t="n">
        <v>69</v>
      </c>
      <c r="AA113" s="25">
        <f>I113</f>
        <v/>
      </c>
      <c r="AB113" s="25">
        <f>Q113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 t="n">
        <v>18095406.71799714</v>
      </c>
      <c r="J114" s="19">
        <f>I114 * (0.01000000 / 12)</f>
        <v/>
      </c>
      <c r="K114" s="19">
        <f>(I114 - J114) * (0.00664805 / 12) * 1.0</f>
        <v/>
      </c>
      <c r="L114" s="19" t="n">
        <v>650604.1180073306</v>
      </c>
      <c r="M114" s="24">
        <f>(I114 - J114) - K114 + L114</f>
        <v/>
      </c>
      <c r="N114" s="24">
        <f>M114 * (0.00400000 / 12) * 1.0</f>
        <v/>
      </c>
      <c r="O114" s="24">
        <f>M114 * (0.00500000 / 12) * 1.0</f>
        <v/>
      </c>
      <c r="P114" s="24">
        <f>Y114</f>
        <v/>
      </c>
      <c r="Q114" s="24">
        <f>MAX(0, M114 - N114 - O114 - P114)</f>
        <v/>
      </c>
      <c r="R114" s="24" t="n">
        <v>9170740.49173492</v>
      </c>
      <c r="S114" s="24" t="n">
        <v>1127920.346160634</v>
      </c>
      <c r="T114" s="24" t="n">
        <v>2836471.207257826</v>
      </c>
      <c r="U114" s="24" t="n">
        <v>2620853.57659666</v>
      </c>
      <c r="V114" s="24" t="n">
        <v>614701.6700144404</v>
      </c>
      <c r="W114" s="24" t="n">
        <v>2029782.166098008</v>
      </c>
      <c r="X114" s="24" t="n">
        <v>3676855.246148164</v>
      </c>
      <c r="Y114" s="24">
        <f>X114 / 12</f>
        <v/>
      </c>
      <c r="Z114" s="15" t="n">
        <v>68</v>
      </c>
      <c r="AA114" s="24">
        <f>I114</f>
        <v/>
      </c>
      <c r="AB114" s="24">
        <f>Q114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 t="n">
        <v>18400469.45786249</v>
      </c>
      <c r="J115" s="21">
        <f>I115 * (0.01000000 / 12)</f>
        <v/>
      </c>
      <c r="K115" s="21">
        <f>(I115 - J115) * (0.00664805 / 12) * 1.0</f>
        <v/>
      </c>
      <c r="L115" s="21" t="n">
        <v>461392.0518166704</v>
      </c>
      <c r="M115" s="25">
        <f>(I115 - J115) - K115 + L115</f>
        <v/>
      </c>
      <c r="N115" s="25">
        <f>M115 * (0.00400000 / 12) * 1.0</f>
        <v/>
      </c>
      <c r="O115" s="25">
        <f>M115 * (0.00500000 / 12) * 1.0</f>
        <v/>
      </c>
      <c r="P115" s="25">
        <f>Y115</f>
        <v/>
      </c>
      <c r="Q115" s="25">
        <f>MAX(0, M115 - N115 - O115 - P115)</f>
        <v/>
      </c>
      <c r="R115" s="25" t="n">
        <v>9225236.514609883</v>
      </c>
      <c r="S115" s="25" t="n">
        <v>1134622.877220247</v>
      </c>
      <c r="T115" s="25" t="n">
        <v>2853326.596409249</v>
      </c>
      <c r="U115" s="25" t="n">
        <v>2636427.683899213</v>
      </c>
      <c r="V115" s="25" t="n">
        <v>618354.4607896865</v>
      </c>
      <c r="W115" s="25" t="n">
        <v>2041843.902601681</v>
      </c>
      <c r="X115" s="25" t="n">
        <v>3748836.539024549</v>
      </c>
      <c r="Y115" s="25">
        <f>X115 / 12</f>
        <v/>
      </c>
      <c r="Z115" s="17" t="n">
        <v>67</v>
      </c>
      <c r="AA115" s="25">
        <f>I115</f>
        <v/>
      </c>
      <c r="AB115" s="25">
        <f>Q115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 t="n">
        <v>18509812.03552996</v>
      </c>
      <c r="J116" s="19">
        <f>I116 * (0.01000000 / 12)</f>
        <v/>
      </c>
      <c r="K116" s="19">
        <f>(I116 - J116) * (0.00664805 / 12) * 1.0</f>
        <v/>
      </c>
      <c r="L116" s="19" t="n">
        <v>371322.7729050454</v>
      </c>
      <c r="M116" s="24">
        <f>(I116 - J116) - K116 + L116</f>
        <v/>
      </c>
      <c r="N116" s="24">
        <f>M116 * (0.00400000 / 12) * 1.0</f>
        <v/>
      </c>
      <c r="O116" s="24">
        <f>M116 * (0.00500000 / 12) * 1.0</f>
        <v/>
      </c>
      <c r="P116" s="24">
        <f>Y116</f>
        <v/>
      </c>
      <c r="Q116" s="24">
        <f>MAX(0, M116 - N116 - O116 - P116)</f>
        <v/>
      </c>
      <c r="R116" s="24" t="n">
        <v>9232488.995198274</v>
      </c>
      <c r="S116" s="24" t="n">
        <v>1135514.868485637</v>
      </c>
      <c r="T116" s="24" t="n">
        <v>2855569.75794988</v>
      </c>
      <c r="U116" s="24" t="n">
        <v>2638500.328927868</v>
      </c>
      <c r="V116" s="24" t="n">
        <v>618840.5842312394</v>
      </c>
      <c r="W116" s="24" t="n">
        <v>2043449.111665393</v>
      </c>
      <c r="X116" s="24" t="n">
        <v>3803504.962692767</v>
      </c>
      <c r="Y116" s="24">
        <f>X116 / 12</f>
        <v/>
      </c>
      <c r="Z116" s="15" t="n">
        <v>66</v>
      </c>
      <c r="AA116" s="24">
        <f>I116</f>
        <v/>
      </c>
      <c r="AB116" s="24">
        <f>Q116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 t="n">
        <v>18524363.64645829</v>
      </c>
      <c r="J117" s="21">
        <f>I117 * (0.01000000 / 12)</f>
        <v/>
      </c>
      <c r="K117" s="21">
        <f>(I117 - J117) * (0.00664805 / 12) * 1.0</f>
        <v/>
      </c>
      <c r="L117" s="21" t="n">
        <v>983937.369523622</v>
      </c>
      <c r="M117" s="25">
        <f>(I117 - J117) - K117 + L117</f>
        <v/>
      </c>
      <c r="N117" s="25">
        <f>M117 * (0.00400000 / 12) * 1.0</f>
        <v/>
      </c>
      <c r="O117" s="25">
        <f>M117 * (0.00500000 / 12) * 1.0</f>
        <v/>
      </c>
      <c r="P117" s="25">
        <f>Y117</f>
        <v/>
      </c>
      <c r="Q117" s="25">
        <f>MAX(0, M117 - N117 - O117 - P117)</f>
        <v/>
      </c>
      <c r="R117" s="25" t="n">
        <v>9537317.910319807</v>
      </c>
      <c r="S117" s="25" t="n">
        <v>1173006.141493908</v>
      </c>
      <c r="T117" s="25" t="n">
        <v>2949852.050820463</v>
      </c>
      <c r="U117" s="25" t="n">
        <v>2725615.644552201</v>
      </c>
      <c r="V117" s="25" t="n">
        <v>639272.8321356229</v>
      </c>
      <c r="W117" s="25" t="n">
        <v>2110917.63246612</v>
      </c>
      <c r="X117" s="25" t="n">
        <v>3984190.179673332</v>
      </c>
      <c r="Y117" s="25">
        <f>X117 / 12</f>
        <v/>
      </c>
      <c r="Z117" s="17" t="n">
        <v>65</v>
      </c>
      <c r="AA117" s="25">
        <f>I117</f>
        <v/>
      </c>
      <c r="AB117" s="25">
        <f>Q117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 t="n">
        <v>19135982.21178812</v>
      </c>
      <c r="J118" s="19">
        <f>I118 * (0.01000000 / 12)</f>
        <v/>
      </c>
      <c r="K118" s="19">
        <f>(I118 - J118) * (0.00664805 / 12) * 1.0</f>
        <v/>
      </c>
      <c r="L118" s="19" t="n">
        <v>826327.7173210605</v>
      </c>
      <c r="M118" s="24">
        <f>(I118 - J118) - K118 + L118</f>
        <v/>
      </c>
      <c r="N118" s="24">
        <f>M118 * (0.00400000 / 12) * 1.0</f>
        <v/>
      </c>
      <c r="O118" s="24">
        <f>M118 * (0.00500000 / 12) * 1.0</f>
        <v/>
      </c>
      <c r="P118" s="24">
        <f>Y118</f>
        <v/>
      </c>
      <c r="Q118" s="24">
        <f>MAX(0, M118 - N118 - O118 - P118)</f>
        <v/>
      </c>
      <c r="R118" s="24" t="n">
        <v>9756778.813001346</v>
      </c>
      <c r="S118" s="24" t="n">
        <v>1199997.900506648</v>
      </c>
      <c r="T118" s="24" t="n">
        <v>3017730.378872164</v>
      </c>
      <c r="U118" s="24" t="n">
        <v>2788334.123200072</v>
      </c>
      <c r="V118" s="24" t="n">
        <v>653982.9837861683</v>
      </c>
      <c r="W118" s="24" t="n">
        <v>2159491.444670295</v>
      </c>
      <c r="X118" s="24" t="n">
        <v>4134038.633643884</v>
      </c>
      <c r="Y118" s="24">
        <f>X118 / 12</f>
        <v/>
      </c>
      <c r="Z118" s="15" t="n">
        <v>64</v>
      </c>
      <c r="AA118" s="24">
        <f>I118</f>
        <v/>
      </c>
      <c r="AB118" s="24">
        <f>Q118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 t="n">
        <v>19576315.64403669</v>
      </c>
      <c r="J119" s="21">
        <f>I119 * (0.01000000 / 12)</f>
        <v/>
      </c>
      <c r="K119" s="21">
        <f>(I119 - J119) * (0.00664805 / 12) * 1.0</f>
        <v/>
      </c>
      <c r="L119" s="21" t="n">
        <v>936703.1901573945</v>
      </c>
      <c r="M119" s="25">
        <f>(I119 - J119) - K119 + L119</f>
        <v/>
      </c>
      <c r="N119" s="25">
        <f>M119 * (0.00400000 / 12) * 1.0</f>
        <v/>
      </c>
      <c r="O119" s="25">
        <f>M119 * (0.00500000 / 12) * 1.0</f>
        <v/>
      </c>
      <c r="P119" s="25">
        <f>Y119</f>
        <v/>
      </c>
      <c r="Q119" s="25">
        <f>MAX(0, M119 - N119 - O119 - P119)</f>
        <v/>
      </c>
      <c r="R119" s="25" t="n">
        <v>10023484.71962084</v>
      </c>
      <c r="S119" s="25" t="n">
        <v>1232800.379083864</v>
      </c>
      <c r="T119" s="25" t="n">
        <v>3100221.386617239</v>
      </c>
      <c r="U119" s="25" t="n">
        <v>2864554.481838845</v>
      </c>
      <c r="V119" s="25" t="n">
        <v>671859.9007428164</v>
      </c>
      <c r="W119" s="25" t="n">
        <v>2218522.107825264</v>
      </c>
      <c r="X119" s="25" t="n">
        <v>4308738.375111314</v>
      </c>
      <c r="Y119" s="25">
        <f>X119 / 12</f>
        <v/>
      </c>
      <c r="Z119" s="17" t="n">
        <v>63</v>
      </c>
      <c r="AA119" s="25">
        <f>I119</f>
        <v/>
      </c>
      <c r="AB119" s="25">
        <f>Q119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 t="n">
        <v>20111442.97572887</v>
      </c>
      <c r="J120" s="19">
        <f>I120 * (0.01000000 / 12)</f>
        <v/>
      </c>
      <c r="K120" s="19">
        <f>(I120 - J120) * (0.00664805 / 12) * 1.0</f>
        <v/>
      </c>
      <c r="L120" s="19" t="n">
        <v>316402.5632001268</v>
      </c>
      <c r="M120" s="24">
        <f>(I120 - J120) - K120 + L120</f>
        <v/>
      </c>
      <c r="N120" s="24">
        <f>M120 * (0.00400000 / 12) * 1.0</f>
        <v/>
      </c>
      <c r="O120" s="24">
        <f>M120 * (0.00500000 / 12) * 1.0</f>
        <v/>
      </c>
      <c r="P120" s="24">
        <f>Y120</f>
        <v/>
      </c>
      <c r="Q120" s="24">
        <f>MAX(0, M120 - N120 - O120 - P120)</f>
        <v/>
      </c>
      <c r="R120" s="24" t="n">
        <v>9978858.697933182</v>
      </c>
      <c r="S120" s="24" t="n">
        <v>1227311.771280047</v>
      </c>
      <c r="T120" s="24" t="n">
        <v>3086418.747045704</v>
      </c>
      <c r="U120" s="24" t="n">
        <v>2851801.065835549</v>
      </c>
      <c r="V120" s="24" t="n">
        <v>668868.6820858034</v>
      </c>
      <c r="W120" s="24" t="n">
        <v>2208644.922548117</v>
      </c>
      <c r="X120" s="24" t="n">
        <v>4352995.274905733</v>
      </c>
      <c r="Y120" s="24">
        <f>X120 / 12</f>
        <v/>
      </c>
      <c r="Z120" s="15" t="n">
        <v>62</v>
      </c>
      <c r="AA120" s="24">
        <f>I120</f>
        <v/>
      </c>
      <c r="AB120" s="24">
        <f>Q120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 t="n">
        <v>20021903.8867284</v>
      </c>
      <c r="J121" s="21">
        <f>I121 * (0.01000000 / 12)</f>
        <v/>
      </c>
      <c r="K121" s="21">
        <f>(I121 - J121) * (0.00664805 / 12) * 1.0</f>
        <v/>
      </c>
      <c r="L121" s="21" t="n">
        <v>747353.2324206927</v>
      </c>
      <c r="M121" s="25">
        <f>(I121 - J121) - K121 + L121</f>
        <v/>
      </c>
      <c r="N121" s="25">
        <f>M121 * (0.00400000 / 12) * 1.0</f>
        <v/>
      </c>
      <c r="O121" s="25">
        <f>M121 * (0.00500000 / 12) * 1.0</f>
        <v/>
      </c>
      <c r="P121" s="25">
        <f>Y121</f>
        <v/>
      </c>
      <c r="Q121" s="25">
        <f>MAX(0, M121 - N121 - O121 - P121)</f>
        <v/>
      </c>
      <c r="R121" s="25" t="n">
        <v>10143206.04505538</v>
      </c>
      <c r="S121" s="25" t="n">
        <v>1247525.048149426</v>
      </c>
      <c r="T121" s="25" t="n">
        <v>3137250.685701199</v>
      </c>
      <c r="U121" s="25" t="n">
        <v>2898768.956040008</v>
      </c>
      <c r="V121" s="25" t="n">
        <v>679884.6506250408</v>
      </c>
      <c r="W121" s="25" t="n">
        <v>2245020.318246513</v>
      </c>
      <c r="X121" s="25" t="n">
        <v>4491328.766176521</v>
      </c>
      <c r="Y121" s="25">
        <f>X121 / 12</f>
        <v/>
      </c>
      <c r="Z121" s="17" t="n">
        <v>61</v>
      </c>
      <c r="AA121" s="25">
        <f>I121</f>
        <v/>
      </c>
      <c r="AB121" s="25">
        <f>Q121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 t="n">
        <v>20351655.70381757</v>
      </c>
      <c r="J122" s="19">
        <f>I122 * (0.01000000 / 12)</f>
        <v/>
      </c>
      <c r="K122" s="19">
        <f>(I122 - J122) * (0.00664805 / 12) * 1.0</f>
        <v/>
      </c>
      <c r="L122" s="19" t="n">
        <v>1018263.627760431</v>
      </c>
      <c r="M122" s="24">
        <f>(I122 - J122) - K122 + L122</f>
        <v/>
      </c>
      <c r="N122" s="24">
        <f>M122 * (0.00400000 / 12) * 1.0</f>
        <v/>
      </c>
      <c r="O122" s="24">
        <f>M122 * (0.00500000 / 12) * 1.0</f>
        <v/>
      </c>
      <c r="P122" s="24">
        <f>Y122</f>
        <v/>
      </c>
      <c r="Q122" s="24">
        <f>MAX(0, M122 - N122 - O122 - P122)</f>
        <v/>
      </c>
      <c r="R122" s="24" t="n">
        <v>10433833.31167384</v>
      </c>
      <c r="S122" s="24" t="n">
        <v>1283269.643415581</v>
      </c>
      <c r="T122" s="24" t="n">
        <v>3227140.46881634</v>
      </c>
      <c r="U122" s="24" t="n">
        <v>2981825.663604678</v>
      </c>
      <c r="V122" s="24" t="n">
        <v>699364.9822627207</v>
      </c>
      <c r="W122" s="24" t="n">
        <v>2309345.553847238</v>
      </c>
      <c r="X122" s="24" t="n">
        <v>4690898.534484431</v>
      </c>
      <c r="Y122" s="24">
        <f>X122 / 12</f>
        <v/>
      </c>
      <c r="Z122" s="15" t="n">
        <v>60</v>
      </c>
      <c r="AA122" s="24">
        <f>I122</f>
        <v/>
      </c>
      <c r="AB122" s="24">
        <f>Q122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 t="n">
        <v>20934779.6236204</v>
      </c>
      <c r="J123" s="21">
        <f>I123 * (0.01000000 / 12)</f>
        <v/>
      </c>
      <c r="K123" s="21">
        <f>(I123 - J123) * (0.00664805 / 12) * 1.0</f>
        <v/>
      </c>
      <c r="L123" s="21" t="n">
        <v>432396.4800150371</v>
      </c>
      <c r="M123" s="25">
        <f>(I123 - J123) - K123 + L123</f>
        <v/>
      </c>
      <c r="N123" s="25">
        <f>M123 * (0.00400000 / 12) * 1.0</f>
        <v/>
      </c>
      <c r="O123" s="25">
        <f>M123 * (0.00500000 / 12) * 1.0</f>
        <v/>
      </c>
      <c r="P123" s="25">
        <f>Y123</f>
        <v/>
      </c>
      <c r="Q123" s="25">
        <f>MAX(0, M123 - N123 - O123 - P123)</f>
        <v/>
      </c>
      <c r="R123" s="25" t="n">
        <v>10429108.16785611</v>
      </c>
      <c r="S123" s="25" t="n">
        <v>1282688.492323654</v>
      </c>
      <c r="T123" s="25" t="n">
        <v>3225679.001838705</v>
      </c>
      <c r="U123" s="25" t="n">
        <v>2980475.291725134</v>
      </c>
      <c r="V123" s="25" t="n">
        <v>699048.2626043208</v>
      </c>
      <c r="W123" s="25" t="n">
        <v>2308299.726341584</v>
      </c>
      <c r="X123" s="25" t="n">
        <v>4762075.289908956</v>
      </c>
      <c r="Y123" s="25">
        <f>X123 / 12</f>
        <v/>
      </c>
      <c r="Z123" s="17" t="n">
        <v>59</v>
      </c>
      <c r="AA123" s="25">
        <f>I123</f>
        <v/>
      </c>
      <c r="AB123" s="25">
        <f>Q123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 t="n">
        <v>20925298.94268951</v>
      </c>
      <c r="J124" s="19">
        <f>I124 * (0.01000000 / 12)</f>
        <v/>
      </c>
      <c r="K124" s="19">
        <f>(I124 - J124) * (0.00664805 / 12) * 1.0</f>
        <v/>
      </c>
      <c r="L124" s="19" t="n">
        <v>185469.6243978789</v>
      </c>
      <c r="M124" s="24">
        <f>(I124 - J124) - K124 + L124</f>
        <v/>
      </c>
      <c r="N124" s="24">
        <f>M124 * (0.00400000 / 12) * 1.0</f>
        <v/>
      </c>
      <c r="O124" s="24">
        <f>M124 * (0.00500000 / 12) * 1.0</f>
        <v/>
      </c>
      <c r="P124" s="24">
        <f>Y124</f>
        <v/>
      </c>
      <c r="Q124" s="24">
        <f>MAX(0, M124 - N124 - O124 - P124)</f>
        <v/>
      </c>
      <c r="R124" s="24" t="n">
        <v>10300739.47117382</v>
      </c>
      <c r="S124" s="24" t="n">
        <v>1266900.272721477</v>
      </c>
      <c r="T124" s="24" t="n">
        <v>3185975.107438824</v>
      </c>
      <c r="U124" s="24" t="n">
        <v>2943789.53465611</v>
      </c>
      <c r="V124" s="24" t="n">
        <v>690443.8917468855</v>
      </c>
      <c r="W124" s="24" t="n">
        <v>2279887.572334413</v>
      </c>
      <c r="X124" s="24" t="n">
        <v>4778407.294605111</v>
      </c>
      <c r="Y124" s="24">
        <f>X124 / 12</f>
        <v/>
      </c>
      <c r="Z124" s="15" t="n">
        <v>58</v>
      </c>
      <c r="AA124" s="24">
        <f>I124</f>
        <v/>
      </c>
      <c r="AB124" s="24">
        <f>Q124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 t="n">
        <v>20667735.85007153</v>
      </c>
      <c r="J125" s="21">
        <f>I125 * (0.01000000 / 12)</f>
        <v/>
      </c>
      <c r="K125" s="21">
        <f>(I125 - J125) * (0.00664805 / 12) * 1.0</f>
        <v/>
      </c>
      <c r="L125" s="21" t="n">
        <v>975404.1720297677</v>
      </c>
      <c r="M125" s="25">
        <f>(I125 - J125) - K125 + L125</f>
        <v/>
      </c>
      <c r="N125" s="25">
        <f>M125 * (0.00400000 / 12) * 1.0</f>
        <v/>
      </c>
      <c r="O125" s="25">
        <f>M125 * (0.00500000 / 12) * 1.0</f>
        <v/>
      </c>
      <c r="P125" s="25">
        <f>Y125</f>
        <v/>
      </c>
      <c r="Q125" s="25">
        <f>MAX(0, M125 - N125 - O125 - P125)</f>
        <v/>
      </c>
      <c r="R125" s="25" t="n">
        <v>10557793.41762919</v>
      </c>
      <c r="S125" s="25" t="n">
        <v>1298515.645169233</v>
      </c>
      <c r="T125" s="25" t="n">
        <v>3265480.80476935</v>
      </c>
      <c r="U125" s="25" t="n">
        <v>3017251.514695022</v>
      </c>
      <c r="V125" s="25" t="n">
        <v>707673.8515644522</v>
      </c>
      <c r="W125" s="25" t="n">
        <v>2336781.943809703</v>
      </c>
      <c r="X125" s="25" t="n">
        <v>4977220.763381816</v>
      </c>
      <c r="Y125" s="25">
        <f>X125 / 12</f>
        <v/>
      </c>
      <c r="Z125" s="17" t="n">
        <v>57</v>
      </c>
      <c r="AA125" s="25">
        <f>I125</f>
        <v/>
      </c>
      <c r="AB125" s="25">
        <f>Q125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 t="n">
        <v>21183497.17763695</v>
      </c>
      <c r="J126" s="19">
        <f>I126 * (0.01000000 / 12)</f>
        <v/>
      </c>
      <c r="K126" s="19">
        <f>(I126 - J126) * (0.00664805 / 12) * 1.0</f>
        <v/>
      </c>
      <c r="L126" s="19" t="n">
        <v>581951.0736778043</v>
      </c>
      <c r="M126" s="24">
        <f>(I126 - J126) - K126 + L126</f>
        <v/>
      </c>
      <c r="N126" s="24">
        <f>M126 * (0.00400000 / 12) * 1.0</f>
        <v/>
      </c>
      <c r="O126" s="24">
        <f>M126 * (0.00500000 / 12) * 1.0</f>
        <v/>
      </c>
      <c r="P126" s="24">
        <f>Y126</f>
        <v/>
      </c>
      <c r="Q126" s="24">
        <f>MAX(0, M126 - N126 - O126 - P126)</f>
        <v/>
      </c>
      <c r="R126" s="24" t="n">
        <v>10613809.32580487</v>
      </c>
      <c r="S126" s="24" t="n">
        <v>1305405.108740572</v>
      </c>
      <c r="T126" s="24" t="n">
        <v>3282806.288009433</v>
      </c>
      <c r="U126" s="24" t="n">
        <v>3033259.981341837</v>
      </c>
      <c r="V126" s="24" t="n">
        <v>711428.5180860921</v>
      </c>
      <c r="W126" s="24" t="n">
        <v>2349180.080201769</v>
      </c>
      <c r="X126" s="24" t="n">
        <v>5086536.117891394</v>
      </c>
      <c r="Y126" s="24">
        <f>X126 / 12</f>
        <v/>
      </c>
      <c r="Z126" s="15" t="n">
        <v>56</v>
      </c>
      <c r="AA126" s="24">
        <f>I126</f>
        <v/>
      </c>
      <c r="AB126" s="24">
        <f>Q126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 t="n">
        <v>21295889.30218457</v>
      </c>
      <c r="J127" s="21">
        <f>I127 * (0.01000000 / 12)</f>
        <v/>
      </c>
      <c r="K127" s="21">
        <f>(I127 - J127) * (0.00664805 / 12) * 1.0</f>
        <v/>
      </c>
      <c r="L127" s="21" t="n">
        <v>897881.348791898</v>
      </c>
      <c r="M127" s="25">
        <f>(I127 - J127) - K127 + L127</f>
        <v/>
      </c>
      <c r="N127" s="25">
        <f>M127 * (0.00400000 / 12) * 1.0</f>
        <v/>
      </c>
      <c r="O127" s="25">
        <f>M127 * (0.00500000 / 12) * 1.0</f>
        <v/>
      </c>
      <c r="P127" s="25">
        <f>Y127</f>
        <v/>
      </c>
      <c r="Q127" s="25">
        <f>MAX(0, M127 - N127 - O127 - P127)</f>
        <v/>
      </c>
      <c r="R127" s="25" t="n">
        <v>10819315.33595821</v>
      </c>
      <c r="S127" s="25" t="n">
        <v>1330680.538823796</v>
      </c>
      <c r="T127" s="25" t="n">
        <v>3346368.426884011</v>
      </c>
      <c r="U127" s="25" t="n">
        <v>3091990.370911566</v>
      </c>
      <c r="V127" s="25" t="n">
        <v>725203.2931713875</v>
      </c>
      <c r="W127" s="25" t="n">
        <v>2394665.222302468</v>
      </c>
      <c r="X127" s="25" t="n">
        <v>5272674.297197095</v>
      </c>
      <c r="Y127" s="25">
        <f>X127 / 12</f>
        <v/>
      </c>
      <c r="Z127" s="17" t="n">
        <v>55</v>
      </c>
      <c r="AA127" s="25">
        <f>I127</f>
        <v/>
      </c>
      <c r="AB127" s="25">
        <f>Q127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 t="n">
        <v>21708223.18805144</v>
      </c>
      <c r="J128" s="19">
        <f>I128 * (0.01000000 / 12)</f>
        <v/>
      </c>
      <c r="K128" s="19">
        <f>(I128 - J128) * (0.00664805 / 12) * 1.0</f>
        <v/>
      </c>
      <c r="L128" s="19" t="n">
        <v>1191745.845894251</v>
      </c>
      <c r="M128" s="24">
        <f>(I128 - J128) - K128 + L128</f>
        <v/>
      </c>
      <c r="N128" s="24">
        <f>M128 * (0.00400000 / 12) * 1.0</f>
        <v/>
      </c>
      <c r="O128" s="24">
        <f>M128 * (0.00500000 / 12) * 1.0</f>
        <v/>
      </c>
      <c r="P128" s="24">
        <f>Y128</f>
        <v/>
      </c>
      <c r="Q128" s="24">
        <f>MAX(0, M128 - N128 - O128 - P128)</f>
        <v/>
      </c>
      <c r="R128" s="24" t="n">
        <v>11159942.11438828</v>
      </c>
      <c r="S128" s="24" t="n">
        <v>1372574.633873665</v>
      </c>
      <c r="T128" s="24" t="n">
        <v>3451722.847315889</v>
      </c>
      <c r="U128" s="24" t="n">
        <v>3189336.153549033</v>
      </c>
      <c r="V128" s="24" t="n">
        <v>748035.0208537168</v>
      </c>
      <c r="W128" s="24" t="n">
        <v>2470056.970741527</v>
      </c>
      <c r="X128" s="24" t="n">
        <v>5532507.349587534</v>
      </c>
      <c r="Y128" s="24">
        <f>X128 / 12</f>
        <v/>
      </c>
      <c r="Z128" s="15" t="n">
        <v>54</v>
      </c>
      <c r="AA128" s="24">
        <f>I128</f>
        <v/>
      </c>
      <c r="AB128" s="24">
        <f>Q128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 t="n">
        <v>22391667.74072211</v>
      </c>
      <c r="J129" s="21">
        <f>I129 * (0.01000000 / 12)</f>
        <v/>
      </c>
      <c r="K129" s="21">
        <f>(I129 - J129) * (0.00664805 / 12) * 1.0</f>
        <v/>
      </c>
      <c r="L129" s="21" t="n">
        <v>1199663.151458539</v>
      </c>
      <c r="M129" s="25">
        <f>(I129 - J129) - K129 + L129</f>
        <v/>
      </c>
      <c r="N129" s="25">
        <f>M129 * (0.00400000 / 12) * 1.0</f>
        <v/>
      </c>
      <c r="O129" s="25">
        <f>M129 * (0.00500000 / 12) * 1.0</f>
        <v/>
      </c>
      <c r="P129" s="25">
        <f>Y129</f>
        <v/>
      </c>
      <c r="Q129" s="25">
        <f>MAX(0, M129 - N129 - O129 - P129)</f>
        <v/>
      </c>
      <c r="R129" s="25" t="n">
        <v>11492763.48684928</v>
      </c>
      <c r="S129" s="25" t="n">
        <v>1413508.732703983</v>
      </c>
      <c r="T129" s="25" t="n">
        <v>3554663.088727853</v>
      </c>
      <c r="U129" s="25" t="n">
        <v>3284451.273769517</v>
      </c>
      <c r="V129" s="25" t="n">
        <v>770343.5632939547</v>
      </c>
      <c r="W129" s="25" t="n">
        <v>2543721.129805502</v>
      </c>
      <c r="X129" s="25" t="n">
        <v>5797859.273718514</v>
      </c>
      <c r="Y129" s="25">
        <f>X129 / 12</f>
        <v/>
      </c>
      <c r="Z129" s="17" t="n">
        <v>53</v>
      </c>
      <c r="AA129" s="25">
        <f>I129</f>
        <v/>
      </c>
      <c r="AB129" s="25">
        <f>Q129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 t="n">
        <v>23059451.27515009</v>
      </c>
      <c r="J130" s="19">
        <f>I130 * (0.01000000 / 12)</f>
        <v/>
      </c>
      <c r="K130" s="19">
        <f>(I130 - J130) * (0.00664805 / 12) * 1.0</f>
        <v/>
      </c>
      <c r="L130" s="19" t="n">
        <v>1254918.259275076</v>
      </c>
      <c r="M130" s="24">
        <f>(I130 - J130) - K130 + L130</f>
        <v/>
      </c>
      <c r="N130" s="24">
        <f>M130 * (0.00400000 / 12) * 1.0</f>
        <v/>
      </c>
      <c r="O130" s="24">
        <f>M130 * (0.00500000 / 12) * 1.0</f>
        <v/>
      </c>
      <c r="P130" s="24">
        <f>Y130</f>
        <v/>
      </c>
      <c r="Q130" s="24">
        <f>MAX(0, M130 - N130 - O130 - P130)</f>
        <v/>
      </c>
      <c r="R130" s="24" t="n">
        <v>11840640.31296412</v>
      </c>
      <c r="S130" s="24" t="n">
        <v>1456294.519793513</v>
      </c>
      <c r="T130" s="24" t="n">
        <v>3662259.918213571</v>
      </c>
      <c r="U130" s="24" t="n">
        <v>3383869.006150001</v>
      </c>
      <c r="V130" s="24" t="n">
        <v>793661.2513437732</v>
      </c>
      <c r="W130" s="24" t="n">
        <v>2620717.548827833</v>
      </c>
      <c r="X130" s="24" t="n">
        <v>6080814.985566773</v>
      </c>
      <c r="Y130" s="24">
        <f>X130 / 12</f>
        <v/>
      </c>
      <c r="Z130" s="15" t="n">
        <v>52</v>
      </c>
      <c r="AA130" s="24">
        <f>I130</f>
        <v/>
      </c>
      <c r="AB130" s="24">
        <f>Q130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 t="n">
        <v>23757442.55729281</v>
      </c>
      <c r="J131" s="21">
        <f>I131 * (0.01000000 / 12)</f>
        <v/>
      </c>
      <c r="K131" s="21">
        <f>(I131 - J131) * (0.00664805 / 12) * 1.0</f>
        <v/>
      </c>
      <c r="L131" s="21" t="n">
        <v>1031225.462403219</v>
      </c>
      <c r="M131" s="25">
        <f>(I131 - J131) - K131 + L131</f>
        <v/>
      </c>
      <c r="N131" s="25">
        <f>M131 * (0.00400000 / 12) * 1.0</f>
        <v/>
      </c>
      <c r="O131" s="25">
        <f>M131 * (0.00500000 / 12) * 1.0</f>
        <v/>
      </c>
      <c r="P131" s="25">
        <f>Y131</f>
        <v/>
      </c>
      <c r="Q131" s="25">
        <f>MAX(0, M131 - N131 - O131 - P131)</f>
        <v/>
      </c>
      <c r="R131" s="25" t="n">
        <v>12066814.98612026</v>
      </c>
      <c r="S131" s="25" t="n">
        <v>1484112.013470165</v>
      </c>
      <c r="T131" s="25" t="n">
        <v>3732214.787048485</v>
      </c>
      <c r="U131" s="25" t="n">
        <v>3448506.17493818</v>
      </c>
      <c r="V131" s="25" t="n">
        <v>808821.4174644208</v>
      </c>
      <c r="W131" s="25" t="n">
        <v>2670777.33608374</v>
      </c>
      <c r="X131" s="25" t="n">
        <v>6310870.611054174</v>
      </c>
      <c r="Y131" s="25">
        <f>X131 / 12</f>
        <v/>
      </c>
      <c r="Z131" s="17" t="n">
        <v>51</v>
      </c>
      <c r="AA131" s="25">
        <f>I131</f>
        <v/>
      </c>
      <c r="AB131" s="25">
        <f>Q131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 t="n">
        <v>24211246.71512525</v>
      </c>
      <c r="J132" s="19">
        <f>I132 * (0.01000000 / 12)</f>
        <v/>
      </c>
      <c r="K132" s="19">
        <f>(I132 - J132) * (0.00664805 / 12) * 1.0</f>
        <v/>
      </c>
      <c r="L132" s="19" t="n">
        <v>785859.832890337</v>
      </c>
      <c r="M132" s="24">
        <f>(I132 - J132) - K132 + L132</f>
        <v/>
      </c>
      <c r="N132" s="24">
        <f>M132 * (0.00400000 / 12) * 1.0</f>
        <v/>
      </c>
      <c r="O132" s="24">
        <f>M132 * (0.00500000 / 12) * 1.0</f>
        <v/>
      </c>
      <c r="P132" s="24">
        <f>Y132</f>
        <v/>
      </c>
      <c r="Q132" s="24">
        <f>MAX(0, M132 - N132 - O132 - P132)</f>
        <v/>
      </c>
      <c r="R132" s="24" t="n">
        <v>12163250.44931176</v>
      </c>
      <c r="S132" s="24" t="n">
        <v>1495972.72647618</v>
      </c>
      <c r="T132" s="24" t="n">
        <v>3762041.867527731</v>
      </c>
      <c r="U132" s="24" t="n">
        <v>3476065.915489555</v>
      </c>
      <c r="V132" s="24" t="n">
        <v>815285.349174827</v>
      </c>
      <c r="W132" s="24" t="n">
        <v>2692121.630314061</v>
      </c>
      <c r="X132" s="24" t="n">
        <v>6480815.548409659</v>
      </c>
      <c r="Y132" s="24">
        <f>X132 / 12</f>
        <v/>
      </c>
      <c r="Z132" s="15" t="n">
        <v>50</v>
      </c>
      <c r="AA132" s="24">
        <f>I132</f>
        <v/>
      </c>
      <c r="AB132" s="24">
        <f>Q132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 t="n">
        <v>24404737.93829412</v>
      </c>
      <c r="J133" s="21">
        <f>I133 * (0.01000000 / 12)</f>
        <v/>
      </c>
      <c r="K133" s="21">
        <f>(I133 - J133) * (0.00664805 / 12) * 1.0</f>
        <v/>
      </c>
      <c r="L133" s="21" t="n">
        <v>1069736.114865855</v>
      </c>
      <c r="M133" s="25">
        <f>(I133 - J133) - K133 + L133</f>
        <v/>
      </c>
      <c r="N133" s="25">
        <f>M133 * (0.00400000 / 12) * 1.0</f>
        <v/>
      </c>
      <c r="O133" s="25">
        <f>M133 * (0.00500000 / 12) * 1.0</f>
        <v/>
      </c>
      <c r="P133" s="25">
        <f>Y133</f>
        <v/>
      </c>
      <c r="Q133" s="25">
        <f>MAX(0, M133 - N133 - O133 - P133)</f>
        <v/>
      </c>
      <c r="R133" s="25" t="n">
        <v>12390559.17023311</v>
      </c>
      <c r="S133" s="25" t="n">
        <v>1523929.698044398</v>
      </c>
      <c r="T133" s="25" t="n">
        <v>3832347.492535121</v>
      </c>
      <c r="U133" s="25" t="n">
        <v>3541027.177315166</v>
      </c>
      <c r="V133" s="25" t="n">
        <v>830521.5289015487</v>
      </c>
      <c r="W133" s="25" t="n">
        <v>2742432.419103747</v>
      </c>
      <c r="X133" s="25" t="n">
        <v>6728756.963281774</v>
      </c>
      <c r="Y133" s="25">
        <f>X133 / 12</f>
        <v/>
      </c>
      <c r="Z133" s="17" t="n">
        <v>49</v>
      </c>
      <c r="AA133" s="25">
        <f>I133</f>
        <v/>
      </c>
      <c r="AB133" s="25">
        <f>Q133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 t="n">
        <v>24860817.48613308</v>
      </c>
      <c r="J134" s="19">
        <f>I134 * (0.01000000 / 12)</f>
        <v/>
      </c>
      <c r="K134" s="19">
        <f>(I134 - J134) * (0.00664805 / 12) * 1.0</f>
        <v/>
      </c>
      <c r="L134" s="19" t="n">
        <v>1317808.836931441</v>
      </c>
      <c r="M134" s="24">
        <f>(I134 - J134) - K134 + L134</f>
        <v/>
      </c>
      <c r="N134" s="24">
        <f>M134 * (0.00400000 / 12) * 1.0</f>
        <v/>
      </c>
      <c r="O134" s="24">
        <f>M134 * (0.00500000 / 12) * 1.0</f>
        <v/>
      </c>
      <c r="P134" s="24">
        <f>Y134</f>
        <v/>
      </c>
      <c r="Q134" s="24">
        <f>MAX(0, M134 - N134 - O134 - P134)</f>
        <v/>
      </c>
      <c r="R134" s="24" t="n">
        <v>12727683.07793078</v>
      </c>
      <c r="S134" s="24" t="n">
        <v>1565392.970831593</v>
      </c>
      <c r="T134" s="24" t="n">
        <v>3936618.489879829</v>
      </c>
      <c r="U134" s="24" t="n">
        <v>3637371.894521152</v>
      </c>
      <c r="V134" s="24" t="n">
        <v>853118.4641490697</v>
      </c>
      <c r="W134" s="24" t="n">
        <v>2817048.868694347</v>
      </c>
      <c r="X134" s="24" t="n">
        <v>7047666.85571627</v>
      </c>
      <c r="Y134" s="24">
        <f>X134 / 12</f>
        <v/>
      </c>
      <c r="Z134" s="15" t="n">
        <v>48</v>
      </c>
      <c r="AA134" s="24">
        <f>I134</f>
        <v/>
      </c>
      <c r="AB134" s="24">
        <f>Q134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 t="n">
        <v>25537233.76600677</v>
      </c>
      <c r="J135" s="21">
        <f>I135 * (0.01000000 / 12)</f>
        <v/>
      </c>
      <c r="K135" s="21">
        <f>(I135 - J135) * (0.00664805 / 12) * 1.0</f>
        <v/>
      </c>
      <c r="L135" s="21" t="n">
        <v>656641.5008795378</v>
      </c>
      <c r="M135" s="25">
        <f>(I135 - J135) - K135 + L135</f>
        <v/>
      </c>
      <c r="N135" s="25">
        <f>M135 * (0.00400000 / 12) * 1.0</f>
        <v/>
      </c>
      <c r="O135" s="25">
        <f>M135 * (0.00500000 / 12) * 1.0</f>
        <v/>
      </c>
      <c r="P135" s="25">
        <f>Y135</f>
        <v/>
      </c>
      <c r="Q135" s="25">
        <f>MAX(0, M135 - N135 - O135 - P135)</f>
        <v/>
      </c>
      <c r="R135" s="25" t="n">
        <v>12728894.44460452</v>
      </c>
      <c r="S135" s="25" t="n">
        <v>1565541.958268236</v>
      </c>
      <c r="T135" s="25" t="n">
        <v>3936993.160463365</v>
      </c>
      <c r="U135" s="25" t="n">
        <v>3637718.084088102</v>
      </c>
      <c r="V135" s="25" t="n">
        <v>853199.6603314303</v>
      </c>
      <c r="W135" s="25" t="n">
        <v>2817316.983409095</v>
      </c>
      <c r="X135" s="25" t="n">
        <v>7190101.814760875</v>
      </c>
      <c r="Y135" s="25">
        <f>X135 / 12</f>
        <v/>
      </c>
      <c r="Z135" s="17" t="n">
        <v>47</v>
      </c>
      <c r="AA135" s="25">
        <f>I135</f>
        <v/>
      </c>
      <c r="AB135" s="25">
        <f>Q135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 t="n">
        <v>25539664.29116476</v>
      </c>
      <c r="J136" s="19">
        <f>I136 * (0.01000000 / 12)</f>
        <v/>
      </c>
      <c r="K136" s="19">
        <f>(I136 - J136) * (0.00664805 / 12) * 1.0</f>
        <v/>
      </c>
      <c r="L136" s="19" t="n">
        <v>720170.8824862577</v>
      </c>
      <c r="M136" s="24">
        <f>(I136 - J136) - K136 + L136</f>
        <v/>
      </c>
      <c r="N136" s="24">
        <f>M136 * (0.00400000 / 12) * 1.0</f>
        <v/>
      </c>
      <c r="O136" s="24">
        <f>M136 * (0.00500000 / 12) * 1.0</f>
        <v/>
      </c>
      <c r="P136" s="24">
        <f>Y136</f>
        <v/>
      </c>
      <c r="Q136" s="24">
        <f>MAX(0, M136 - N136 - O136 - P136)</f>
        <v/>
      </c>
      <c r="R136" s="24" t="n">
        <v>12754967.94388783</v>
      </c>
      <c r="S136" s="24" t="n">
        <v>1568748.769142859</v>
      </c>
      <c r="T136" s="24" t="n">
        <v>3945057.583402406</v>
      </c>
      <c r="U136" s="24" t="n">
        <v>3645169.4806152</v>
      </c>
      <c r="V136" s="24" t="n">
        <v>854947.3298426338</v>
      </c>
      <c r="W136" s="24" t="n">
        <v>2823087.894046105</v>
      </c>
      <c r="X136" s="24" t="n">
        <v>7353210.119797745</v>
      </c>
      <c r="Y136" s="24">
        <f>X136 / 12</f>
        <v/>
      </c>
      <c r="Z136" s="15" t="n">
        <v>46</v>
      </c>
      <c r="AA136" s="24">
        <f>I136</f>
        <v/>
      </c>
      <c r="AB136" s="24">
        <f>Q136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 t="n">
        <v>25591979.00093703</v>
      </c>
      <c r="J137" s="21">
        <f>I137 * (0.01000000 / 12)</f>
        <v/>
      </c>
      <c r="K137" s="21">
        <f>(I137 - J137) * (0.00664805 / 12) * 1.0</f>
        <v/>
      </c>
      <c r="L137" s="21" t="n">
        <v>1312118.501306588</v>
      </c>
      <c r="M137" s="25">
        <f>(I137 - J137) - K137 + L137</f>
        <v/>
      </c>
      <c r="N137" s="25">
        <f>M137 * (0.00400000 / 12) * 1.0</f>
        <v/>
      </c>
      <c r="O137" s="25">
        <f>M137 * (0.00500000 / 12) * 1.0</f>
        <v/>
      </c>
      <c r="P137" s="25">
        <f>Y137</f>
        <v/>
      </c>
      <c r="Q137" s="25">
        <f>MAX(0, M137 - N137 - O137 - P137)</f>
        <v/>
      </c>
      <c r="R137" s="25" t="n">
        <v>13061843.35987323</v>
      </c>
      <c r="S137" s="25" t="n">
        <v>1606491.743741082</v>
      </c>
      <c r="T137" s="25" t="n">
        <v>4039972.850325765</v>
      </c>
      <c r="U137" s="25" t="n">
        <v>3732869.654039558</v>
      </c>
      <c r="V137" s="25" t="n">
        <v>875516.7517843641</v>
      </c>
      <c r="W137" s="25" t="n">
        <v>2891009.371831074</v>
      </c>
      <c r="X137" s="25" t="n">
        <v>7688992.938753856</v>
      </c>
      <c r="Y137" s="25">
        <f>X137 / 12</f>
        <v/>
      </c>
      <c r="Z137" s="17" t="n">
        <v>45</v>
      </c>
      <c r="AA137" s="25">
        <f>I137</f>
        <v/>
      </c>
      <c r="AB137" s="25">
        <f>Q137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 t="n">
        <v>26207703.73159508</v>
      </c>
      <c r="J138" s="19">
        <f>I138 * (0.01000000 / 12)</f>
        <v/>
      </c>
      <c r="K138" s="19">
        <f>(I138 - J138) * (0.00664805 / 12) * 1.0</f>
        <v/>
      </c>
      <c r="L138" s="19" t="n">
        <v>351462.378867749</v>
      </c>
      <c r="M138" s="24">
        <f>(I138 - J138) - K138 + L138</f>
        <v/>
      </c>
      <c r="N138" s="24">
        <f>M138 * (0.00400000 / 12) * 1.0</f>
        <v/>
      </c>
      <c r="O138" s="24">
        <f>M138 * (0.00500000 / 12) * 1.0</f>
        <v/>
      </c>
      <c r="P138" s="24">
        <f>Y138</f>
        <v/>
      </c>
      <c r="Q138" s="24">
        <f>MAX(0, M138 - N138 - O138 - P138)</f>
        <v/>
      </c>
      <c r="R138" s="24" t="n">
        <v>12887093.25119998</v>
      </c>
      <c r="S138" s="24" t="n">
        <v>1584999.018781305</v>
      </c>
      <c r="T138" s="24" t="n">
        <v>3985923.381565462</v>
      </c>
      <c r="U138" s="24" t="n">
        <v>3682928.817992598</v>
      </c>
      <c r="V138" s="24" t="n">
        <v>863803.500958712</v>
      </c>
      <c r="W138" s="24" t="n">
        <v>2852331.507766733</v>
      </c>
      <c r="X138" s="24" t="n">
        <v>7750172.137857054</v>
      </c>
      <c r="Y138" s="24">
        <f>X138 / 12</f>
        <v/>
      </c>
      <c r="Z138" s="15" t="n">
        <v>44</v>
      </c>
      <c r="AA138" s="24">
        <f>I138</f>
        <v/>
      </c>
      <c r="AB138" s="24">
        <f>Q138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 t="n">
        <v>25857079.47826479</v>
      </c>
      <c r="J139" s="21">
        <f>I139 * (0.01000000 / 12)</f>
        <v/>
      </c>
      <c r="K139" s="21">
        <f>(I139 - J139) * (0.00664805 / 12) * 1.0</f>
        <v/>
      </c>
      <c r="L139" s="21" t="n">
        <v>530967.6092581266</v>
      </c>
      <c r="M139" s="25">
        <f>(I139 - J139) - K139 + L139</f>
        <v/>
      </c>
      <c r="N139" s="25">
        <f>M139 * (0.00400000 / 12) * 1.0</f>
        <v/>
      </c>
      <c r="O139" s="25">
        <f>M139 * (0.00500000 / 12) * 1.0</f>
        <v/>
      </c>
      <c r="P139" s="25">
        <f>Y139</f>
        <v/>
      </c>
      <c r="Q139" s="25">
        <f>MAX(0, M139 - N139 - O139 - P139)</f>
        <v/>
      </c>
      <c r="R139" s="25" t="n">
        <v>12797269.10762545</v>
      </c>
      <c r="S139" s="25" t="n">
        <v>1573951.439885634</v>
      </c>
      <c r="T139" s="25" t="n">
        <v>3958141.154252916</v>
      </c>
      <c r="U139" s="25" t="n">
        <v>3657258.488735739</v>
      </c>
      <c r="V139" s="25" t="n">
        <v>857782.7165833779</v>
      </c>
      <c r="W139" s="25" t="n">
        <v>2832450.512892118</v>
      </c>
      <c r="X139" s="25" t="n">
        <v>7866827.525836473</v>
      </c>
      <c r="Y139" s="25">
        <f>X139 / 12</f>
        <v/>
      </c>
      <c r="Z139" s="17" t="n">
        <v>43</v>
      </c>
      <c r="AA139" s="25">
        <f>I139</f>
        <v/>
      </c>
      <c r="AB139" s="25">
        <f>Q139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 t="n">
        <v>25676853.41997523</v>
      </c>
      <c r="J140" s="19">
        <f>I140 * (0.01000000 / 12)</f>
        <v/>
      </c>
      <c r="K140" s="19">
        <f>(I140 - J140) * (0.00664805 / 12) * 1.0</f>
        <v/>
      </c>
      <c r="L140" s="19" t="n">
        <v>1158074.347182848</v>
      </c>
      <c r="M140" s="24">
        <f>(I140 - J140) - K140 + L140</f>
        <v/>
      </c>
      <c r="N140" s="24">
        <f>M140 * (0.00400000 / 12) * 1.0</f>
        <v/>
      </c>
      <c r="O140" s="24">
        <f>M140 * (0.00500000 / 12) * 1.0</f>
        <v/>
      </c>
      <c r="P140" s="24">
        <f>Y140</f>
        <v/>
      </c>
      <c r="Q140" s="24">
        <f>MAX(0, M140 - N140 - O140 - P140)</f>
        <v/>
      </c>
      <c r="R140" s="24" t="n">
        <v>13007037.99197223</v>
      </c>
      <c r="S140" s="24" t="n">
        <v>1599751.165966576</v>
      </c>
      <c r="T140" s="24" t="n">
        <v>4023021.782067486</v>
      </c>
      <c r="U140" s="24" t="n">
        <v>3717207.140787823</v>
      </c>
      <c r="V140" s="24" t="n">
        <v>871843.226052733</v>
      </c>
      <c r="W140" s="24" t="n">
        <v>2878879.167244853</v>
      </c>
      <c r="X140" s="24" t="n">
        <v>8177726.271073184</v>
      </c>
      <c r="Y140" s="24">
        <f>X140 / 12</f>
        <v/>
      </c>
      <c r="Z140" s="15" t="n">
        <v>42</v>
      </c>
      <c r="AA140" s="24">
        <f>I140</f>
        <v/>
      </c>
      <c r="AB140" s="24">
        <f>Q140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 t="n">
        <v>26097740.4740917</v>
      </c>
      <c r="J141" s="21">
        <f>I141 * (0.01000000 / 12)</f>
        <v/>
      </c>
      <c r="K141" s="21">
        <f>(I141 - J141) * (0.00664805 / 12) * 1.0</f>
        <v/>
      </c>
      <c r="L141" s="21" t="n">
        <v>1413587.042338369</v>
      </c>
      <c r="M141" s="25">
        <f>(I141 - J141) - K141 + L141</f>
        <v/>
      </c>
      <c r="N141" s="25">
        <f>M141 * (0.00400000 / 12) * 1.0</f>
        <v/>
      </c>
      <c r="O141" s="25">
        <f>M141 * (0.00500000 / 12) * 1.0</f>
        <v/>
      </c>
      <c r="P141" s="25">
        <f>Y141</f>
        <v/>
      </c>
      <c r="Q141" s="25">
        <f>MAX(0, M141 - N141 - O141 - P141)</f>
        <v/>
      </c>
      <c r="R141" s="25" t="n">
        <v>13327121.37260358</v>
      </c>
      <c r="S141" s="25" t="n">
        <v>1639118.603940353</v>
      </c>
      <c r="T141" s="25" t="n">
        <v>4122022.216536307</v>
      </c>
      <c r="U141" s="25" t="n">
        <v>3808681.943034475</v>
      </c>
      <c r="V141" s="25" t="n">
        <v>893297.9590478803</v>
      </c>
      <c r="W141" s="25" t="n">
        <v>2949723.995779191</v>
      </c>
      <c r="X141" s="25" t="n">
        <v>8574728.897185013</v>
      </c>
      <c r="Y141" s="25">
        <f>X141 / 12</f>
        <v/>
      </c>
      <c r="Z141" s="17" t="n">
        <v>41</v>
      </c>
      <c r="AA141" s="25">
        <f>I141</f>
        <v/>
      </c>
      <c r="AB141" s="25">
        <f>Q141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 t="n">
        <v>26739966.09094179</v>
      </c>
      <c r="J142" s="19">
        <f>I142 * (0.01000000 / 12)</f>
        <v/>
      </c>
      <c r="K142" s="19">
        <f>(I142 - J142) * (0.00664805 / 12) * 1.0</f>
        <v/>
      </c>
      <c r="L142" s="19" t="n">
        <v>1296983.015176473</v>
      </c>
      <c r="M142" s="24">
        <f>(I142 - J142) - K142 + L142</f>
        <v/>
      </c>
      <c r="N142" s="24">
        <f>M142 * (0.00400000 / 12) * 1.0</f>
        <v/>
      </c>
      <c r="O142" s="24">
        <f>M142 * (0.00500000 / 12) * 1.0</f>
        <v/>
      </c>
      <c r="P142" s="24">
        <f>Y142</f>
        <v/>
      </c>
      <c r="Q142" s="24">
        <f>MAX(0, M142 - N142 - O142 - P142)</f>
        <v/>
      </c>
      <c r="R142" s="24" t="n">
        <v>13573168.61884207</v>
      </c>
      <c r="S142" s="24" t="n">
        <v>1669380.249158566</v>
      </c>
      <c r="T142" s="24" t="n">
        <v>4198123.588089623</v>
      </c>
      <c r="U142" s="24" t="n">
        <v>3878998.381046987</v>
      </c>
      <c r="V142" s="24" t="n">
        <v>909790.1554306656</v>
      </c>
      <c r="W142" s="24" t="n">
        <v>3004182.227683421</v>
      </c>
      <c r="X142" s="24" t="n">
        <v>8942651.594817394</v>
      </c>
      <c r="Y142" s="24">
        <f>X142 / 12</f>
        <v/>
      </c>
      <c r="Z142" s="15" t="n">
        <v>40</v>
      </c>
      <c r="AA142" s="24">
        <f>I142</f>
        <v/>
      </c>
      <c r="AB142" s="24">
        <f>Q142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 t="n">
        <v>27233643.22025134</v>
      </c>
      <c r="J143" s="21">
        <f>I143 * (0.01000000 / 12)</f>
        <v/>
      </c>
      <c r="K143" s="21">
        <f>(I143 - J143) * (0.00664805 / 12) * 1.0</f>
        <v/>
      </c>
      <c r="L143" s="21" t="n">
        <v>501657.4477538144</v>
      </c>
      <c r="M143" s="25">
        <f>(I143 - J143) - K143 + L143</f>
        <v/>
      </c>
      <c r="N143" s="25">
        <f>M143 * (0.00400000 / 12) * 1.0</f>
        <v/>
      </c>
      <c r="O143" s="25">
        <f>M143 * (0.00500000 / 12) * 1.0</f>
        <v/>
      </c>
      <c r="P143" s="25">
        <f>Y143</f>
        <v/>
      </c>
      <c r="Q143" s="25">
        <f>MAX(0, M143 - N143 - O143 - P143)</f>
        <v/>
      </c>
      <c r="R143" s="25" t="n">
        <v>13417791.53809957</v>
      </c>
      <c r="S143" s="25" t="n">
        <v>1650270.236084436</v>
      </c>
      <c r="T143" s="25" t="n">
        <v>4150066.114847295</v>
      </c>
      <c r="U143" s="25" t="n">
        <v>3834594.052066994</v>
      </c>
      <c r="V143" s="25" t="n">
        <v>899375.4510673197</v>
      </c>
      <c r="W143" s="25" t="n">
        <v>2969792.242731199</v>
      </c>
      <c r="X143" s="25" t="n">
        <v>9058418.331164995</v>
      </c>
      <c r="Y143" s="25">
        <f>X143 / 12</f>
        <v/>
      </c>
      <c r="Z143" s="17" t="n">
        <v>39</v>
      </c>
      <c r="AA143" s="25">
        <f>I143</f>
        <v/>
      </c>
      <c r="AB143" s="25">
        <f>Q143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 t="n">
        <v>26921889.63489681</v>
      </c>
      <c r="J144" s="19">
        <f>I144 * (0.01000000 / 12)</f>
        <v/>
      </c>
      <c r="K144" s="19">
        <f>(I144 - J144) * (0.00664805 / 12) * 1.0</f>
        <v/>
      </c>
      <c r="L144" s="19" t="n">
        <v>1343587.910913077</v>
      </c>
      <c r="M144" s="24">
        <f>(I144 - J144) - K144 + L144</f>
        <v/>
      </c>
      <c r="N144" s="24">
        <f>M144 * (0.00400000 / 12) * 1.0</f>
        <v/>
      </c>
      <c r="O144" s="24">
        <f>M144 * (0.00500000 / 12) * 1.0</f>
        <v/>
      </c>
      <c r="P144" s="24">
        <f>Y144</f>
        <v/>
      </c>
      <c r="Q144" s="24">
        <f>MAX(0, M144 - N144 - O144 - P144)</f>
        <v/>
      </c>
      <c r="R144" s="24" t="n">
        <v>13665378.67328543</v>
      </c>
      <c r="S144" s="24" t="n">
        <v>1680721.274086812</v>
      </c>
      <c r="T144" s="24" t="n">
        <v>4226643.767532489</v>
      </c>
      <c r="U144" s="24" t="n">
        <v>3905350.566151761</v>
      </c>
      <c r="V144" s="24" t="n">
        <v>915970.8640124359</v>
      </c>
      <c r="W144" s="24" t="n">
        <v>3024591.301979301</v>
      </c>
      <c r="X144" s="24" t="n">
        <v>9459751.999226874</v>
      </c>
      <c r="Y144" s="24">
        <f>X144 / 12</f>
        <v/>
      </c>
      <c r="Z144" s="15" t="n">
        <v>38</v>
      </c>
      <c r="AA144" s="24">
        <f>I144</f>
        <v/>
      </c>
      <c r="AB144" s="24">
        <f>Q144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 t="n">
        <v>27418656.44704822</v>
      </c>
      <c r="J145" s="21">
        <f>I145 * (0.01000000 / 12)</f>
        <v/>
      </c>
      <c r="K145" s="21">
        <f>(I145 - J145) * (0.00664805 / 12) * 1.0</f>
        <v/>
      </c>
      <c r="L145" s="21" t="n">
        <v>1025736.782823529</v>
      </c>
      <c r="M145" s="25">
        <f>(I145 - J145) - K145 + L145</f>
        <v/>
      </c>
      <c r="N145" s="25">
        <f>M145 * (0.00400000 / 12) * 1.0</f>
        <v/>
      </c>
      <c r="O145" s="25">
        <f>M145 * (0.00500000 / 12) * 1.0</f>
        <v/>
      </c>
      <c r="P145" s="25">
        <f>Y145</f>
        <v/>
      </c>
      <c r="Q145" s="25">
        <f>MAX(0, M145 - N145 - O145 - P145)</f>
        <v/>
      </c>
      <c r="R145" s="25" t="n">
        <v>13741622.83324086</v>
      </c>
      <c r="S145" s="25" t="n">
        <v>1690098.634548289</v>
      </c>
      <c r="T145" s="25" t="n">
        <v>4250225.76340622</v>
      </c>
      <c r="U145" s="25" t="n">
        <v>3927139.949407551</v>
      </c>
      <c r="V145" s="25" t="n">
        <v>921081.4014325811</v>
      </c>
      <c r="W145" s="25" t="n">
        <v>3041466.606245749</v>
      </c>
      <c r="X145" s="25" t="n">
        <v>9761123.823999232</v>
      </c>
      <c r="Y145" s="25">
        <f>X145 / 12</f>
        <v/>
      </c>
      <c r="Z145" s="17" t="n">
        <v>37</v>
      </c>
      <c r="AA145" s="25">
        <f>I145</f>
        <v/>
      </c>
      <c r="AB145" s="25">
        <f>Q145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 t="n">
        <v>27571635.18828126</v>
      </c>
      <c r="J146" s="19">
        <f>I146 * (0.01000000 / 12)</f>
        <v/>
      </c>
      <c r="K146" s="19">
        <f>(I146 - J146) * (0.00664805 / 12) * 1.0</f>
        <v/>
      </c>
      <c r="L146" s="19" t="n">
        <v>1637885.264843982</v>
      </c>
      <c r="M146" s="24">
        <f>(I146 - J146) - K146 + L146</f>
        <v/>
      </c>
      <c r="N146" s="24">
        <f>M146 * (0.00400000 / 12) * 1.0</f>
        <v/>
      </c>
      <c r="O146" s="24">
        <f>M146 * (0.00500000 / 12) * 1.0</f>
        <v/>
      </c>
      <c r="P146" s="24">
        <f>Y146</f>
        <v/>
      </c>
      <c r="Q146" s="24">
        <f>MAX(0, M146 - N146 - O146 - P146)</f>
        <v/>
      </c>
      <c r="R146" s="24" t="n">
        <v>14100771.83552781</v>
      </c>
      <c r="S146" s="24" t="n">
        <v>1734270.800072744</v>
      </c>
      <c r="T146" s="24" t="n">
        <v>4361309.029258133</v>
      </c>
      <c r="U146" s="24" t="n">
        <v>4029779.092672283</v>
      </c>
      <c r="V146" s="24" t="n">
        <v>945154.6473922472</v>
      </c>
      <c r="W146" s="24" t="n">
        <v>3120957.923274175</v>
      </c>
      <c r="X146" s="24" t="n">
        <v>10285922.63766549</v>
      </c>
      <c r="Y146" s="24">
        <f>X146 / 12</f>
        <v/>
      </c>
      <c r="Z146" s="15" t="n">
        <v>36</v>
      </c>
      <c r="AA146" s="24">
        <f>I146</f>
        <v/>
      </c>
      <c r="AB146" s="24">
        <f>Q146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 t="n">
        <v>28292243.32819739</v>
      </c>
      <c r="J147" s="21">
        <f>I147 * (0.01000000 / 12)</f>
        <v/>
      </c>
      <c r="K147" s="21">
        <f>(I147 - J147) * (0.00664805 / 12) * 1.0</f>
        <v/>
      </c>
      <c r="L147" s="21" t="n">
        <v>1139405.639590169</v>
      </c>
      <c r="M147" s="25">
        <f>(I147 - J147) - K147 + L147</f>
        <v/>
      </c>
      <c r="N147" s="25">
        <f>M147 * (0.00400000 / 12) * 1.0</f>
        <v/>
      </c>
      <c r="O147" s="25">
        <f>M147 * (0.00500000 / 12) * 1.0</f>
        <v/>
      </c>
      <c r="P147" s="25">
        <f>Y147</f>
        <v/>
      </c>
      <c r="Q147" s="25">
        <f>MAX(0, M147 - N147 - O147 - P147)</f>
        <v/>
      </c>
      <c r="R147" s="25" t="n">
        <v>14196071.46459319</v>
      </c>
      <c r="S147" s="25" t="n">
        <v>1745991.815480527</v>
      </c>
      <c r="T147" s="25" t="n">
        <v>4390784.801051035</v>
      </c>
      <c r="U147" s="25" t="n">
        <v>4057014.229672337</v>
      </c>
      <c r="V147" s="25" t="n">
        <v>951542.4457593521</v>
      </c>
      <c r="W147" s="25" t="n">
        <v>3142050.820591136</v>
      </c>
      <c r="X147" s="25" t="n">
        <v>10642934.93310272</v>
      </c>
      <c r="Y147" s="25">
        <f>X147 / 12</f>
        <v/>
      </c>
      <c r="Z147" s="17" t="n">
        <v>35</v>
      </c>
      <c r="AA147" s="25">
        <f>I147</f>
        <v/>
      </c>
      <c r="AB147" s="25">
        <f>Q147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 t="n">
        <v>28483455.57714758</v>
      </c>
      <c r="J148" s="19">
        <f>I148 * (0.01000000 / 12)</f>
        <v/>
      </c>
      <c r="K148" s="19">
        <f>(I148 - J148) * (0.00664805 / 12) * 1.0</f>
        <v/>
      </c>
      <c r="L148" s="19" t="n">
        <v>991100.6610022935</v>
      </c>
      <c r="M148" s="24">
        <f>(I148 - J148) - K148 + L148</f>
        <v/>
      </c>
      <c r="N148" s="24">
        <f>M148 * (0.00400000 / 12) * 1.0</f>
        <v/>
      </c>
      <c r="O148" s="24">
        <f>M148 * (0.00500000 / 12) * 1.0</f>
        <v/>
      </c>
      <c r="P148" s="24">
        <f>Y148</f>
        <v/>
      </c>
      <c r="Q148" s="24">
        <f>MAX(0, M148 - N148 - O148 - P148)</f>
        <v/>
      </c>
      <c r="R148" s="24" t="n">
        <v>14204377.17492846</v>
      </c>
      <c r="S148" s="24" t="n">
        <v>1747013.344732709</v>
      </c>
      <c r="T148" s="24" t="n">
        <v>4393353.72209324</v>
      </c>
      <c r="U148" s="24" t="n">
        <v>4059387.871218294</v>
      </c>
      <c r="V148" s="24" t="n">
        <v>952099.1656903488</v>
      </c>
      <c r="W148" s="24" t="n">
        <v>3143889.14354123</v>
      </c>
      <c r="X148" s="24" t="n">
        <v>10954278.00550457</v>
      </c>
      <c r="Y148" s="24">
        <f>X148 / 12</f>
        <v/>
      </c>
      <c r="Z148" s="15" t="n">
        <v>34</v>
      </c>
      <c r="AA148" s="24">
        <f>I148</f>
        <v/>
      </c>
      <c r="AB148" s="24">
        <f>Q148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 t="n">
        <v>28500120.42220428</v>
      </c>
      <c r="J149" s="21">
        <f>I149 * (0.01000000 / 12)</f>
        <v/>
      </c>
      <c r="K149" s="21">
        <f>(I149 - J149) * (0.00664805 / 12) * 1.0</f>
        <v/>
      </c>
      <c r="L149" s="21" t="n">
        <v>1606191.109413071</v>
      </c>
      <c r="M149" s="25">
        <f>(I149 - J149) - K149 + L149</f>
        <v/>
      </c>
      <c r="N149" s="25">
        <f>M149 * (0.00400000 / 12) * 1.0</f>
        <v/>
      </c>
      <c r="O149" s="25">
        <f>M149 * (0.00500000 / 12) * 1.0</f>
        <v/>
      </c>
      <c r="P149" s="25">
        <f>Y149</f>
        <v/>
      </c>
      <c r="Q149" s="25">
        <f>MAX(0, M149 - N149 - O149 - P149)</f>
        <v/>
      </c>
      <c r="R149" s="25" t="n">
        <v>14495914.97434795</v>
      </c>
      <c r="S149" s="25" t="n">
        <v>1782869.927517545</v>
      </c>
      <c r="T149" s="25" t="n">
        <v>4483525.129148751</v>
      </c>
      <c r="U149" s="25" t="n">
        <v>4142704.794754657</v>
      </c>
      <c r="V149" s="25" t="n">
        <v>971640.5290444868</v>
      </c>
      <c r="W149" s="25" t="n">
        <v>3208415.909568299</v>
      </c>
      <c r="X149" s="25" t="n">
        <v>11509968.48643651</v>
      </c>
      <c r="Y149" s="25">
        <f>X149 / 12</f>
        <v/>
      </c>
      <c r="Z149" s="17" t="n">
        <v>33</v>
      </c>
      <c r="AA149" s="25">
        <f>I149</f>
        <v/>
      </c>
      <c r="AB149" s="25">
        <f>Q149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 t="n">
        <v>29085071.26438169</v>
      </c>
      <c r="J150" s="19">
        <f>I150 * (0.01000000 / 12)</f>
        <v/>
      </c>
      <c r="K150" s="19">
        <f>(I150 - J150) * (0.00664805 / 12) * 1.0</f>
        <v/>
      </c>
      <c r="L150" s="19" t="n">
        <v>438751.8924625571</v>
      </c>
      <c r="M150" s="24">
        <f>(I150 - J150) - K150 + L150</f>
        <v/>
      </c>
      <c r="N150" s="24">
        <f>M150 * (0.00400000 / 12) * 1.0</f>
        <v/>
      </c>
      <c r="O150" s="24">
        <f>M150 * (0.00500000 / 12) * 1.0</f>
        <v/>
      </c>
      <c r="P150" s="24">
        <f>Y150</f>
        <v/>
      </c>
      <c r="Q150" s="24">
        <f>MAX(0, M150 - N150 - O150 - P150)</f>
        <v/>
      </c>
      <c r="R150" s="24" t="n">
        <v>14200818.61915106</v>
      </c>
      <c r="S150" s="24" t="n">
        <v>1746575.673699721</v>
      </c>
      <c r="T150" s="24" t="n">
        <v>4392253.075857406</v>
      </c>
      <c r="U150" s="24" t="n">
        <v>4058370.891875663</v>
      </c>
      <c r="V150" s="24" t="n">
        <v>951860.6407663058</v>
      </c>
      <c r="W150" s="24" t="n">
        <v>3143101.519787123</v>
      </c>
      <c r="X150" s="24" t="n">
        <v>11620712.75220077</v>
      </c>
      <c r="Y150" s="24">
        <f>X150 / 12</f>
        <v/>
      </c>
      <c r="Z150" s="15" t="n">
        <v>32</v>
      </c>
      <c r="AA150" s="24">
        <f>I150</f>
        <v/>
      </c>
      <c r="AB150" s="24">
        <f>Q150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 t="n">
        <v>28492980.42113727</v>
      </c>
      <c r="J151" s="21">
        <f>I151 * (0.01000000 / 12)</f>
        <v/>
      </c>
      <c r="K151" s="21">
        <f>(I151 - J151) * (0.00664805 / 12) * 1.0</f>
        <v/>
      </c>
      <c r="L151" s="21" t="n">
        <v>1370012.104700697</v>
      </c>
      <c r="M151" s="25">
        <f>(I151 - J151) - K151 + L151</f>
        <v/>
      </c>
      <c r="N151" s="25">
        <f>M151 * (0.00400000 / 12) * 1.0</f>
        <v/>
      </c>
      <c r="O151" s="25">
        <f>M151 * (0.00500000 / 12) * 1.0</f>
        <v/>
      </c>
      <c r="P151" s="25">
        <f>Y151</f>
        <v/>
      </c>
      <c r="Q151" s="25">
        <f>MAX(0, M151 - N151 - O151 - P151)</f>
        <v/>
      </c>
      <c r="R151" s="25" t="n">
        <v>14349636.26879865</v>
      </c>
      <c r="S151" s="25" t="n">
        <v>1764878.934494921</v>
      </c>
      <c r="T151" s="25" t="n">
        <v>4438281.744833222</v>
      </c>
      <c r="U151" s="25" t="n">
        <v>4100900.638485669</v>
      </c>
      <c r="V151" s="25" t="n">
        <v>961835.67580829</v>
      </c>
      <c r="W151" s="25" t="n">
        <v>3176039.689995684</v>
      </c>
      <c r="X151" s="25" t="n">
        <v>12114428.77016574</v>
      </c>
      <c r="Y151" s="25">
        <f>X151 / 12</f>
        <v/>
      </c>
      <c r="Z151" s="17" t="n">
        <v>31</v>
      </c>
      <c r="AA151" s="25">
        <f>I151</f>
        <v/>
      </c>
      <c r="AB151" s="25">
        <f>Q151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 t="n">
        <v>28791572.95241643</v>
      </c>
      <c r="J152" s="19">
        <f>I152 * (0.01000000 / 12)</f>
        <v/>
      </c>
      <c r="K152" s="19">
        <f>(I152 - J152) * (0.00664805 / 12) * 1.0</f>
        <v/>
      </c>
      <c r="L152" s="19" t="n">
        <v>1560303.436830987</v>
      </c>
      <c r="M152" s="24">
        <f>(I152 - J152) - K152 + L152</f>
        <v/>
      </c>
      <c r="N152" s="24">
        <f>M152 * (0.00400000 / 12) * 1.0</f>
        <v/>
      </c>
      <c r="O152" s="24">
        <f>M152 * (0.00500000 / 12) * 1.0</f>
        <v/>
      </c>
      <c r="P152" s="24">
        <f>Y152</f>
        <v/>
      </c>
      <c r="Q152" s="24">
        <f>MAX(0, M152 - N152 - O152 - P152)</f>
        <v/>
      </c>
      <c r="R152" s="24" t="n">
        <v>14568466.83622858</v>
      </c>
      <c r="S152" s="24" t="n">
        <v>1791793.16782085</v>
      </c>
      <c r="T152" s="24" t="n">
        <v>4505965.112860298</v>
      </c>
      <c r="U152" s="24" t="n">
        <v>4163438.977220072</v>
      </c>
      <c r="V152" s="24" t="n">
        <v>976503.5769849311</v>
      </c>
      <c r="W152" s="24" t="n">
        <v>3224473.988574595</v>
      </c>
      <c r="X152" s="24" t="n">
        <v>12702845.08566284</v>
      </c>
      <c r="Y152" s="24">
        <f>X152 / 12</f>
        <v/>
      </c>
      <c r="Z152" s="15" t="n">
        <v>30</v>
      </c>
      <c r="AA152" s="24">
        <f>I152</f>
        <v/>
      </c>
      <c r="AB152" s="24">
        <f>Q152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 t="n">
        <v>29230641.65968933</v>
      </c>
      <c r="J153" s="21">
        <f>I153 * (0.01000000 / 12)</f>
        <v/>
      </c>
      <c r="K153" s="21">
        <f>(I153 - J153) * (0.00664805 / 12) * 1.0</f>
        <v/>
      </c>
      <c r="L153" s="21" t="n">
        <v>1421110.916197188</v>
      </c>
      <c r="M153" s="25">
        <f>(I153 - J153) - K153 + L153</f>
        <v/>
      </c>
      <c r="N153" s="25">
        <f>M153 * (0.00400000 / 12) * 1.0</f>
        <v/>
      </c>
      <c r="O153" s="25">
        <f>M153 * (0.00500000 / 12) * 1.0</f>
        <v/>
      </c>
      <c r="P153" s="25">
        <f>Y153</f>
        <v/>
      </c>
      <c r="Q153" s="25">
        <f>MAX(0, M153 - N153 - O153 - P153)</f>
        <v/>
      </c>
      <c r="R153" s="25" t="n">
        <v>14694813.28024074</v>
      </c>
      <c r="S153" s="25" t="n">
        <v>1807332.668147437</v>
      </c>
      <c r="T153" s="25" t="n">
        <v>4545043.533071063</v>
      </c>
      <c r="U153" s="25" t="n">
        <v>4199546.806241946</v>
      </c>
      <c r="V153" s="25" t="n">
        <v>984972.3991269006</v>
      </c>
      <c r="W153" s="25" t="n">
        <v>3252438.552508871</v>
      </c>
      <c r="X153" s="25" t="n">
        <v>13249291.75719799</v>
      </c>
      <c r="Y153" s="25">
        <f>X153 / 12</f>
        <v/>
      </c>
      <c r="Z153" s="17" t="n">
        <v>29</v>
      </c>
      <c r="AA153" s="25">
        <f>I153</f>
        <v/>
      </c>
      <c r="AB153" s="25">
        <f>Q153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 t="n">
        <v>29484147.23933696</v>
      </c>
      <c r="J154" s="19">
        <f>I154 * (0.01000000 / 12)</f>
        <v/>
      </c>
      <c r="K154" s="19">
        <f>(I154 - J154) * (0.00664805 / 12) * 1.0</f>
        <v/>
      </c>
      <c r="L154" s="19" t="n">
        <v>1224826.655710719</v>
      </c>
      <c r="M154" s="24">
        <f>(I154 - J154) - K154 + L154</f>
        <v/>
      </c>
      <c r="N154" s="24">
        <f>M154 * (0.00400000 / 12) * 1.0</f>
        <v/>
      </c>
      <c r="O154" s="24">
        <f>M154 * (0.00500000 / 12) * 1.0</f>
        <v/>
      </c>
      <c r="P154" s="24">
        <f>Y154</f>
        <v/>
      </c>
      <c r="Q154" s="24">
        <f>MAX(0, M154 - N154 - O154 - P154)</f>
        <v/>
      </c>
      <c r="R154" s="24" t="n">
        <v>14703341.79635846</v>
      </c>
      <c r="S154" s="24" t="n">
        <v>1808381.600549395</v>
      </c>
      <c r="T154" s="24" t="n">
        <v>4547681.366998469</v>
      </c>
      <c r="U154" s="24" t="n">
        <v>4201984.122180644</v>
      </c>
      <c r="V154" s="24" t="n">
        <v>985544.0534120731</v>
      </c>
      <c r="W154" s="24" t="n">
        <v>3254326.189601494</v>
      </c>
      <c r="X154" s="24" t="n">
        <v>13725874.11217733</v>
      </c>
      <c r="Y154" s="24">
        <f>X154 / 12</f>
        <v/>
      </c>
      <c r="Z154" s="15" t="n">
        <v>28</v>
      </c>
      <c r="AA154" s="24">
        <f>I154</f>
        <v/>
      </c>
      <c r="AB154" s="24">
        <f>Q154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 t="n">
        <v>29501259.12910053</v>
      </c>
      <c r="J155" s="21">
        <f>I155 * (0.01000000 / 12)</f>
        <v/>
      </c>
      <c r="K155" s="21">
        <f>(I155 - J155) * (0.00664805 / 12) * 1.0</f>
        <v/>
      </c>
      <c r="L155" s="21" t="n">
        <v>802789.751147746</v>
      </c>
      <c r="M155" s="25">
        <f>(I155 - J155) - K155 + L155</f>
        <v/>
      </c>
      <c r="N155" s="25">
        <f>M155 * (0.00400000 / 12) * 1.0</f>
        <v/>
      </c>
      <c r="O155" s="25">
        <f>M155 * (0.00500000 / 12) * 1.0</f>
        <v/>
      </c>
      <c r="P155" s="25">
        <f>Y155</f>
        <v/>
      </c>
      <c r="Q155" s="25">
        <f>MAX(0, M155 - N155 - O155 - P155)</f>
        <v/>
      </c>
      <c r="R155" s="25" t="n">
        <v>14489298.46063862</v>
      </c>
      <c r="S155" s="25" t="n">
        <v>1782056.154579565</v>
      </c>
      <c r="T155" s="25" t="n">
        <v>4481478.669471272</v>
      </c>
      <c r="U155" s="25" t="n">
        <v>4140813.899070133</v>
      </c>
      <c r="V155" s="25" t="n">
        <v>971197.0335568032</v>
      </c>
      <c r="W155" s="25" t="n">
        <v>3206951.460591572</v>
      </c>
      <c r="X155" s="25" t="n">
        <v>14023695.10275297</v>
      </c>
      <c r="Y155" s="25">
        <f>X155 / 12</f>
        <v/>
      </c>
      <c r="Z155" s="17" t="n">
        <v>27</v>
      </c>
      <c r="AA155" s="25">
        <f>I155</f>
        <v/>
      </c>
      <c r="AB155" s="25">
        <f>Q155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 t="n">
        <v>29071795.67790797</v>
      </c>
      <c r="J156" s="19">
        <f>I156 * (0.01000000 / 12)</f>
        <v/>
      </c>
      <c r="K156" s="19">
        <f>(I156 - J156) * (0.00664805 / 12) * 1.0</f>
        <v/>
      </c>
      <c r="L156" s="19" t="n">
        <v>245346.3471214806</v>
      </c>
      <c r="M156" s="24">
        <f>(I156 - J156) - K156 + L156</f>
        <v/>
      </c>
      <c r="N156" s="24">
        <f>M156 * (0.00400000 / 12) * 1.0</f>
        <v/>
      </c>
      <c r="O156" s="24">
        <f>M156 * (0.00500000 / 12) * 1.0</f>
        <v/>
      </c>
      <c r="P156" s="24">
        <f>Y156</f>
        <v/>
      </c>
      <c r="Q156" s="24">
        <f>MAX(0, M156 - N156 - O156 - P156)</f>
        <v/>
      </c>
      <c r="R156" s="24" t="n">
        <v>13996345.07939566</v>
      </c>
      <c r="S156" s="24" t="n">
        <v>1721427.228386122</v>
      </c>
      <c r="T156" s="24" t="n">
        <v>4329010.275705664</v>
      </c>
      <c r="U156" s="24" t="n">
        <v>3999935.566127401</v>
      </c>
      <c r="V156" s="24" t="n">
        <v>938155.0707008695</v>
      </c>
      <c r="W156" s="24" t="n">
        <v>3097844.896855912</v>
      </c>
      <c r="X156" s="24" t="n">
        <v>14065767.72162604</v>
      </c>
      <c r="Y156" s="24">
        <f>X156 / 12</f>
        <v/>
      </c>
      <c r="Z156" s="15" t="n">
        <v>26</v>
      </c>
      <c r="AA156" s="24">
        <f>I156</f>
        <v/>
      </c>
      <c r="AB156" s="24">
        <f>Q156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 t="n">
        <v>28082718.11717163</v>
      </c>
      <c r="J157" s="21">
        <f>I157 * (0.01000000 / 12)</f>
        <v/>
      </c>
      <c r="K157" s="21">
        <f>(I157 - J157) * (0.00664805 / 12) * 1.0</f>
        <v/>
      </c>
      <c r="L157" s="21" t="n">
        <v>518636.3143552844</v>
      </c>
      <c r="M157" s="25">
        <f>(I157 - J157) - K157 + L157</f>
        <v/>
      </c>
      <c r="N157" s="25">
        <f>M157 * (0.00400000 / 12) * 1.0</f>
        <v/>
      </c>
      <c r="O157" s="25">
        <f>M157 * (0.00500000 / 12) * 1.0</f>
        <v/>
      </c>
      <c r="P157" s="25">
        <f>Y157</f>
        <v/>
      </c>
      <c r="Q157" s="25">
        <f>MAX(0, M157 - N157 - O157 - P157)</f>
        <v/>
      </c>
      <c r="R157" s="25" t="n">
        <v>13632961.77021476</v>
      </c>
      <c r="S157" s="25" t="n">
        <v>1676734.280390297</v>
      </c>
      <c r="T157" s="25" t="n">
        <v>4216617.356658546</v>
      </c>
      <c r="U157" s="25" t="n">
        <v>3896086.32446577</v>
      </c>
      <c r="V157" s="25" t="n">
        <v>913798.0051825305</v>
      </c>
      <c r="W157" s="25" t="n">
        <v>3017416.390444919</v>
      </c>
      <c r="X157" s="25" t="n">
        <v>14248454.95726907</v>
      </c>
      <c r="Y157" s="25">
        <f>X157 / 12</f>
        <v/>
      </c>
      <c r="Z157" s="17" t="n">
        <v>25</v>
      </c>
      <c r="AA157" s="25">
        <f>I157</f>
        <v/>
      </c>
      <c r="AB157" s="25">
        <f>Q157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 t="n">
        <v>27353614.12735683</v>
      </c>
      <c r="J158" s="19">
        <f>I158 * (0.01000000 / 12)</f>
        <v/>
      </c>
      <c r="K158" s="19">
        <f>(I158 - J158) * (0.00664805 / 12) * 1.0</f>
        <v/>
      </c>
      <c r="L158" s="19" t="n">
        <v>1566862.854784115</v>
      </c>
      <c r="M158" s="24">
        <f>(I158 - J158) - K158 + L158</f>
        <v/>
      </c>
      <c r="N158" s="24">
        <f>M158 * (0.00400000 / 12) * 1.0</f>
        <v/>
      </c>
      <c r="O158" s="24">
        <f>M158 * (0.00500000 / 12) * 1.0</f>
        <v/>
      </c>
      <c r="P158" s="24">
        <f>Y158</f>
        <v/>
      </c>
      <c r="Q158" s="24">
        <f>MAX(0, M158 - N158 - O158 - P158)</f>
        <v/>
      </c>
      <c r="R158" s="24" t="n">
        <v>13761833.30195783</v>
      </c>
      <c r="S158" s="24" t="n">
        <v>1692584.344278256</v>
      </c>
      <c r="T158" s="24" t="n">
        <v>4256476.775813831</v>
      </c>
      <c r="U158" s="24" t="n">
        <v>3932915.783896522</v>
      </c>
      <c r="V158" s="24" t="n">
        <v>922436.0803577222</v>
      </c>
      <c r="W158" s="24" t="n">
        <v>3045939.838151846</v>
      </c>
      <c r="X158" s="24" t="n">
        <v>14984314.5192244</v>
      </c>
      <c r="Y158" s="24">
        <f>X158 / 12</f>
        <v/>
      </c>
      <c r="Z158" s="15" t="n">
        <v>24</v>
      </c>
      <c r="AA158" s="24">
        <f>I158</f>
        <v/>
      </c>
      <c r="AB158" s="24">
        <f>Q158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 t="n">
        <v>27612186.124456</v>
      </c>
      <c r="J159" s="21">
        <f>I159 * (0.01000000 / 12)</f>
        <v/>
      </c>
      <c r="K159" s="21">
        <f>(I159 - J159) * (0.00664805 / 12) * 1.0</f>
        <v/>
      </c>
      <c r="L159" s="21" t="n">
        <v>1328894.937763075</v>
      </c>
      <c r="M159" s="25">
        <f>(I159 - J159) - K159 + L159</f>
        <v/>
      </c>
      <c r="N159" s="25">
        <f>M159 * (0.00400000 / 12) * 1.0</f>
        <v/>
      </c>
      <c r="O159" s="25">
        <f>M159 * (0.00500000 / 12) * 1.0</f>
        <v/>
      </c>
      <c r="P159" s="25">
        <f>Y159</f>
        <v/>
      </c>
      <c r="Q159" s="25">
        <f>MAX(0, M159 - N159 - O159 - P159)</f>
        <v/>
      </c>
      <c r="R159" s="25" t="n">
        <v>13745449.89786141</v>
      </c>
      <c r="S159" s="25" t="n">
        <v>1690569.329805175</v>
      </c>
      <c r="T159" s="25" t="n">
        <v>4251409.45829043</v>
      </c>
      <c r="U159" s="25" t="n">
        <v>3928233.664359763</v>
      </c>
      <c r="V159" s="25" t="n">
        <v>921337.9241218476</v>
      </c>
      <c r="W159" s="25" t="n">
        <v>3042313.659711311</v>
      </c>
      <c r="X159" s="25" t="n">
        <v>15621544.26651005</v>
      </c>
      <c r="Y159" s="25">
        <f>X159 / 12</f>
        <v/>
      </c>
      <c r="Z159" s="17" t="n">
        <v>23</v>
      </c>
      <c r="AA159" s="25">
        <f>I159</f>
        <v/>
      </c>
      <c r="AB159" s="25">
        <f>Q159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 t="n">
        <v>27579313.93414994</v>
      </c>
      <c r="J160" s="19">
        <f>I160 * (0.01000000 / 12)</f>
        <v/>
      </c>
      <c r="K160" s="19">
        <f>(I160 - J160) * (0.00664805 / 12) * 1.0</f>
        <v/>
      </c>
      <c r="L160" s="19" t="n">
        <v>307622.937579999</v>
      </c>
      <c r="M160" s="24">
        <f>(I160 - J160) - K160 + L160</f>
        <v/>
      </c>
      <c r="N160" s="24">
        <f>M160 * (0.00400000 / 12) * 1.0</f>
        <v/>
      </c>
      <c r="O160" s="24">
        <f>M160 * (0.00500000 / 12) * 1.0</f>
        <v/>
      </c>
      <c r="P160" s="24">
        <f>Y160</f>
        <v/>
      </c>
      <c r="Q160" s="24">
        <f>MAX(0, M160 - N160 - O160 - P160)</f>
        <v/>
      </c>
      <c r="R160" s="24" t="n">
        <v>13216784.95896989</v>
      </c>
      <c r="S160" s="24" t="n">
        <v>1625548.196406523</v>
      </c>
      <c r="T160" s="24" t="n">
        <v>4087895.630938758</v>
      </c>
      <c r="U160" s="24" t="n">
        <v>3777149.529205809</v>
      </c>
      <c r="V160" s="24" t="n">
        <v>885902.2664334002</v>
      </c>
      <c r="W160" s="24" t="n">
        <v>2925302.97057771</v>
      </c>
      <c r="X160" s="24" t="n">
        <v>15710612.52334799</v>
      </c>
      <c r="Y160" s="24">
        <f>X160 / 12</f>
        <v/>
      </c>
      <c r="Z160" s="15" t="n">
        <v>22</v>
      </c>
      <c r="AA160" s="24">
        <f>I160</f>
        <v/>
      </c>
      <c r="AB160" s="24">
        <f>Q160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 t="n">
        <v>26518583.55253208</v>
      </c>
      <c r="J161" s="21">
        <f>I161 * (0.01000000 / 12)</f>
        <v/>
      </c>
      <c r="K161" s="21">
        <f>(I161 - J161) * (0.00664805 / 12) * 1.0</f>
        <v/>
      </c>
      <c r="L161" s="21" t="n">
        <v>865718.3571089241</v>
      </c>
      <c r="M161" s="25">
        <f>(I161 - J161) - K161 + L161</f>
        <v/>
      </c>
      <c r="N161" s="25">
        <f>M161 * (0.00400000 / 12) * 1.0</f>
        <v/>
      </c>
      <c r="O161" s="25">
        <f>M161 * (0.00500000 / 12) * 1.0</f>
        <v/>
      </c>
      <c r="P161" s="25">
        <f>Y161</f>
        <v/>
      </c>
      <c r="Q161" s="25">
        <f>MAX(0, M161 - N161 - O161 - P161)</f>
        <v/>
      </c>
      <c r="R161" s="25" t="n">
        <v>12949506.76297309</v>
      </c>
      <c r="S161" s="25" t="n">
        <v>1592675.33127403</v>
      </c>
      <c r="T161" s="25" t="n">
        <v>4005227.616512226</v>
      </c>
      <c r="U161" s="25" t="n">
        <v>3700765.619252646</v>
      </c>
      <c r="V161" s="25" t="n">
        <v>867986.9897351066</v>
      </c>
      <c r="W161" s="25" t="n">
        <v>2866145.641231178</v>
      </c>
      <c r="X161" s="25" t="n">
        <v>16136463.77184884</v>
      </c>
      <c r="Y161" s="25">
        <f>X161 / 12</f>
        <v/>
      </c>
      <c r="Z161" s="17" t="n">
        <v>21</v>
      </c>
      <c r="AA161" s="25">
        <f>I161</f>
        <v/>
      </c>
      <c r="AB161" s="25">
        <f>Q161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 t="n">
        <v>25982307.96097828</v>
      </c>
      <c r="J162" s="19">
        <f>I162 * (0.01000000 / 12)</f>
        <v/>
      </c>
      <c r="K162" s="19">
        <f>(I162 - J162) * (0.00664805 / 12) * 1.0</f>
        <v/>
      </c>
      <c r="L162" s="19" t="n">
        <v>995568.8438629394</v>
      </c>
      <c r="M162" s="24">
        <f>(I162 - J162) - K162 + L162</f>
        <v/>
      </c>
      <c r="N162" s="24">
        <f>M162 * (0.00400000 / 12) * 1.0</f>
        <v/>
      </c>
      <c r="O162" s="24">
        <f>M162 * (0.00500000 / 12) * 1.0</f>
        <v/>
      </c>
      <c r="P162" s="24">
        <f>Y162</f>
        <v/>
      </c>
      <c r="Q162" s="24">
        <f>MAX(0, M162 - N162 - O162 - P162)</f>
        <v/>
      </c>
      <c r="R162" s="24" t="n">
        <v>12725516.51815996</v>
      </c>
      <c r="S162" s="24" t="n">
        <v>1565126.503053024</v>
      </c>
      <c r="T162" s="24" t="n">
        <v>3935948.382115433</v>
      </c>
      <c r="U162" s="24" t="n">
        <v>3636752.725771436</v>
      </c>
      <c r="V162" s="24" t="n">
        <v>852973.2427342332</v>
      </c>
      <c r="W162" s="24" t="n">
        <v>2816569.338781952</v>
      </c>
      <c r="X162" s="24" t="n">
        <v>16664993.62482694</v>
      </c>
      <c r="Y162" s="24">
        <f>X162 / 12</f>
        <v/>
      </c>
      <c r="Z162" s="15" t="n">
        <v>20</v>
      </c>
      <c r="AA162" s="24">
        <f>I162</f>
        <v/>
      </c>
      <c r="AB162" s="24">
        <f>Q162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 t="n">
        <v>25532886.71061604</v>
      </c>
      <c r="J163" s="21">
        <f>I163 * (0.01000000 / 12)</f>
        <v/>
      </c>
      <c r="K163" s="21">
        <f>(I163 - J163) * (0.00664805 / 12) * 1.0</f>
        <v/>
      </c>
      <c r="L163" s="21" t="n">
        <v>1440476.590690149</v>
      </c>
      <c r="M163" s="25">
        <f>(I163 - J163) - K163 + L163</f>
        <v/>
      </c>
      <c r="N163" s="25">
        <f>M163 * (0.00400000 / 12) * 1.0</f>
        <v/>
      </c>
      <c r="O163" s="25">
        <f>M163 * (0.00500000 / 12) * 1.0</f>
        <v/>
      </c>
      <c r="P163" s="25">
        <f>Y163</f>
        <v/>
      </c>
      <c r="Q163" s="25">
        <f>MAX(0, M163 - N163 - O163 - P163)</f>
        <v/>
      </c>
      <c r="R163" s="25" t="n">
        <v>12688432.29524395</v>
      </c>
      <c r="S163" s="25" t="n">
        <v>1560565.470104134</v>
      </c>
      <c r="T163" s="25" t="n">
        <v>3924478.388973703</v>
      </c>
      <c r="U163" s="25" t="n">
        <v>3626154.637388898</v>
      </c>
      <c r="V163" s="25" t="n">
        <v>850487.5401044181</v>
      </c>
      <c r="W163" s="25" t="n">
        <v>2808361.398061532</v>
      </c>
      <c r="X163" s="25" t="n">
        <v>17511229.86261756</v>
      </c>
      <c r="Y163" s="25">
        <f>X163 / 12</f>
        <v/>
      </c>
      <c r="Z163" s="17" t="n">
        <v>19</v>
      </c>
      <c r="AA163" s="25">
        <f>I163</f>
        <v/>
      </c>
      <c r="AB163" s="25">
        <f>Q163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 t="n">
        <v>25458479.72987664</v>
      </c>
      <c r="J164" s="19">
        <f>I164 * (0.01000000 / 12)</f>
        <v/>
      </c>
      <c r="K164" s="19">
        <f>(I164 - J164) * (0.00664805 / 12) * 1.0</f>
        <v/>
      </c>
      <c r="L164" s="19" t="n">
        <v>686776.00658042</v>
      </c>
      <c r="M164" s="24">
        <f>(I164 - J164) - K164 + L164</f>
        <v/>
      </c>
      <c r="N164" s="24">
        <f>M164 * (0.00400000 / 12) * 1.0</f>
        <v/>
      </c>
      <c r="O164" s="24">
        <f>M164 * (0.00500000 / 12) * 1.0</f>
        <v/>
      </c>
      <c r="P164" s="24">
        <f>Y164</f>
        <v/>
      </c>
      <c r="Q164" s="24">
        <f>MAX(0, M164 - N164 - O164 - P164)</f>
        <v/>
      </c>
      <c r="R164" s="24" t="n">
        <v>12260461.48523479</v>
      </c>
      <c r="S164" s="24" t="n">
        <v>1507928.828100446</v>
      </c>
      <c r="T164" s="24" t="n">
        <v>3792108.829369238</v>
      </c>
      <c r="U164" s="24" t="n">
        <v>3503847.302544742</v>
      </c>
      <c r="V164" s="24" t="n">
        <v>821801.2664205038</v>
      </c>
      <c r="W164" s="24" t="n">
        <v>2713637.583932235</v>
      </c>
      <c r="X164" s="24" t="n">
        <v>17886962.65428368</v>
      </c>
      <c r="Y164" s="24">
        <f>X164 / 12</f>
        <v/>
      </c>
      <c r="Z164" s="15" t="n">
        <v>18</v>
      </c>
      <c r="AA164" s="24">
        <f>I164</f>
        <v/>
      </c>
      <c r="AB164" s="24">
        <f>Q164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 t="n">
        <v>24599785.29560195</v>
      </c>
      <c r="J165" s="21">
        <f>I165 * (0.01000000 / 12)</f>
        <v/>
      </c>
      <c r="K165" s="21">
        <f>(I165 - J165) * (0.00664805 / 12) * 1.0</f>
        <v/>
      </c>
      <c r="L165" s="21" t="n">
        <v>756445.6046720843</v>
      </c>
      <c r="M165" s="25">
        <f>(I165 - J165) - K165 + L165</f>
        <v/>
      </c>
      <c r="N165" s="25">
        <f>M165 * (0.00400000 / 12) * 1.0</f>
        <v/>
      </c>
      <c r="O165" s="25">
        <f>M165 * (0.00500000 / 12) * 1.0</f>
        <v/>
      </c>
      <c r="P165" s="25">
        <f>Y165</f>
        <v/>
      </c>
      <c r="Q165" s="25">
        <f>MAX(0, M165 - N165 - O165 - P165)</f>
        <v/>
      </c>
      <c r="R165" s="25" t="n">
        <v>11849370.2398169</v>
      </c>
      <c r="S165" s="25" t="n">
        <v>1457368.223942772</v>
      </c>
      <c r="T165" s="25" t="n">
        <v>3664960.047628602</v>
      </c>
      <c r="U165" s="25" t="n">
        <v>3386363.882112981</v>
      </c>
      <c r="V165" s="25" t="n">
        <v>794246.4059035762</v>
      </c>
      <c r="W165" s="25" t="n">
        <v>2622649.76464542</v>
      </c>
      <c r="X165" s="25" t="n">
        <v>18337966.73821355</v>
      </c>
      <c r="Y165" s="25">
        <f>X165 / 12</f>
        <v/>
      </c>
      <c r="Z165" s="17" t="n">
        <v>17</v>
      </c>
      <c r="AA165" s="25">
        <f>I165</f>
        <v/>
      </c>
      <c r="AB165" s="25">
        <f>Q165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 t="n">
        <v>23774958.56405025</v>
      </c>
      <c r="J166" s="19">
        <f>I166 * (0.01000000 / 12)</f>
        <v/>
      </c>
      <c r="K166" s="19">
        <f>(I166 - J166) * (0.00664805 / 12) * 1.0</f>
        <v/>
      </c>
      <c r="L166" s="19" t="n">
        <v>1390108.382808638</v>
      </c>
      <c r="M166" s="24">
        <f>(I166 - J166) - K166 + L166</f>
        <v/>
      </c>
      <c r="N166" s="24">
        <f>M166 * (0.00400000 / 12) * 1.0</f>
        <v/>
      </c>
      <c r="O166" s="24">
        <f>M166 * (0.00500000 / 12) * 1.0</f>
        <v/>
      </c>
      <c r="P166" s="24">
        <f>Y166</f>
        <v/>
      </c>
      <c r="Q166" s="24">
        <f>MAX(0, M166 - N166 - O166 - P166)</f>
        <v/>
      </c>
      <c r="R166" s="24" t="n">
        <v>11714506.07758236</v>
      </c>
      <c r="S166" s="24" t="n">
        <v>1440781.119260295</v>
      </c>
      <c r="T166" s="24" t="n">
        <v>3623247.133233743</v>
      </c>
      <c r="U166" s="24" t="n">
        <v>3347821.823021281</v>
      </c>
      <c r="V166" s="24" t="n">
        <v>785206.6532439756</v>
      </c>
      <c r="W166" s="24" t="n">
        <v>2592799.953542803</v>
      </c>
      <c r="X166" s="24" t="n">
        <v>19306586.31779941</v>
      </c>
      <c r="Y166" s="24">
        <f>X166 / 12</f>
        <v/>
      </c>
      <c r="Z166" s="15" t="n">
        <v>16</v>
      </c>
      <c r="AA166" s="24">
        <f>I166</f>
        <v/>
      </c>
      <c r="AB166" s="24">
        <f>Q166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 t="n">
        <v>23504362.75988445</v>
      </c>
      <c r="J167" s="21">
        <f>I167 * (0.01000000 / 12)</f>
        <v/>
      </c>
      <c r="K167" s="21">
        <f>(I167 - J167) * (0.00664805 / 12) * 1.0</f>
        <v/>
      </c>
      <c r="L167" s="21" t="n">
        <v>700778.0231820088</v>
      </c>
      <c r="M167" s="25">
        <f>(I167 - J167) - K167 + L167</f>
        <v/>
      </c>
      <c r="N167" s="25">
        <f>M167 * (0.00400000 / 12) * 1.0</f>
        <v/>
      </c>
      <c r="O167" s="25">
        <f>M167 * (0.00500000 / 12) * 1.0</f>
        <v/>
      </c>
      <c r="P167" s="25">
        <f>Y167</f>
        <v/>
      </c>
      <c r="Q167" s="25">
        <f>MAX(0, M167 - N167 - O167 - P167)</f>
        <v/>
      </c>
      <c r="R167" s="25" t="n">
        <v>11217158.23051808</v>
      </c>
      <c r="S167" s="25" t="n">
        <v>1379611.71245737</v>
      </c>
      <c r="T167" s="25" t="n">
        <v>3469419.549794771</v>
      </c>
      <c r="U167" s="25" t="n">
        <v>3205687.620776018</v>
      </c>
      <c r="V167" s="25" t="n">
        <v>751870.1356046388</v>
      </c>
      <c r="W167" s="25" t="n">
        <v>2482720.752061948</v>
      </c>
      <c r="X167" s="25" t="n">
        <v>19775348.80872529</v>
      </c>
      <c r="Y167" s="25">
        <f>X167 / 12</f>
        <v/>
      </c>
      <c r="Z167" s="17" t="n">
        <v>15</v>
      </c>
      <c r="AA167" s="25">
        <f>I167</f>
        <v/>
      </c>
      <c r="AB167" s="25">
        <f>Q167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 t="n">
        <v>22506468.00121282</v>
      </c>
      <c r="J168" s="19">
        <f>I168 * (0.01000000 / 12)</f>
        <v/>
      </c>
      <c r="K168" s="19">
        <f>(I168 - J168) * (0.00664805 / 12) * 1.0</f>
        <v/>
      </c>
      <c r="L168" s="19" t="n">
        <v>1163734.255536396</v>
      </c>
      <c r="M168" s="24">
        <f>(I168 - J168) - K168 + L168</f>
        <v/>
      </c>
      <c r="N168" s="24">
        <f>M168 * (0.00400000 / 12) * 1.0</f>
        <v/>
      </c>
      <c r="O168" s="24">
        <f>M168 * (0.00500000 / 12) * 1.0</f>
        <v/>
      </c>
      <c r="P168" s="24">
        <f>Y168</f>
        <v/>
      </c>
      <c r="Q168" s="24">
        <f>MAX(0, M168 - N168 - O168 - P168)</f>
        <v/>
      </c>
      <c r="R168" s="24" t="n">
        <v>10913587.18385142</v>
      </c>
      <c r="S168" s="24" t="n">
        <v>1342275.146195442</v>
      </c>
      <c r="T168" s="24" t="n">
        <v>3375526.310311749</v>
      </c>
      <c r="U168" s="24" t="n">
        <v>3118931.784197219</v>
      </c>
      <c r="V168" s="24" t="n">
        <v>731522.2008307556</v>
      </c>
      <c r="W168" s="24" t="n">
        <v>2415530.638327617</v>
      </c>
      <c r="X168" s="24" t="n">
        <v>20686632.81147745</v>
      </c>
      <c r="Y168" s="24">
        <f>X168 / 12</f>
        <v/>
      </c>
      <c r="Z168" s="15" t="n">
        <v>14</v>
      </c>
      <c r="AA168" s="24">
        <f>I168</f>
        <v/>
      </c>
      <c r="AB168" s="24">
        <f>Q168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 t="n">
        <v>21897373.2637142</v>
      </c>
      <c r="J169" s="21">
        <f>I169 * (0.01000000 / 12)</f>
        <v/>
      </c>
      <c r="K169" s="21">
        <f>(I169 - J169) * (0.00664805 / 12) * 1.0</f>
        <v/>
      </c>
      <c r="L169" s="21" t="n">
        <v>448052.1089309767</v>
      </c>
      <c r="M169" s="25">
        <f>(I169 - J169) - K169 + L169</f>
        <v/>
      </c>
      <c r="N169" s="25">
        <f>M169 * (0.00400000 / 12) * 1.0</f>
        <v/>
      </c>
      <c r="O169" s="25">
        <f>M169 * (0.00500000 / 12) * 1.0</f>
        <v/>
      </c>
      <c r="P169" s="25">
        <f>Y169</f>
        <v/>
      </c>
      <c r="Q169" s="25">
        <f>MAX(0, M169 - N169 - O169 - P169)</f>
        <v/>
      </c>
      <c r="R169" s="25" t="n">
        <v>10241384.09786886</v>
      </c>
      <c r="S169" s="25" t="n">
        <v>1259600.084338113</v>
      </c>
      <c r="T169" s="25" t="n">
        <v>3167616.741772789</v>
      </c>
      <c r="U169" s="25" t="n">
        <v>2926826.701332377</v>
      </c>
      <c r="V169" s="25" t="n">
        <v>686465.3856352173</v>
      </c>
      <c r="W169" s="25" t="n">
        <v>2266750.304051108</v>
      </c>
      <c r="X169" s="25" t="n">
        <v>20996121.84379266</v>
      </c>
      <c r="Y169" s="25">
        <f>X169 / 12</f>
        <v/>
      </c>
      <c r="Z169" s="17" t="n">
        <v>13</v>
      </c>
      <c r="AA169" s="25">
        <f>I169</f>
        <v/>
      </c>
      <c r="AB169" s="25">
        <f>Q169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 t="n">
        <v>20548643.31499846</v>
      </c>
      <c r="J170" s="19">
        <f>I170 * (0.01000000 / 12)</f>
        <v/>
      </c>
      <c r="K170" s="19">
        <f>(I170 - J170) * (0.00664805 / 12) * 1.0</f>
        <v/>
      </c>
      <c r="L170" s="19" t="n">
        <v>1112636.621570226</v>
      </c>
      <c r="M170" s="24">
        <f>(I170 - J170) - K170 + L170</f>
        <v/>
      </c>
      <c r="N170" s="24">
        <f>M170 * (0.00400000 / 12) * 1.0</f>
        <v/>
      </c>
      <c r="O170" s="24">
        <f>M170 * (0.00500000 / 12) * 1.0</f>
        <v/>
      </c>
      <c r="P170" s="24">
        <f>Y170</f>
        <v/>
      </c>
      <c r="Q170" s="24">
        <f>MAX(0, M170 - N170 - O170 - P170)</f>
        <v/>
      </c>
      <c r="R170" s="24" t="n">
        <v>9859295.010578422</v>
      </c>
      <c r="S170" s="24" t="n">
        <v>1212606.490310539</v>
      </c>
      <c r="T170" s="24" t="n">
        <v>3049438.204752415</v>
      </c>
      <c r="U170" s="24" t="n">
        <v>2817631.642121379</v>
      </c>
      <c r="V170" s="24" t="n">
        <v>660854.4984594872</v>
      </c>
      <c r="W170" s="24" t="n">
        <v>2182181.602544206</v>
      </c>
      <c r="X170" s="24" t="n">
        <v>22014593.73688386</v>
      </c>
      <c r="Y170" s="24">
        <f>X170 / 12</f>
        <v/>
      </c>
      <c r="Z170" s="15" t="n">
        <v>12</v>
      </c>
      <c r="AA170" s="24">
        <f>I170</f>
        <v/>
      </c>
      <c r="AB170" s="24">
        <f>Q170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 t="n">
        <v>19782007.44876645</v>
      </c>
      <c r="J171" s="21">
        <f>I171 * (0.01000000 / 12)</f>
        <v/>
      </c>
      <c r="K171" s="21">
        <f>(I171 - J171) * (0.00664805 / 12) * 1.0</f>
        <v/>
      </c>
      <c r="L171" s="21" t="n">
        <v>159272.552431515</v>
      </c>
      <c r="M171" s="25">
        <f>(I171 - J171) - K171 + L171</f>
        <v/>
      </c>
      <c r="N171" s="25">
        <f>M171 * (0.00400000 / 12) * 1.0</f>
        <v/>
      </c>
      <c r="O171" s="25">
        <f>M171 * (0.00500000 / 12) * 1.0</f>
        <v/>
      </c>
      <c r="P171" s="25">
        <f>Y171</f>
        <v/>
      </c>
      <c r="Q171" s="25">
        <f>MAX(0, M171 - N171 - O171 - P171)</f>
        <v/>
      </c>
      <c r="R171" s="25" t="n">
        <v>9000850.726339351</v>
      </c>
      <c r="S171" s="25" t="n">
        <v>1107025.400636135</v>
      </c>
      <c r="T171" s="25" t="n">
        <v>2783925.022095718</v>
      </c>
      <c r="U171" s="25" t="n">
        <v>2572301.750311159</v>
      </c>
      <c r="V171" s="25" t="n">
        <v>603314.201074376</v>
      </c>
      <c r="W171" s="25" t="n">
        <v>1992180.05356268</v>
      </c>
      <c r="X171" s="25" t="n">
        <v>22071747.22785904</v>
      </c>
      <c r="Y171" s="25">
        <f>X171 / 12</f>
        <v/>
      </c>
      <c r="Z171" s="17" t="n">
        <v>11</v>
      </c>
      <c r="AA171" s="25">
        <f>I171</f>
        <v/>
      </c>
      <c r="AB171" s="25">
        <f>Q171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 t="n">
        <v>18059597.15401942</v>
      </c>
      <c r="J172" s="19">
        <f>I172 * (0.01000000 / 12)</f>
        <v/>
      </c>
      <c r="K172" s="19">
        <f>(I172 - J172) * (0.00664805 / 12) * 1.0</f>
        <v/>
      </c>
      <c r="L172" s="19" t="n">
        <v>587138.5836284433</v>
      </c>
      <c r="M172" s="24">
        <f>(I172 - J172) - K172 + L172</f>
        <v/>
      </c>
      <c r="N172" s="24">
        <f>M172 * (0.00400000 / 12) * 1.0</f>
        <v/>
      </c>
      <c r="O172" s="24">
        <f>M172 * (0.00500000 / 12) * 1.0</f>
        <v/>
      </c>
      <c r="P172" s="24">
        <f>Y172</f>
        <v/>
      </c>
      <c r="Q172" s="24">
        <f>MAX(0, M172 - N172 - O172 - P172)</f>
        <v/>
      </c>
      <c r="R172" s="24" t="n">
        <v>8332618.267578749</v>
      </c>
      <c r="S172" s="24" t="n">
        <v>1024838.690971816</v>
      </c>
      <c r="T172" s="24" t="n">
        <v>2577243.551745773</v>
      </c>
      <c r="U172" s="24" t="n">
        <v>2381331.410334896</v>
      </c>
      <c r="V172" s="24" t="n">
        <v>558523.5313647494</v>
      </c>
      <c r="W172" s="24" t="n">
        <v>1844278.547809409</v>
      </c>
      <c r="X172" s="24" t="n">
        <v>22666668.55263665</v>
      </c>
      <c r="Y172" s="24">
        <f>X172 / 12</f>
        <v/>
      </c>
      <c r="Z172" s="15" t="n">
        <v>10</v>
      </c>
      <c r="AA172" s="24">
        <f>I172</f>
        <v/>
      </c>
      <c r="AB172" s="24">
        <f>Q172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 t="n">
        <v>16718833.99980539</v>
      </c>
      <c r="J173" s="21">
        <f>I173 * (0.01000000 / 12)</f>
        <v/>
      </c>
      <c r="K173" s="21">
        <f>(I173 - J173) * (0.00664805 / 12) * 1.0</f>
        <v/>
      </c>
      <c r="L173" s="21" t="n">
        <v>290909.6254894948</v>
      </c>
      <c r="M173" s="25">
        <f>(I173 - J173) - K173 + L173</f>
        <v/>
      </c>
      <c r="N173" s="25">
        <f>M173 * (0.00400000 / 12) * 1.0</f>
        <v/>
      </c>
      <c r="O173" s="25">
        <f>M173 * (0.00500000 / 12) * 1.0</f>
        <v/>
      </c>
      <c r="P173" s="25">
        <f>Y173</f>
        <v/>
      </c>
      <c r="Q173" s="25">
        <f>MAX(0, M173 - N173 - O173 - P173)</f>
        <v/>
      </c>
      <c r="R173" s="25" t="n">
        <v>7507080.996868787</v>
      </c>
      <c r="S173" s="25" t="n">
        <v>923304.8742656437</v>
      </c>
      <c r="T173" s="25" t="n">
        <v>2321908.369052797</v>
      </c>
      <c r="U173" s="25" t="n">
        <v>2145405.826080931</v>
      </c>
      <c r="V173" s="25" t="n">
        <v>503188.9442153343</v>
      </c>
      <c r="W173" s="25" t="n">
        <v>1661560.387695023</v>
      </c>
      <c r="X173" s="25" t="n">
        <v>22936408.28718685</v>
      </c>
      <c r="Y173" s="25">
        <f>X173 / 12</f>
        <v/>
      </c>
      <c r="Z173" s="17" t="n">
        <v>9</v>
      </c>
      <c r="AA173" s="25">
        <f>I173</f>
        <v/>
      </c>
      <c r="AB173" s="25">
        <f>Q173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 t="n">
        <v>15062449.39817852</v>
      </c>
      <c r="J174" s="19">
        <f>I174 * (0.01000000 / 12)</f>
        <v/>
      </c>
      <c r="K174" s="19">
        <f>(I174 - J174) * (0.00664805 / 12) * 1.0</f>
        <v/>
      </c>
      <c r="L174" s="19" t="n">
        <v>828226.2263687876</v>
      </c>
      <c r="M174" s="24">
        <f>(I174 - J174) - K174 + L174</f>
        <v/>
      </c>
      <c r="N174" s="24">
        <f>M174 * (0.00400000 / 12) * 1.0</f>
        <v/>
      </c>
      <c r="O174" s="24">
        <f>M174 * (0.00500000 / 12) * 1.0</f>
        <v/>
      </c>
      <c r="P174" s="24">
        <f>Y174</f>
        <v/>
      </c>
      <c r="Q174" s="24">
        <f>MAX(0, M174 - N174 - O174 - P174)</f>
        <v/>
      </c>
      <c r="R174" s="24" t="n">
        <v>6903911.045797623</v>
      </c>
      <c r="S174" s="24" t="n">
        <v>849120.2802714048</v>
      </c>
      <c r="T174" s="24" t="n">
        <v>2135350.45687129</v>
      </c>
      <c r="U174" s="24" t="n">
        <v>1973029.328786606</v>
      </c>
      <c r="V174" s="24" t="n">
        <v>462759.3217044664</v>
      </c>
      <c r="W174" s="24" t="n">
        <v>1528059.324077111</v>
      </c>
      <c r="X174" s="24" t="n">
        <v>24067845.30730727</v>
      </c>
      <c r="Y174" s="24">
        <f>X174 / 12</f>
        <v/>
      </c>
      <c r="Z174" s="15" t="n">
        <v>8</v>
      </c>
      <c r="AA174" s="24">
        <f>I174</f>
        <v/>
      </c>
      <c r="AB174" s="24">
        <f>Q174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 t="n">
        <v>13852229.7575085</v>
      </c>
      <c r="J175" s="21">
        <f>I175 * (0.01000000 / 12)</f>
        <v/>
      </c>
      <c r="K175" s="21">
        <f>(I175 - J175) * (0.00664805 / 12) * 1.0</f>
        <v/>
      </c>
      <c r="L175" s="21" t="n">
        <v>496636.5065846653</v>
      </c>
      <c r="M175" s="25">
        <f>(I175 - J175) - K175 + L175</f>
        <v/>
      </c>
      <c r="N175" s="25">
        <f>M175 * (0.00400000 / 12) * 1.0</f>
        <v/>
      </c>
      <c r="O175" s="25">
        <f>M175 * (0.00500000 / 12) * 1.0</f>
        <v/>
      </c>
      <c r="P175" s="25">
        <f>Y175</f>
        <v/>
      </c>
      <c r="Q175" s="25">
        <f>MAX(0, M175 - N175 - O175 - P175)</f>
        <v/>
      </c>
      <c r="R175" s="25" t="n">
        <v>6106634.704433128</v>
      </c>
      <c r="S175" s="25" t="n">
        <v>751062.3090805307</v>
      </c>
      <c r="T175" s="25" t="n">
        <v>1888756.259974499</v>
      </c>
      <c r="U175" s="25" t="n">
        <v>1745180.27421089</v>
      </c>
      <c r="V175" s="25" t="n">
        <v>409319.0243869874</v>
      </c>
      <c r="W175" s="25" t="n">
        <v>1351596.223784174</v>
      </c>
      <c r="X175" s="25" t="n">
        <v>24796306.79719676</v>
      </c>
      <c r="Y175" s="25">
        <f>X175 / 12</f>
        <v/>
      </c>
      <c r="Z175" s="17" t="n">
        <v>7</v>
      </c>
      <c r="AA175" s="25">
        <f>I175</f>
        <v/>
      </c>
      <c r="AB175" s="25">
        <f>Q175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 t="n">
        <v>12252548.79587021</v>
      </c>
      <c r="J176" s="19">
        <f>I176 * (0.01000000 / 12)</f>
        <v/>
      </c>
      <c r="K176" s="19">
        <f>(I176 - J176) * (0.00664805 / 12) * 1.0</f>
        <v/>
      </c>
      <c r="L176" s="19" t="n">
        <v>120112.0582758474</v>
      </c>
      <c r="M176" s="24">
        <f>(I176 - J176) - K176 + L176</f>
        <v/>
      </c>
      <c r="N176" s="24">
        <f>M176 * (0.00400000 / 12) * 1.0</f>
        <v/>
      </c>
      <c r="O176" s="24">
        <f>M176 * (0.00500000 / 12) * 1.0</f>
        <v/>
      </c>
      <c r="P176" s="24">
        <f>Y176</f>
        <v/>
      </c>
      <c r="Q176" s="24">
        <f>MAX(0, M176 - N176 - O176 - P176)</f>
        <v/>
      </c>
      <c r="R176" s="24" t="n">
        <v>5119099.077395113</v>
      </c>
      <c r="S176" s="24" t="n">
        <v>629604.1206933946</v>
      </c>
      <c r="T176" s="24" t="n">
        <v>1583315.671533563</v>
      </c>
      <c r="U176" s="24" t="n">
        <v>1462958.104422987</v>
      </c>
      <c r="V176" s="24" t="n">
        <v>343125.918204764</v>
      </c>
      <c r="W176" s="24" t="n">
        <v>1133022.575783262</v>
      </c>
      <c r="X176" s="24" t="n">
        <v>24903310.4062595</v>
      </c>
      <c r="Y176" s="24">
        <f>X176 / 12</f>
        <v/>
      </c>
      <c r="Z176" s="15" t="n">
        <v>6</v>
      </c>
      <c r="AA176" s="24">
        <f>I176</f>
        <v/>
      </c>
      <c r="AB176" s="24">
        <f>Q176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 t="n">
        <v>10271125.46803308</v>
      </c>
      <c r="J177" s="21">
        <f>I177 * (0.01000000 / 12)</f>
        <v/>
      </c>
      <c r="K177" s="21">
        <f>(I177 - J177) * (0.00664805 / 12) * 1.0</f>
        <v/>
      </c>
      <c r="L177" s="21" t="n">
        <v>241262.7479760898</v>
      </c>
      <c r="M177" s="25">
        <f>(I177 - J177) - K177 + L177</f>
        <v/>
      </c>
      <c r="N177" s="25">
        <f>M177 * (0.00400000 / 12) * 1.0</f>
        <v/>
      </c>
      <c r="O177" s="25">
        <f>M177 * (0.00500000 / 12) * 1.0</f>
        <v/>
      </c>
      <c r="P177" s="25">
        <f>Y177</f>
        <v/>
      </c>
      <c r="Q177" s="25">
        <f>MAX(0, M177 - N177 - O177 - P177)</f>
        <v/>
      </c>
      <c r="R177" s="25" t="n">
        <v>4175458.464859003</v>
      </c>
      <c r="S177" s="25" t="n">
        <v>513544.6326616263</v>
      </c>
      <c r="T177" s="25" t="n">
        <v>1291451.625236528</v>
      </c>
      <c r="U177" s="25" t="n">
        <v>1193280.44026751</v>
      </c>
      <c r="V177" s="25" t="n">
        <v>279875.0323093263</v>
      </c>
      <c r="W177" s="25" t="n">
        <v>924164.3174716436</v>
      </c>
      <c r="X177" s="25" t="n">
        <v>25349943.79857475</v>
      </c>
      <c r="Y177" s="25">
        <f>X177 / 12</f>
        <v/>
      </c>
      <c r="Z177" s="17" t="n">
        <v>5</v>
      </c>
      <c r="AA177" s="25">
        <f>I177</f>
        <v/>
      </c>
      <c r="AB177" s="25">
        <f>Q177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 t="n">
        <v>8377774.512805639</v>
      </c>
      <c r="J178" s="19">
        <f>I178 * (0.01000000 / 12)</f>
        <v/>
      </c>
      <c r="K178" s="19">
        <f>(I178 - J178) * (0.00664805 / 12) * 1.0</f>
        <v/>
      </c>
      <c r="L178" s="19" t="n">
        <v>359311.5490559753</v>
      </c>
      <c r="M178" s="24">
        <f>(I178 - J178) - K178 + L178</f>
        <v/>
      </c>
      <c r="N178" s="24">
        <f>M178 * (0.00400000 / 12) * 1.0</f>
        <v/>
      </c>
      <c r="O178" s="24">
        <f>M178 * (0.00500000 / 12) * 1.0</f>
        <v/>
      </c>
      <c r="P178" s="24">
        <f>Y178</f>
        <v/>
      </c>
      <c r="Q178" s="24">
        <f>MAX(0, M178 - N178 - O178 - P178)</f>
        <v/>
      </c>
      <c r="R178" s="24" t="n">
        <v>3253418.423557694</v>
      </c>
      <c r="S178" s="24" t="n">
        <v>400141.8247317956</v>
      </c>
      <c r="T178" s="24" t="n">
        <v>1006268.544170497</v>
      </c>
      <c r="U178" s="24" t="n">
        <v>929775.8800645736</v>
      </c>
      <c r="V178" s="24" t="n">
        <v>218072.0019303832</v>
      </c>
      <c r="W178" s="24" t="n">
        <v>720086.9658173925</v>
      </c>
      <c r="X178" s="24" t="n">
        <v>26293912.62569529</v>
      </c>
      <c r="Y178" s="24">
        <f>X178 / 12</f>
        <v/>
      </c>
      <c r="Z178" s="15" t="n">
        <v>4</v>
      </c>
      <c r="AA178" s="24">
        <f>I178</f>
        <v/>
      </c>
      <c r="AB178" s="24">
        <f>Q178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 t="n">
        <v>6527763.640272336</v>
      </c>
      <c r="J179" s="21">
        <f>I179 * (0.01000000 / 12)</f>
        <v/>
      </c>
      <c r="K179" s="21">
        <f>(I179 - J179) * (0.00664805 / 12) * 1.0</f>
        <v/>
      </c>
      <c r="L179" s="21" t="n">
        <v>168752.5704805742</v>
      </c>
      <c r="M179" s="25">
        <f>(I179 - J179) - K179 + L179</f>
        <v/>
      </c>
      <c r="N179" s="25">
        <f>M179 * (0.00400000 / 12) * 1.0</f>
        <v/>
      </c>
      <c r="O179" s="25">
        <f>M179 * (0.00500000 / 12) * 1.0</f>
        <v/>
      </c>
      <c r="P179" s="25">
        <f>Y179</f>
        <v/>
      </c>
      <c r="Q179" s="25">
        <f>MAX(0, M179 - N179 - O179 - P179)</f>
        <v/>
      </c>
      <c r="R179" s="25" t="n">
        <v>2216339.58774695</v>
      </c>
      <c r="S179" s="25" t="n">
        <v>272590.2578176794</v>
      </c>
      <c r="T179" s="25" t="n">
        <v>685504.4510108689</v>
      </c>
      <c r="U179" s="25" t="n">
        <v>633395.03944468</v>
      </c>
      <c r="V179" s="25" t="n">
        <v>148558.0850461323</v>
      </c>
      <c r="W179" s="25" t="n">
        <v>490547.7996329942</v>
      </c>
      <c r="X179" s="25" t="n">
        <v>26826146.31606643</v>
      </c>
      <c r="Y179" s="25">
        <f>X179 / 12</f>
        <v/>
      </c>
      <c r="Z179" s="17" t="n">
        <v>3</v>
      </c>
      <c r="AA179" s="25">
        <f>I179</f>
        <v/>
      </c>
      <c r="AB179" s="25">
        <f>Q179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 t="n">
        <v>4446935.220699305</v>
      </c>
      <c r="J180" s="19">
        <f>I180 * (0.01000000 / 12)</f>
        <v/>
      </c>
      <c r="K180" s="19">
        <f>(I180 - J180) * (0.00664805 / 12) * 1.0</f>
        <v/>
      </c>
      <c r="L180" s="19" t="n">
        <v>129788.4678162081</v>
      </c>
      <c r="M180" s="24">
        <f>(I180 - J180) - K180 + L180</f>
        <v/>
      </c>
      <c r="N180" s="24">
        <f>M180 * (0.00400000 / 12) * 1.0</f>
        <v/>
      </c>
      <c r="O180" s="24">
        <f>M180 * (0.00500000 / 12) * 1.0</f>
        <v/>
      </c>
      <c r="P180" s="24">
        <f>Y180</f>
        <v/>
      </c>
      <c r="Q180" s="24">
        <f>MAX(0, M180 - N180 - O180 - P180)</f>
        <v/>
      </c>
      <c r="R180" s="24" t="n">
        <v>1135881.573234275</v>
      </c>
      <c r="S180" s="24" t="n">
        <v>139703.4338104483</v>
      </c>
      <c r="T180" s="24" t="n">
        <v>351323.3615363396</v>
      </c>
      <c r="U180" s="24" t="n">
        <v>324617.1109611353</v>
      </c>
      <c r="V180" s="24" t="n">
        <v>76136.5236138796</v>
      </c>
      <c r="W180" s="24" t="n">
        <v>251407.4149441019</v>
      </c>
      <c r="X180" s="24" t="n">
        <v>27456708.056456</v>
      </c>
      <c r="Y180" s="24">
        <f>X180 / 12</f>
        <v/>
      </c>
      <c r="Z180" s="15" t="n">
        <v>2</v>
      </c>
      <c r="AA180" s="24">
        <f>I180</f>
        <v/>
      </c>
      <c r="AB180" s="24">
        <f>Q180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 t="n">
        <v>2279069.418100179</v>
      </c>
      <c r="J181" s="21">
        <f>I181 * (0.01000000 / 12)</f>
        <v/>
      </c>
      <c r="K181" s="21">
        <f>(I181 - J181) * (0.00664805 / 12) * 1.0</f>
        <v/>
      </c>
      <c r="L181" s="21" t="n">
        <v>135055.469317474</v>
      </c>
      <c r="M181" s="25">
        <f>(I181 - J181) - K181 + L181</f>
        <v/>
      </c>
      <c r="N181" s="25">
        <f>M181 * (0.00400000 / 12) * 1.0</f>
        <v/>
      </c>
      <c r="O181" s="25">
        <f>M181 * (0.00500000 / 12) * 1.0</f>
        <v/>
      </c>
      <c r="P181" s="25">
        <f>Y181</f>
        <v/>
      </c>
      <c r="Q181" s="25">
        <f>MAX(0, M181 - N181 - O181 - P181)</f>
        <v/>
      </c>
      <c r="R181" s="25" t="n">
        <v>0</v>
      </c>
      <c r="S181" s="25" t="n">
        <v>0</v>
      </c>
      <c r="T181" s="25" t="n">
        <v>0</v>
      </c>
      <c r="U181" s="25" t="n">
        <v>0</v>
      </c>
      <c r="V181" s="25" t="n">
        <v>0</v>
      </c>
      <c r="W181" s="25" t="n">
        <v>0</v>
      </c>
      <c r="X181" s="25" t="n">
        <v>28919514.38391485</v>
      </c>
      <c r="Y181" s="25">
        <f>X181 / 12</f>
        <v/>
      </c>
      <c r="Z181" s="17" t="n">
        <v>1</v>
      </c>
      <c r="AA181" s="25">
        <f>I181</f>
        <v/>
      </c>
      <c r="AB181" s="25">
        <f>Q181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 t="n">
        <v>0</v>
      </c>
      <c r="J182" s="19">
        <f>I182 * (0.01000000 / 12)</f>
        <v/>
      </c>
      <c r="K182" s="19">
        <f>(I182 - J182) * (0.00664805 / 12) * 1.0</f>
        <v/>
      </c>
      <c r="L182" s="19" t="n">
        <v>0</v>
      </c>
      <c r="M182" s="24">
        <f>(I182 - J182) - K182 + L182</f>
        <v/>
      </c>
      <c r="N182" s="24">
        <f>M182 * (0.00400000 / 12) * 1.0</f>
        <v/>
      </c>
      <c r="O182" s="24">
        <f>M182 * (0.00500000 / 12) * 1.0</f>
        <v/>
      </c>
      <c r="P182" s="24">
        <f>Y182</f>
        <v/>
      </c>
      <c r="Q182" s="24">
        <f>MAX(0, M182 - N182 - O182 - P182)</f>
        <v/>
      </c>
      <c r="R182" s="24" t="n">
        <v>0</v>
      </c>
      <c r="S182" s="24" t="n">
        <v>0</v>
      </c>
      <c r="T182" s="24" t="n">
        <v>0</v>
      </c>
      <c r="U182" s="24" t="n">
        <v>0</v>
      </c>
      <c r="V182" s="24" t="n">
        <v>0</v>
      </c>
      <c r="W182" s="24" t="n">
        <v>0</v>
      </c>
      <c r="X182" s="24" t="n">
        <v>0</v>
      </c>
      <c r="Y182" s="24">
        <f>X182 / 12</f>
        <v/>
      </c>
      <c r="Z182" s="15" t="n">
        <v>0</v>
      </c>
      <c r="AA182" s="24">
        <f>I182</f>
        <v/>
      </c>
      <c r="AB182" s="24">
        <f>Q182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 t="n">
        <v>0</v>
      </c>
      <c r="J183" s="21">
        <f>I183 * (0.01000000 / 12)</f>
        <v/>
      </c>
      <c r="K183" s="21">
        <f>(I183 - J183) * (0.00664805 / 12) * 1.0</f>
        <v/>
      </c>
      <c r="L183" s="21" t="n">
        <v>0</v>
      </c>
      <c r="M183" s="25">
        <f>(I183 - J183) - K183 + L183</f>
        <v/>
      </c>
      <c r="N183" s="25">
        <f>M183 * (0.00400000 / 12) * 1.0</f>
        <v/>
      </c>
      <c r="O183" s="25">
        <f>M183 * (0.00500000 / 12) * 1.0</f>
        <v/>
      </c>
      <c r="P183" s="25">
        <f>Y183</f>
        <v/>
      </c>
      <c r="Q183" s="25">
        <f>MAX(0, M183 - N183 - O183 - P183)</f>
        <v/>
      </c>
      <c r="R183" s="25" t="n">
        <v>0</v>
      </c>
      <c r="S183" s="25" t="n">
        <v>0</v>
      </c>
      <c r="T183" s="25" t="n">
        <v>0</v>
      </c>
      <c r="U183" s="25" t="n">
        <v>0</v>
      </c>
      <c r="V183" s="25" t="n">
        <v>0</v>
      </c>
      <c r="W183" s="25" t="n">
        <v>0</v>
      </c>
      <c r="X183" s="25" t="n">
        <v>0</v>
      </c>
      <c r="Y183" s="25">
        <f>X183 / 12</f>
        <v/>
      </c>
      <c r="Z183" s="17" t="n">
        <v>-1</v>
      </c>
      <c r="AA183" s="25">
        <f>I183</f>
        <v/>
      </c>
      <c r="AB183" s="25">
        <f>Q183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 t="n">
        <v>0</v>
      </c>
      <c r="J184" s="19">
        <f>I184 * (0.01000000 / 12)</f>
        <v/>
      </c>
      <c r="K184" s="19">
        <f>(I184 - J184) * (0.00664805 / 12) * 1.0</f>
        <v/>
      </c>
      <c r="L184" s="19" t="n">
        <v>0</v>
      </c>
      <c r="M184" s="24">
        <f>(I184 - J184) - K184 + L184</f>
        <v/>
      </c>
      <c r="N184" s="24">
        <f>M184 * (0.00400000 / 12) * 1.0</f>
        <v/>
      </c>
      <c r="O184" s="24">
        <f>M184 * (0.00500000 / 12) * 1.0</f>
        <v/>
      </c>
      <c r="P184" s="24">
        <f>Y184</f>
        <v/>
      </c>
      <c r="Q184" s="24">
        <f>MAX(0, M184 - N184 - O184 - P184)</f>
        <v/>
      </c>
      <c r="R184" s="24" t="n">
        <v>0</v>
      </c>
      <c r="S184" s="24" t="n">
        <v>0</v>
      </c>
      <c r="T184" s="24" t="n">
        <v>0</v>
      </c>
      <c r="U184" s="24" t="n">
        <v>0</v>
      </c>
      <c r="V184" s="24" t="n">
        <v>0</v>
      </c>
      <c r="W184" s="24" t="n">
        <v>0</v>
      </c>
      <c r="X184" s="24" t="n">
        <v>0</v>
      </c>
      <c r="Y184" s="24">
        <f>X184 / 12</f>
        <v/>
      </c>
      <c r="Z184" s="15" t="n">
        <v>-2</v>
      </c>
      <c r="AA184" s="24">
        <f>I184</f>
        <v/>
      </c>
      <c r="AB184" s="24">
        <f>Q184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 t="n">
        <v>0</v>
      </c>
      <c r="J185" s="21">
        <f>I185 * (0.01000000 / 12)</f>
        <v/>
      </c>
      <c r="K185" s="21">
        <f>(I185 - J185) * (0.00664805 / 12) * 1.0</f>
        <v/>
      </c>
      <c r="L185" s="21" t="n">
        <v>0</v>
      </c>
      <c r="M185" s="25">
        <f>(I185 - J185) - K185 + L185</f>
        <v/>
      </c>
      <c r="N185" s="25">
        <f>M185 * (0.00400000 / 12) * 1.0</f>
        <v/>
      </c>
      <c r="O185" s="25">
        <f>M185 * (0.00500000 / 12) * 1.0</f>
        <v/>
      </c>
      <c r="P185" s="25">
        <f>Y185</f>
        <v/>
      </c>
      <c r="Q185" s="25">
        <f>MAX(0, M185 - N185 - O185 - P185)</f>
        <v/>
      </c>
      <c r="R185" s="25" t="n">
        <v>0</v>
      </c>
      <c r="S185" s="25" t="n">
        <v>0</v>
      </c>
      <c r="T185" s="25" t="n">
        <v>0</v>
      </c>
      <c r="U185" s="25" t="n">
        <v>0</v>
      </c>
      <c r="V185" s="25" t="n">
        <v>0</v>
      </c>
      <c r="W185" s="25" t="n">
        <v>0</v>
      </c>
      <c r="X185" s="25" t="n">
        <v>0</v>
      </c>
      <c r="Y185" s="25">
        <f>X185 / 12</f>
        <v/>
      </c>
      <c r="Z185" s="17" t="n">
        <v>-3</v>
      </c>
      <c r="AA185" s="25">
        <f>I185</f>
        <v/>
      </c>
      <c r="AB185" s="25">
        <f>Q185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 t="n">
        <v>0</v>
      </c>
      <c r="J186" s="19">
        <f>I186 * (0.01000000 / 12)</f>
        <v/>
      </c>
      <c r="K186" s="19">
        <f>(I186 - J186) * (0.00664805 / 12) * 1.0</f>
        <v/>
      </c>
      <c r="L186" s="19" t="n">
        <v>0</v>
      </c>
      <c r="M186" s="24">
        <f>(I186 - J186) - K186 + L186</f>
        <v/>
      </c>
      <c r="N186" s="24">
        <f>M186 * (0.00400000 / 12) * 1.0</f>
        <v/>
      </c>
      <c r="O186" s="24">
        <f>M186 * (0.00500000 / 12) * 1.0</f>
        <v/>
      </c>
      <c r="P186" s="24">
        <f>Y186</f>
        <v/>
      </c>
      <c r="Q186" s="24">
        <f>MAX(0, M186 - N186 - O186 - P186)</f>
        <v/>
      </c>
      <c r="R186" s="24" t="n">
        <v>0</v>
      </c>
      <c r="S186" s="24" t="n">
        <v>0</v>
      </c>
      <c r="T186" s="24" t="n">
        <v>0</v>
      </c>
      <c r="U186" s="24" t="n">
        <v>0</v>
      </c>
      <c r="V186" s="24" t="n">
        <v>0</v>
      </c>
      <c r="W186" s="24" t="n">
        <v>0</v>
      </c>
      <c r="X186" s="24" t="n">
        <v>0</v>
      </c>
      <c r="Y186" s="24">
        <f>X186 / 12</f>
        <v/>
      </c>
      <c r="Z186" s="15" t="n">
        <v>-4</v>
      </c>
      <c r="AA186" s="24">
        <f>I186</f>
        <v/>
      </c>
      <c r="AB186" s="24">
        <f>Q186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 t="n">
        <v>0</v>
      </c>
      <c r="J187" s="21">
        <f>I187 * (0.01000000 / 12)</f>
        <v/>
      </c>
      <c r="K187" s="21">
        <f>(I187 - J187) * (0.00664805 / 12) * 1.0</f>
        <v/>
      </c>
      <c r="L187" s="21" t="n">
        <v>0</v>
      </c>
      <c r="M187" s="25">
        <f>(I187 - J187) - K187 + L187</f>
        <v/>
      </c>
      <c r="N187" s="25">
        <f>M187 * (0.00400000 / 12) * 1.0</f>
        <v/>
      </c>
      <c r="O187" s="25">
        <f>M187 * (0.00500000 / 12) * 1.0</f>
        <v/>
      </c>
      <c r="P187" s="25">
        <f>Y187</f>
        <v/>
      </c>
      <c r="Q187" s="25">
        <f>MAX(0, M187 - N187 - O187 - P187)</f>
        <v/>
      </c>
      <c r="R187" s="25" t="n">
        <v>0</v>
      </c>
      <c r="S187" s="25" t="n">
        <v>0</v>
      </c>
      <c r="T187" s="25" t="n">
        <v>0</v>
      </c>
      <c r="U187" s="25" t="n">
        <v>0</v>
      </c>
      <c r="V187" s="25" t="n">
        <v>0</v>
      </c>
      <c r="W187" s="25" t="n">
        <v>0</v>
      </c>
      <c r="X187" s="25" t="n">
        <v>0</v>
      </c>
      <c r="Y187" s="25">
        <f>X187 / 12</f>
        <v/>
      </c>
      <c r="Z187" s="17" t="n">
        <v>-5</v>
      </c>
      <c r="AA187" s="25">
        <f>I187</f>
        <v/>
      </c>
      <c r="AB187" s="25">
        <f>Q187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 t="n">
        <v>0</v>
      </c>
      <c r="J188" s="19">
        <f>I188 * (0.01000000 / 12)</f>
        <v/>
      </c>
      <c r="K188" s="19">
        <f>(I188 - J188) * (0.00664805 / 12) * 1.0</f>
        <v/>
      </c>
      <c r="L188" s="19" t="n">
        <v>0</v>
      </c>
      <c r="M188" s="24">
        <f>(I188 - J188) - K188 + L188</f>
        <v/>
      </c>
      <c r="N188" s="24">
        <f>M188 * (0.00400000 / 12) * 1.0</f>
        <v/>
      </c>
      <c r="O188" s="24">
        <f>M188 * (0.00500000 / 12) * 1.0</f>
        <v/>
      </c>
      <c r="P188" s="24">
        <f>Y188</f>
        <v/>
      </c>
      <c r="Q188" s="24">
        <f>MAX(0, M188 - N188 - O188 - P188)</f>
        <v/>
      </c>
      <c r="R188" s="24" t="n">
        <v>0</v>
      </c>
      <c r="S188" s="24" t="n">
        <v>0</v>
      </c>
      <c r="T188" s="24" t="n">
        <v>0</v>
      </c>
      <c r="U188" s="24" t="n">
        <v>0</v>
      </c>
      <c r="V188" s="24" t="n">
        <v>0</v>
      </c>
      <c r="W188" s="24" t="n">
        <v>0</v>
      </c>
      <c r="X188" s="24" t="n">
        <v>0</v>
      </c>
      <c r="Y188" s="24">
        <f>X188 / 12</f>
        <v/>
      </c>
      <c r="Z188" s="15" t="n">
        <v>-6</v>
      </c>
      <c r="AA188" s="24">
        <f>I188</f>
        <v/>
      </c>
      <c r="AB188" s="24">
        <f>Q188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 t="n">
        <v>0</v>
      </c>
      <c r="J189" s="21">
        <f>I189 * (0.01000000 / 12)</f>
        <v/>
      </c>
      <c r="K189" s="21">
        <f>(I189 - J189) * (0.00664805 / 12) * 1.0</f>
        <v/>
      </c>
      <c r="L189" s="21" t="n">
        <v>0</v>
      </c>
      <c r="M189" s="25">
        <f>(I189 - J189) - K189 + L189</f>
        <v/>
      </c>
      <c r="N189" s="25">
        <f>M189 * (0.00400000 / 12) * 1.0</f>
        <v/>
      </c>
      <c r="O189" s="25">
        <f>M189 * (0.00500000 / 12) * 1.0</f>
        <v/>
      </c>
      <c r="P189" s="25">
        <f>Y189</f>
        <v/>
      </c>
      <c r="Q189" s="25">
        <f>MAX(0, M189 - N189 - O189 - P189)</f>
        <v/>
      </c>
      <c r="R189" s="25" t="n">
        <v>0</v>
      </c>
      <c r="S189" s="25" t="n">
        <v>0</v>
      </c>
      <c r="T189" s="25" t="n">
        <v>0</v>
      </c>
      <c r="U189" s="25" t="n">
        <v>0</v>
      </c>
      <c r="V189" s="25" t="n">
        <v>0</v>
      </c>
      <c r="W189" s="25" t="n">
        <v>0</v>
      </c>
      <c r="X189" s="25" t="n">
        <v>0</v>
      </c>
      <c r="Y189" s="25">
        <f>X189 / 12</f>
        <v/>
      </c>
      <c r="Z189" s="17" t="n">
        <v>-7</v>
      </c>
      <c r="AA189" s="25">
        <f>I189</f>
        <v/>
      </c>
      <c r="AB189" s="25">
        <f>Q189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 t="n">
        <v>0</v>
      </c>
      <c r="J190" s="19">
        <f>I190 * (0.01000000 / 12)</f>
        <v/>
      </c>
      <c r="K190" s="19">
        <f>(I190 - J190) * (0.00664805 / 12) * 1.0</f>
        <v/>
      </c>
      <c r="L190" s="19" t="n">
        <v>0</v>
      </c>
      <c r="M190" s="24">
        <f>(I190 - J190) - K190 + L190</f>
        <v/>
      </c>
      <c r="N190" s="24">
        <f>M190 * (0.00400000 / 12) * 1.0</f>
        <v/>
      </c>
      <c r="O190" s="24">
        <f>M190 * (0.00500000 / 12) * 1.0</f>
        <v/>
      </c>
      <c r="P190" s="24">
        <f>Y190</f>
        <v/>
      </c>
      <c r="Q190" s="24">
        <f>MAX(0, M190 - N190 - O190 - P190)</f>
        <v/>
      </c>
      <c r="R190" s="24" t="n">
        <v>0</v>
      </c>
      <c r="S190" s="24" t="n">
        <v>0</v>
      </c>
      <c r="T190" s="24" t="n">
        <v>0</v>
      </c>
      <c r="U190" s="24" t="n">
        <v>0</v>
      </c>
      <c r="V190" s="24" t="n">
        <v>0</v>
      </c>
      <c r="W190" s="24" t="n">
        <v>0</v>
      </c>
      <c r="X190" s="24" t="n">
        <v>0</v>
      </c>
      <c r="Y190" s="24">
        <f>X190 / 12</f>
        <v/>
      </c>
      <c r="Z190" s="15" t="n">
        <v>-8</v>
      </c>
      <c r="AA190" s="24">
        <f>I190</f>
        <v/>
      </c>
      <c r="AB190" s="24">
        <f>Q190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 t="n">
        <v>0</v>
      </c>
      <c r="J191" s="21">
        <f>I191 * (0.01000000 / 12)</f>
        <v/>
      </c>
      <c r="K191" s="21">
        <f>(I191 - J191) * (0.00664805 / 12) * 1.0</f>
        <v/>
      </c>
      <c r="L191" s="21" t="n">
        <v>0</v>
      </c>
      <c r="M191" s="25">
        <f>(I191 - J191) - K191 + L191</f>
        <v/>
      </c>
      <c r="N191" s="25">
        <f>M191 * (0.00400000 / 12) * 1.0</f>
        <v/>
      </c>
      <c r="O191" s="25">
        <f>M191 * (0.00500000 / 12) * 1.0</f>
        <v/>
      </c>
      <c r="P191" s="25">
        <f>Y191</f>
        <v/>
      </c>
      <c r="Q191" s="25">
        <f>MAX(0, M191 - N191 - O191 - P191)</f>
        <v/>
      </c>
      <c r="R191" s="25" t="n">
        <v>0</v>
      </c>
      <c r="S191" s="25" t="n">
        <v>0</v>
      </c>
      <c r="T191" s="25" t="n">
        <v>0</v>
      </c>
      <c r="U191" s="25" t="n">
        <v>0</v>
      </c>
      <c r="V191" s="25" t="n">
        <v>0</v>
      </c>
      <c r="W191" s="25" t="n">
        <v>0</v>
      </c>
      <c r="X191" s="25" t="n">
        <v>0</v>
      </c>
      <c r="Y191" s="25">
        <f>X191 / 12</f>
        <v/>
      </c>
      <c r="Z191" s="17" t="n">
        <v>-9</v>
      </c>
      <c r="AA191" s="25">
        <f>I191</f>
        <v/>
      </c>
      <c r="AB191" s="25">
        <f>Q191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 t="n">
        <v>0</v>
      </c>
      <c r="J192" s="19">
        <f>I192 * (0.01000000 / 12)</f>
        <v/>
      </c>
      <c r="K192" s="19">
        <f>(I192 - J192) * (0.00664805 / 12) * 1.0</f>
        <v/>
      </c>
      <c r="L192" s="19" t="n">
        <v>0</v>
      </c>
      <c r="M192" s="24">
        <f>(I192 - J192) - K192 + L192</f>
        <v/>
      </c>
      <c r="N192" s="24">
        <f>M192 * (0.00400000 / 12) * 1.0</f>
        <v/>
      </c>
      <c r="O192" s="24">
        <f>M192 * (0.00500000 / 12) * 1.0</f>
        <v/>
      </c>
      <c r="P192" s="24">
        <f>Y192</f>
        <v/>
      </c>
      <c r="Q192" s="24">
        <f>MAX(0, M192 - N192 - O192 - P192)</f>
        <v/>
      </c>
      <c r="R192" s="24" t="n">
        <v>0</v>
      </c>
      <c r="S192" s="24" t="n">
        <v>0</v>
      </c>
      <c r="T192" s="24" t="n">
        <v>0</v>
      </c>
      <c r="U192" s="24" t="n">
        <v>0</v>
      </c>
      <c r="V192" s="24" t="n">
        <v>0</v>
      </c>
      <c r="W192" s="24" t="n">
        <v>0</v>
      </c>
      <c r="X192" s="24" t="n">
        <v>0</v>
      </c>
      <c r="Y192" s="24">
        <f>X192 / 12</f>
        <v/>
      </c>
      <c r="Z192" s="15" t="n">
        <v>-10</v>
      </c>
      <c r="AA192" s="24">
        <f>I192</f>
        <v/>
      </c>
      <c r="AB192" s="24">
        <f>Q192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 t="n">
        <v>0</v>
      </c>
      <c r="J193" s="21">
        <f>I193 * (0.01000000 / 12)</f>
        <v/>
      </c>
      <c r="K193" s="21">
        <f>(I193 - J193) * (0.00664805 / 12) * 1.0</f>
        <v/>
      </c>
      <c r="L193" s="21" t="n">
        <v>0</v>
      </c>
      <c r="M193" s="25">
        <f>(I193 - J193) - K193 + L193</f>
        <v/>
      </c>
      <c r="N193" s="25">
        <f>M193 * (0.00400000 / 12) * 1.0</f>
        <v/>
      </c>
      <c r="O193" s="25">
        <f>M193 * (0.00500000 / 12) * 1.0</f>
        <v/>
      </c>
      <c r="P193" s="25">
        <f>Y193</f>
        <v/>
      </c>
      <c r="Q193" s="25">
        <f>MAX(0, M193 - N193 - O193 - P193)</f>
        <v/>
      </c>
      <c r="R193" s="25" t="n">
        <v>0</v>
      </c>
      <c r="S193" s="25" t="n">
        <v>0</v>
      </c>
      <c r="T193" s="25" t="n">
        <v>0</v>
      </c>
      <c r="U193" s="25" t="n">
        <v>0</v>
      </c>
      <c r="V193" s="25" t="n">
        <v>0</v>
      </c>
      <c r="W193" s="25" t="n">
        <v>0</v>
      </c>
      <c r="X193" s="25" t="n">
        <v>0</v>
      </c>
      <c r="Y193" s="25">
        <f>X193 / 12</f>
        <v/>
      </c>
      <c r="Z193" s="17" t="n">
        <v>-11</v>
      </c>
      <c r="AA193" s="25">
        <f>I193</f>
        <v/>
      </c>
      <c r="AB193" s="25">
        <f>Q193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 t="n">
        <v>0</v>
      </c>
      <c r="J194" s="19">
        <f>I194 * (0.01000000 / 12)</f>
        <v/>
      </c>
      <c r="K194" s="19">
        <f>(I194 - J194) * (0.00664805 / 12) * 1.0</f>
        <v/>
      </c>
      <c r="L194" s="19" t="n">
        <v>0</v>
      </c>
      <c r="M194" s="24">
        <f>(I194 - J194) - K194 + L194</f>
        <v/>
      </c>
      <c r="N194" s="24">
        <f>M194 * (0.00400000 / 12) * 1.0</f>
        <v/>
      </c>
      <c r="O194" s="24">
        <f>M194 * (0.00500000 / 12) * 1.0</f>
        <v/>
      </c>
      <c r="P194" s="24">
        <f>Y194</f>
        <v/>
      </c>
      <c r="Q194" s="24">
        <f>MAX(0, M194 - N194 - O194 - P194)</f>
        <v/>
      </c>
      <c r="R194" s="24" t="n">
        <v>0</v>
      </c>
      <c r="S194" s="24" t="n">
        <v>0</v>
      </c>
      <c r="T194" s="24" t="n">
        <v>0</v>
      </c>
      <c r="U194" s="24" t="n">
        <v>0</v>
      </c>
      <c r="V194" s="24" t="n">
        <v>0</v>
      </c>
      <c r="W194" s="24" t="n">
        <v>0</v>
      </c>
      <c r="X194" s="24" t="n">
        <v>0</v>
      </c>
      <c r="Y194" s="24">
        <f>X194 / 12</f>
        <v/>
      </c>
      <c r="Z194" s="15" t="n">
        <v>-12</v>
      </c>
      <c r="AA194" s="24">
        <f>I194</f>
        <v/>
      </c>
      <c r="AB194" s="24">
        <f>Q194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 t="n">
        <v>0</v>
      </c>
      <c r="J195" s="21">
        <f>I195 * (0.01000000 / 12)</f>
        <v/>
      </c>
      <c r="K195" s="21">
        <f>(I195 - J195) * (0.00664805 / 12) * 1.0</f>
        <v/>
      </c>
      <c r="L195" s="21" t="n">
        <v>0</v>
      </c>
      <c r="M195" s="25">
        <f>(I195 - J195) - K195 + L195</f>
        <v/>
      </c>
      <c r="N195" s="25">
        <f>M195 * (0.00400000 / 12) * 1.0</f>
        <v/>
      </c>
      <c r="O195" s="25">
        <f>M195 * (0.00500000 / 12) * 1.0</f>
        <v/>
      </c>
      <c r="P195" s="25">
        <f>Y195</f>
        <v/>
      </c>
      <c r="Q195" s="25">
        <f>MAX(0, M195 - N195 - O195 - P195)</f>
        <v/>
      </c>
      <c r="R195" s="25" t="n">
        <v>0</v>
      </c>
      <c r="S195" s="25" t="n">
        <v>0</v>
      </c>
      <c r="T195" s="25" t="n">
        <v>0</v>
      </c>
      <c r="U195" s="25" t="n">
        <v>0</v>
      </c>
      <c r="V195" s="25" t="n">
        <v>0</v>
      </c>
      <c r="W195" s="25" t="n">
        <v>0</v>
      </c>
      <c r="X195" s="25" t="n">
        <v>0</v>
      </c>
      <c r="Y195" s="25">
        <f>X195 / 12</f>
        <v/>
      </c>
      <c r="Z195" s="17" t="n">
        <v>-13</v>
      </c>
      <c r="AA195" s="25">
        <f>I195</f>
        <v/>
      </c>
      <c r="AB195" s="25">
        <f>Q195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 t="n">
        <v>0</v>
      </c>
      <c r="J196" s="19">
        <f>I196 * (0.01000000 / 12)</f>
        <v/>
      </c>
      <c r="K196" s="19">
        <f>(I196 - J196) * (0.00664805 / 12) * 1.0</f>
        <v/>
      </c>
      <c r="L196" s="19" t="n">
        <v>0</v>
      </c>
      <c r="M196" s="24">
        <f>(I196 - J196) - K196 + L196</f>
        <v/>
      </c>
      <c r="N196" s="24">
        <f>M196 * (0.00400000 / 12) * 1.0</f>
        <v/>
      </c>
      <c r="O196" s="24">
        <f>M196 * (0.00500000 / 12) * 1.0</f>
        <v/>
      </c>
      <c r="P196" s="24">
        <f>Y196</f>
        <v/>
      </c>
      <c r="Q196" s="24">
        <f>MAX(0, M196 - N196 - O196 - P196)</f>
        <v/>
      </c>
      <c r="R196" s="24" t="n">
        <v>0</v>
      </c>
      <c r="S196" s="24" t="n">
        <v>0</v>
      </c>
      <c r="T196" s="24" t="n">
        <v>0</v>
      </c>
      <c r="U196" s="24" t="n">
        <v>0</v>
      </c>
      <c r="V196" s="24" t="n">
        <v>0</v>
      </c>
      <c r="W196" s="24" t="n">
        <v>0</v>
      </c>
      <c r="X196" s="24" t="n">
        <v>0</v>
      </c>
      <c r="Y196" s="24">
        <f>X196 / 12</f>
        <v/>
      </c>
      <c r="Z196" s="15" t="n">
        <v>-14</v>
      </c>
      <c r="AA196" s="24">
        <f>I196</f>
        <v/>
      </c>
      <c r="AB196" s="24">
        <f>Q196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 t="n">
        <v>0</v>
      </c>
      <c r="J197" s="21">
        <f>I197 * (0.01000000 / 12)</f>
        <v/>
      </c>
      <c r="K197" s="21">
        <f>(I197 - J197) * (0.00664805 / 12) * 1.0</f>
        <v/>
      </c>
      <c r="L197" s="21" t="n">
        <v>0</v>
      </c>
      <c r="M197" s="25">
        <f>(I197 - J197) - K197 + L197</f>
        <v/>
      </c>
      <c r="N197" s="25">
        <f>M197 * (0.00400000 / 12) * 1.0</f>
        <v/>
      </c>
      <c r="O197" s="25">
        <f>M197 * (0.00500000 / 12) * 1.0</f>
        <v/>
      </c>
      <c r="P197" s="25">
        <f>Y197</f>
        <v/>
      </c>
      <c r="Q197" s="25">
        <f>MAX(0, M197 - N197 - O197 - P197)</f>
        <v/>
      </c>
      <c r="R197" s="25" t="n">
        <v>0</v>
      </c>
      <c r="S197" s="25" t="n">
        <v>0</v>
      </c>
      <c r="T197" s="25" t="n">
        <v>0</v>
      </c>
      <c r="U197" s="25" t="n">
        <v>0</v>
      </c>
      <c r="V197" s="25" t="n">
        <v>0</v>
      </c>
      <c r="W197" s="25" t="n">
        <v>0</v>
      </c>
      <c r="X197" s="25" t="n">
        <v>0</v>
      </c>
      <c r="Y197" s="25">
        <f>X197 / 12</f>
        <v/>
      </c>
      <c r="Z197" s="17" t="n">
        <v>-15</v>
      </c>
      <c r="AA197" s="25">
        <f>I197</f>
        <v/>
      </c>
      <c r="AB197" s="25">
        <f>Q197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 t="n">
        <v>0</v>
      </c>
      <c r="J198" s="19">
        <f>I198 * (0.01000000 / 12)</f>
        <v/>
      </c>
      <c r="K198" s="19">
        <f>(I198 - J198) * (0.00664805 / 12) * 1.0</f>
        <v/>
      </c>
      <c r="L198" s="19" t="n">
        <v>0</v>
      </c>
      <c r="M198" s="24">
        <f>(I198 - J198) - K198 + L198</f>
        <v/>
      </c>
      <c r="N198" s="24">
        <f>M198 * (0.00400000 / 12) * 1.0</f>
        <v/>
      </c>
      <c r="O198" s="24">
        <f>M198 * (0.00500000 / 12) * 1.0</f>
        <v/>
      </c>
      <c r="P198" s="24">
        <f>Y198</f>
        <v/>
      </c>
      <c r="Q198" s="24">
        <f>MAX(0, M198 - N198 - O198 - P198)</f>
        <v/>
      </c>
      <c r="R198" s="24" t="n">
        <v>0</v>
      </c>
      <c r="S198" s="24" t="n">
        <v>0</v>
      </c>
      <c r="T198" s="24" t="n">
        <v>0</v>
      </c>
      <c r="U198" s="24" t="n">
        <v>0</v>
      </c>
      <c r="V198" s="24" t="n">
        <v>0</v>
      </c>
      <c r="W198" s="24" t="n">
        <v>0</v>
      </c>
      <c r="X198" s="24" t="n">
        <v>0</v>
      </c>
      <c r="Y198" s="24">
        <f>X198 / 12</f>
        <v/>
      </c>
      <c r="Z198" s="15" t="n">
        <v>-16</v>
      </c>
      <c r="AA198" s="24">
        <f>I198</f>
        <v/>
      </c>
      <c r="AB198" s="24">
        <f>Q198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 t="n">
        <v>0</v>
      </c>
      <c r="J199" s="21">
        <f>I199 * (0.01000000 / 12)</f>
        <v/>
      </c>
      <c r="K199" s="21">
        <f>(I199 - J199) * (0.00664805 / 12) * 1.0</f>
        <v/>
      </c>
      <c r="L199" s="21" t="n">
        <v>0</v>
      </c>
      <c r="M199" s="25">
        <f>(I199 - J199) - K199 + L199</f>
        <v/>
      </c>
      <c r="N199" s="25">
        <f>M199 * (0.00400000 / 12) * 1.0</f>
        <v/>
      </c>
      <c r="O199" s="25">
        <f>M199 * (0.00500000 / 12) * 1.0</f>
        <v/>
      </c>
      <c r="P199" s="25">
        <f>Y199</f>
        <v/>
      </c>
      <c r="Q199" s="25">
        <f>MAX(0, M199 - N199 - O199 - P199)</f>
        <v/>
      </c>
      <c r="R199" s="25" t="n">
        <v>0</v>
      </c>
      <c r="S199" s="25" t="n">
        <v>0</v>
      </c>
      <c r="T199" s="25" t="n">
        <v>0</v>
      </c>
      <c r="U199" s="25" t="n">
        <v>0</v>
      </c>
      <c r="V199" s="25" t="n">
        <v>0</v>
      </c>
      <c r="W199" s="25" t="n">
        <v>0</v>
      </c>
      <c r="X199" s="25" t="n">
        <v>0</v>
      </c>
      <c r="Y199" s="25">
        <f>X199 / 12</f>
        <v/>
      </c>
      <c r="Z199" s="17" t="n">
        <v>-17</v>
      </c>
      <c r="AA199" s="25">
        <f>I199</f>
        <v/>
      </c>
      <c r="AB199" s="25">
        <f>Q199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 t="n">
        <v>0</v>
      </c>
      <c r="J200" s="19">
        <f>I200 * (0.01000000 / 12)</f>
        <v/>
      </c>
      <c r="K200" s="19">
        <f>(I200 - J200) * (0.00664805 / 12) * 1.0</f>
        <v/>
      </c>
      <c r="L200" s="19" t="n">
        <v>0</v>
      </c>
      <c r="M200" s="24">
        <f>(I200 - J200) - K200 + L200</f>
        <v/>
      </c>
      <c r="N200" s="24">
        <f>M200 * (0.00400000 / 12) * 1.0</f>
        <v/>
      </c>
      <c r="O200" s="24">
        <f>M200 * (0.00500000 / 12) * 1.0</f>
        <v/>
      </c>
      <c r="P200" s="24">
        <f>Y200</f>
        <v/>
      </c>
      <c r="Q200" s="24">
        <f>MAX(0, M200 - N200 - O200 - P200)</f>
        <v/>
      </c>
      <c r="R200" s="24" t="n">
        <v>0</v>
      </c>
      <c r="S200" s="24" t="n">
        <v>0</v>
      </c>
      <c r="T200" s="24" t="n">
        <v>0</v>
      </c>
      <c r="U200" s="24" t="n">
        <v>0</v>
      </c>
      <c r="V200" s="24" t="n">
        <v>0</v>
      </c>
      <c r="W200" s="24" t="n">
        <v>0</v>
      </c>
      <c r="X200" s="24" t="n">
        <v>0</v>
      </c>
      <c r="Y200" s="24">
        <f>X200 / 12</f>
        <v/>
      </c>
      <c r="Z200" s="15" t="n">
        <v>-18</v>
      </c>
      <c r="AA200" s="24">
        <f>I200</f>
        <v/>
      </c>
      <c r="AB200" s="24">
        <f>Q200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 t="n">
        <v>0</v>
      </c>
      <c r="J201" s="21">
        <f>I201 * (0.01000000 / 12)</f>
        <v/>
      </c>
      <c r="K201" s="21">
        <f>(I201 - J201) * (0.00664805 / 12) * 1.0</f>
        <v/>
      </c>
      <c r="L201" s="21" t="n">
        <v>0</v>
      </c>
      <c r="M201" s="25">
        <f>(I201 - J201) - K201 + L201</f>
        <v/>
      </c>
      <c r="N201" s="25">
        <f>M201 * (0.00400000 / 12) * 1.0</f>
        <v/>
      </c>
      <c r="O201" s="25">
        <f>M201 * (0.00500000 / 12) * 1.0</f>
        <v/>
      </c>
      <c r="P201" s="25">
        <f>Y201</f>
        <v/>
      </c>
      <c r="Q201" s="25">
        <f>MAX(0, M201 - N201 - O201 - P201)</f>
        <v/>
      </c>
      <c r="R201" s="25" t="n">
        <v>0</v>
      </c>
      <c r="S201" s="25" t="n">
        <v>0</v>
      </c>
      <c r="T201" s="25" t="n">
        <v>0</v>
      </c>
      <c r="U201" s="25" t="n">
        <v>0</v>
      </c>
      <c r="V201" s="25" t="n">
        <v>0</v>
      </c>
      <c r="W201" s="25" t="n">
        <v>0</v>
      </c>
      <c r="X201" s="25" t="n">
        <v>0</v>
      </c>
      <c r="Y201" s="25">
        <f>X201 / 12</f>
        <v/>
      </c>
      <c r="Z201" s="17" t="n">
        <v>-19</v>
      </c>
      <c r="AA201" s="25">
        <f>I201</f>
        <v/>
      </c>
      <c r="AB201" s="25">
        <f>Q201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 t="n">
        <v>0</v>
      </c>
      <c r="J202" s="19">
        <f>I202 * (0.01000000 / 12)</f>
        <v/>
      </c>
      <c r="K202" s="19">
        <f>(I202 - J202) * (0.00664805 / 12) * 1.0</f>
        <v/>
      </c>
      <c r="L202" s="19" t="n">
        <v>0</v>
      </c>
      <c r="M202" s="24">
        <f>(I202 - J202) - K202 + L202</f>
        <v/>
      </c>
      <c r="N202" s="24">
        <f>M202 * (0.00400000 / 12) * 1.0</f>
        <v/>
      </c>
      <c r="O202" s="24">
        <f>M202 * (0.00500000 / 12) * 1.0</f>
        <v/>
      </c>
      <c r="P202" s="24">
        <f>Y202</f>
        <v/>
      </c>
      <c r="Q202" s="24">
        <f>MAX(0, M202 - N202 - O202 - P202)</f>
        <v/>
      </c>
      <c r="R202" s="24" t="n">
        <v>0</v>
      </c>
      <c r="S202" s="24" t="n">
        <v>0</v>
      </c>
      <c r="T202" s="24" t="n">
        <v>0</v>
      </c>
      <c r="U202" s="24" t="n">
        <v>0</v>
      </c>
      <c r="V202" s="24" t="n">
        <v>0</v>
      </c>
      <c r="W202" s="24" t="n">
        <v>0</v>
      </c>
      <c r="X202" s="24" t="n">
        <v>0</v>
      </c>
      <c r="Y202" s="24">
        <f>X202 / 12</f>
        <v/>
      </c>
      <c r="Z202" s="15" t="n">
        <v>-20</v>
      </c>
      <c r="AA202" s="24">
        <f>I202</f>
        <v/>
      </c>
      <c r="AB202" s="24">
        <f>Q202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 t="n">
        <v>0</v>
      </c>
      <c r="J203" s="21">
        <f>I203 * (0.01000000 / 12)</f>
        <v/>
      </c>
      <c r="K203" s="21">
        <f>(I203 - J203) * (0.00664805 / 12) * 1.0</f>
        <v/>
      </c>
      <c r="L203" s="21" t="n">
        <v>0</v>
      </c>
      <c r="M203" s="25">
        <f>(I203 - J203) - K203 + L203</f>
        <v/>
      </c>
      <c r="N203" s="25">
        <f>M203 * (0.00400000 / 12) * 1.0</f>
        <v/>
      </c>
      <c r="O203" s="25">
        <f>M203 * (0.00500000 / 12) * 1.0</f>
        <v/>
      </c>
      <c r="P203" s="25">
        <f>Y203</f>
        <v/>
      </c>
      <c r="Q203" s="25">
        <f>MAX(0, M203 - N203 - O203 - P203)</f>
        <v/>
      </c>
      <c r="R203" s="25" t="n">
        <v>0</v>
      </c>
      <c r="S203" s="25" t="n">
        <v>0</v>
      </c>
      <c r="T203" s="25" t="n">
        <v>0</v>
      </c>
      <c r="U203" s="25" t="n">
        <v>0</v>
      </c>
      <c r="V203" s="25" t="n">
        <v>0</v>
      </c>
      <c r="W203" s="25" t="n">
        <v>0</v>
      </c>
      <c r="X203" s="25" t="n">
        <v>0</v>
      </c>
      <c r="Y203" s="25">
        <f>X203 / 12</f>
        <v/>
      </c>
      <c r="Z203" s="17" t="n">
        <v>-21</v>
      </c>
      <c r="AA203" s="25">
        <f>I203</f>
        <v/>
      </c>
      <c r="AB203" s="25">
        <f>Q203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 t="n">
        <v>0</v>
      </c>
      <c r="J204" s="19">
        <f>I204 * (0.01000000 / 12)</f>
        <v/>
      </c>
      <c r="K204" s="19">
        <f>(I204 - J204) * (0.00664805 / 12) * 1.0</f>
        <v/>
      </c>
      <c r="L204" s="19" t="n">
        <v>0</v>
      </c>
      <c r="M204" s="24">
        <f>(I204 - J204) - K204 + L204</f>
        <v/>
      </c>
      <c r="N204" s="24">
        <f>M204 * (0.00400000 / 12) * 1.0</f>
        <v/>
      </c>
      <c r="O204" s="24">
        <f>M204 * (0.00500000 / 12) * 1.0</f>
        <v/>
      </c>
      <c r="P204" s="24">
        <f>Y204</f>
        <v/>
      </c>
      <c r="Q204" s="24">
        <f>MAX(0, M204 - N204 - O204 - P204)</f>
        <v/>
      </c>
      <c r="R204" s="24" t="n">
        <v>0</v>
      </c>
      <c r="S204" s="24" t="n">
        <v>0</v>
      </c>
      <c r="T204" s="24" t="n">
        <v>0</v>
      </c>
      <c r="U204" s="24" t="n">
        <v>0</v>
      </c>
      <c r="V204" s="24" t="n">
        <v>0</v>
      </c>
      <c r="W204" s="24" t="n">
        <v>0</v>
      </c>
      <c r="X204" s="24" t="n">
        <v>0</v>
      </c>
      <c r="Y204" s="24">
        <f>X204 / 12</f>
        <v/>
      </c>
      <c r="Z204" s="15" t="n">
        <v>-22</v>
      </c>
      <c r="AA204" s="24">
        <f>I204</f>
        <v/>
      </c>
      <c r="AB204" s="24">
        <f>Q204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 t="n">
        <v>0</v>
      </c>
      <c r="J205" s="21">
        <f>I205 * (0.01000000 / 12)</f>
        <v/>
      </c>
      <c r="K205" s="21">
        <f>(I205 - J205) * (0.00664805 / 12) * 1.0</f>
        <v/>
      </c>
      <c r="L205" s="21" t="n">
        <v>0</v>
      </c>
      <c r="M205" s="25">
        <f>(I205 - J205) - K205 + L205</f>
        <v/>
      </c>
      <c r="N205" s="25">
        <f>M205 * (0.00400000 / 12) * 1.0</f>
        <v/>
      </c>
      <c r="O205" s="25">
        <f>M205 * (0.00500000 / 12) * 1.0</f>
        <v/>
      </c>
      <c r="P205" s="25">
        <f>Y205</f>
        <v/>
      </c>
      <c r="Q205" s="25">
        <f>MAX(0, M205 - N205 - O205 - P205)</f>
        <v/>
      </c>
      <c r="R205" s="25" t="n">
        <v>0</v>
      </c>
      <c r="S205" s="25" t="n">
        <v>0</v>
      </c>
      <c r="T205" s="25" t="n">
        <v>0</v>
      </c>
      <c r="U205" s="25" t="n">
        <v>0</v>
      </c>
      <c r="V205" s="25" t="n">
        <v>0</v>
      </c>
      <c r="W205" s="25" t="n">
        <v>0</v>
      </c>
      <c r="X205" s="25" t="n">
        <v>0</v>
      </c>
      <c r="Y205" s="25">
        <f>X205 / 12</f>
        <v/>
      </c>
      <c r="Z205" s="17" t="n">
        <v>-23</v>
      </c>
      <c r="AA205" s="25">
        <f>I205</f>
        <v/>
      </c>
      <c r="AB205" s="25">
        <f>Q205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 t="n">
        <v>0</v>
      </c>
      <c r="J206" s="19">
        <f>I206 * (0.01000000 / 12)</f>
        <v/>
      </c>
      <c r="K206" s="19">
        <f>(I206 - J206) * (0.00664805 / 12) * 1.0</f>
        <v/>
      </c>
      <c r="L206" s="19" t="n">
        <v>0</v>
      </c>
      <c r="M206" s="24">
        <f>(I206 - J206) - K206 + L206</f>
        <v/>
      </c>
      <c r="N206" s="24">
        <f>M206 * (0.00400000 / 12) * 1.0</f>
        <v/>
      </c>
      <c r="O206" s="24">
        <f>M206 * (0.00500000 / 12) * 1.0</f>
        <v/>
      </c>
      <c r="P206" s="24">
        <f>Y206</f>
        <v/>
      </c>
      <c r="Q206" s="24">
        <f>MAX(0, M206 - N206 - O206 - P206)</f>
        <v/>
      </c>
      <c r="R206" s="24" t="n">
        <v>0</v>
      </c>
      <c r="S206" s="24" t="n">
        <v>0</v>
      </c>
      <c r="T206" s="24" t="n">
        <v>0</v>
      </c>
      <c r="U206" s="24" t="n">
        <v>0</v>
      </c>
      <c r="V206" s="24" t="n">
        <v>0</v>
      </c>
      <c r="W206" s="24" t="n">
        <v>0</v>
      </c>
      <c r="X206" s="24" t="n">
        <v>0</v>
      </c>
      <c r="Y206" s="24">
        <f>X206 / 12</f>
        <v/>
      </c>
      <c r="Z206" s="15" t="n">
        <v>-24</v>
      </c>
      <c r="AA206" s="24">
        <f>I206</f>
        <v/>
      </c>
      <c r="AB206" s="24">
        <f>Q206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 t="n">
        <v>0</v>
      </c>
      <c r="J207" s="21">
        <f>I207 * (0.01000000 / 12)</f>
        <v/>
      </c>
      <c r="K207" s="21">
        <f>(I207 - J207) * (0.00664805 / 12) * 1.0</f>
        <v/>
      </c>
      <c r="L207" s="21" t="n">
        <v>0</v>
      </c>
      <c r="M207" s="25">
        <f>(I207 - J207) - K207 + L207</f>
        <v/>
      </c>
      <c r="N207" s="25">
        <f>M207 * (0.00400000 / 12) * 1.0</f>
        <v/>
      </c>
      <c r="O207" s="25">
        <f>M207 * (0.00500000 / 12) * 1.0</f>
        <v/>
      </c>
      <c r="P207" s="25">
        <f>Y207</f>
        <v/>
      </c>
      <c r="Q207" s="25">
        <f>MAX(0, M207 - N207 - O207 - P207)</f>
        <v/>
      </c>
      <c r="R207" s="25" t="n">
        <v>0</v>
      </c>
      <c r="S207" s="25" t="n">
        <v>0</v>
      </c>
      <c r="T207" s="25" t="n">
        <v>0</v>
      </c>
      <c r="U207" s="25" t="n">
        <v>0</v>
      </c>
      <c r="V207" s="25" t="n">
        <v>0</v>
      </c>
      <c r="W207" s="25" t="n">
        <v>0</v>
      </c>
      <c r="X207" s="25" t="n">
        <v>0</v>
      </c>
      <c r="Y207" s="25">
        <f>X207 / 12</f>
        <v/>
      </c>
      <c r="Z207" s="17" t="n">
        <v>-25</v>
      </c>
      <c r="AA207" s="25">
        <f>I207</f>
        <v/>
      </c>
      <c r="AB207" s="25">
        <f>Q207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 t="n">
        <v>0</v>
      </c>
      <c r="J208" s="19">
        <f>I208 * (0.01000000 / 12)</f>
        <v/>
      </c>
      <c r="K208" s="19">
        <f>(I208 - J208) * (0.00664805 / 12) * 1.0</f>
        <v/>
      </c>
      <c r="L208" s="19" t="n">
        <v>0</v>
      </c>
      <c r="M208" s="24">
        <f>(I208 - J208) - K208 + L208</f>
        <v/>
      </c>
      <c r="N208" s="24">
        <f>M208 * (0.00400000 / 12) * 1.0</f>
        <v/>
      </c>
      <c r="O208" s="24">
        <f>M208 * (0.00500000 / 12) * 1.0</f>
        <v/>
      </c>
      <c r="P208" s="24">
        <f>Y208</f>
        <v/>
      </c>
      <c r="Q208" s="24">
        <f>MAX(0, M208 - N208 - O208 - P208)</f>
        <v/>
      </c>
      <c r="R208" s="24" t="n">
        <v>0</v>
      </c>
      <c r="S208" s="24" t="n">
        <v>0</v>
      </c>
      <c r="T208" s="24" t="n">
        <v>0</v>
      </c>
      <c r="U208" s="24" t="n">
        <v>0</v>
      </c>
      <c r="V208" s="24" t="n">
        <v>0</v>
      </c>
      <c r="W208" s="24" t="n">
        <v>0</v>
      </c>
      <c r="X208" s="24" t="n">
        <v>0</v>
      </c>
      <c r="Y208" s="24">
        <f>X208 / 12</f>
        <v/>
      </c>
      <c r="Z208" s="15" t="n">
        <v>-26</v>
      </c>
      <c r="AA208" s="24">
        <f>I208</f>
        <v/>
      </c>
      <c r="AB208" s="24">
        <f>Q208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 t="n">
        <v>0</v>
      </c>
      <c r="J209" s="21">
        <f>I209 * (0.01000000 / 12)</f>
        <v/>
      </c>
      <c r="K209" s="21">
        <f>(I209 - J209) * (0.00664805 / 12) * 1.0</f>
        <v/>
      </c>
      <c r="L209" s="21" t="n">
        <v>0</v>
      </c>
      <c r="M209" s="25">
        <f>(I209 - J209) - K209 + L209</f>
        <v/>
      </c>
      <c r="N209" s="25">
        <f>M209 * (0.00400000 / 12) * 1.0</f>
        <v/>
      </c>
      <c r="O209" s="25">
        <f>M209 * (0.00500000 / 12) * 1.0</f>
        <v/>
      </c>
      <c r="P209" s="25">
        <f>Y209</f>
        <v/>
      </c>
      <c r="Q209" s="25">
        <f>MAX(0, M209 - N209 - O209 - P209)</f>
        <v/>
      </c>
      <c r="R209" s="25" t="n">
        <v>0</v>
      </c>
      <c r="S209" s="25" t="n">
        <v>0</v>
      </c>
      <c r="T209" s="25" t="n">
        <v>0</v>
      </c>
      <c r="U209" s="25" t="n">
        <v>0</v>
      </c>
      <c r="V209" s="25" t="n">
        <v>0</v>
      </c>
      <c r="W209" s="25" t="n">
        <v>0</v>
      </c>
      <c r="X209" s="25" t="n">
        <v>0</v>
      </c>
      <c r="Y209" s="25">
        <f>X209 / 12</f>
        <v/>
      </c>
      <c r="Z209" s="17" t="n">
        <v>-27</v>
      </c>
      <c r="AA209" s="25">
        <f>I209</f>
        <v/>
      </c>
      <c r="AB209" s="25">
        <f>Q209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 t="n">
        <v>0</v>
      </c>
      <c r="J210" s="19">
        <f>I210 * (0.01000000 / 12)</f>
        <v/>
      </c>
      <c r="K210" s="19">
        <f>(I210 - J210) * (0.00664805 / 12) * 1.0</f>
        <v/>
      </c>
      <c r="L210" s="19" t="n">
        <v>0</v>
      </c>
      <c r="M210" s="24">
        <f>(I210 - J210) - K210 + L210</f>
        <v/>
      </c>
      <c r="N210" s="24">
        <f>M210 * (0.00400000 / 12) * 1.0</f>
        <v/>
      </c>
      <c r="O210" s="24">
        <f>M210 * (0.00500000 / 12) * 1.0</f>
        <v/>
      </c>
      <c r="P210" s="24">
        <f>Y210</f>
        <v/>
      </c>
      <c r="Q210" s="24">
        <f>MAX(0, M210 - N210 - O210 - P210)</f>
        <v/>
      </c>
      <c r="R210" s="24" t="n">
        <v>0</v>
      </c>
      <c r="S210" s="24" t="n">
        <v>0</v>
      </c>
      <c r="T210" s="24" t="n">
        <v>0</v>
      </c>
      <c r="U210" s="24" t="n">
        <v>0</v>
      </c>
      <c r="V210" s="24" t="n">
        <v>0</v>
      </c>
      <c r="W210" s="24" t="n">
        <v>0</v>
      </c>
      <c r="X210" s="24" t="n">
        <v>0</v>
      </c>
      <c r="Y210" s="24">
        <f>X210 / 12</f>
        <v/>
      </c>
      <c r="Z210" s="15" t="n">
        <v>-28</v>
      </c>
      <c r="AA210" s="24">
        <f>I210</f>
        <v/>
      </c>
      <c r="AB210" s="24">
        <f>Q210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 t="n">
        <v>0</v>
      </c>
      <c r="J211" s="21">
        <f>I211 * (0.01000000 / 12)</f>
        <v/>
      </c>
      <c r="K211" s="21">
        <f>(I211 - J211) * (0.00664805 / 12) * 1.0</f>
        <v/>
      </c>
      <c r="L211" s="21" t="n">
        <v>0</v>
      </c>
      <c r="M211" s="25">
        <f>(I211 - J211) - K211 + L211</f>
        <v/>
      </c>
      <c r="N211" s="25">
        <f>M211 * (0.00400000 / 12) * 1.0</f>
        <v/>
      </c>
      <c r="O211" s="25">
        <f>M211 * (0.00500000 / 12) * 1.0</f>
        <v/>
      </c>
      <c r="P211" s="25">
        <f>Y211</f>
        <v/>
      </c>
      <c r="Q211" s="25">
        <f>MAX(0, M211 - N211 - O211 - P211)</f>
        <v/>
      </c>
      <c r="R211" s="25" t="n">
        <v>0</v>
      </c>
      <c r="S211" s="25" t="n">
        <v>0</v>
      </c>
      <c r="T211" s="25" t="n">
        <v>0</v>
      </c>
      <c r="U211" s="25" t="n">
        <v>0</v>
      </c>
      <c r="V211" s="25" t="n">
        <v>0</v>
      </c>
      <c r="W211" s="25" t="n">
        <v>0</v>
      </c>
      <c r="X211" s="25" t="n">
        <v>0</v>
      </c>
      <c r="Y211" s="25">
        <f>X211 / 12</f>
        <v/>
      </c>
      <c r="Z211" s="17" t="n">
        <v>-29</v>
      </c>
      <c r="AA211" s="25">
        <f>I211</f>
        <v/>
      </c>
      <c r="AB211" s="25">
        <f>Q211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 t="n">
        <v>0</v>
      </c>
      <c r="J212" s="19">
        <f>I212 * (0.01000000 / 12)</f>
        <v/>
      </c>
      <c r="K212" s="19">
        <f>(I212 - J212) * (0.00664805 / 12) * 1.0</f>
        <v/>
      </c>
      <c r="L212" s="19" t="n">
        <v>0</v>
      </c>
      <c r="M212" s="24">
        <f>(I212 - J212) - K212 + L212</f>
        <v/>
      </c>
      <c r="N212" s="24">
        <f>M212 * (0.00400000 / 12) * 1.0</f>
        <v/>
      </c>
      <c r="O212" s="24">
        <f>M212 * (0.00500000 / 12) * 1.0</f>
        <v/>
      </c>
      <c r="P212" s="24">
        <f>Y212</f>
        <v/>
      </c>
      <c r="Q212" s="24">
        <f>MAX(0, M212 - N212 - O212 - P212)</f>
        <v/>
      </c>
      <c r="R212" s="24" t="n">
        <v>0</v>
      </c>
      <c r="S212" s="24" t="n">
        <v>0</v>
      </c>
      <c r="T212" s="24" t="n">
        <v>0</v>
      </c>
      <c r="U212" s="24" t="n">
        <v>0</v>
      </c>
      <c r="V212" s="24" t="n">
        <v>0</v>
      </c>
      <c r="W212" s="24" t="n">
        <v>0</v>
      </c>
      <c r="X212" s="24" t="n">
        <v>0</v>
      </c>
      <c r="Y212" s="24">
        <f>X212 / 12</f>
        <v/>
      </c>
      <c r="Z212" s="15" t="n">
        <v>-30</v>
      </c>
      <c r="AA212" s="24">
        <f>I212</f>
        <v/>
      </c>
      <c r="AB212" s="24">
        <f>Q212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 t="n">
        <v>0</v>
      </c>
      <c r="J213" s="21">
        <f>I213 * (0.01000000 / 12)</f>
        <v/>
      </c>
      <c r="K213" s="21">
        <f>(I213 - J213) * (0.00664805 / 12) * 1.0</f>
        <v/>
      </c>
      <c r="L213" s="21" t="n">
        <v>0</v>
      </c>
      <c r="M213" s="25">
        <f>(I213 - J213) - K213 + L213</f>
        <v/>
      </c>
      <c r="N213" s="25">
        <f>M213 * (0.00400000 / 12) * 1.0</f>
        <v/>
      </c>
      <c r="O213" s="25">
        <f>M213 * (0.00500000 / 12) * 1.0</f>
        <v/>
      </c>
      <c r="P213" s="25">
        <f>Y213</f>
        <v/>
      </c>
      <c r="Q213" s="25">
        <f>MAX(0, M213 - N213 - O213 - P213)</f>
        <v/>
      </c>
      <c r="R213" s="25" t="n">
        <v>0</v>
      </c>
      <c r="S213" s="25" t="n">
        <v>0</v>
      </c>
      <c r="T213" s="25" t="n">
        <v>0</v>
      </c>
      <c r="U213" s="25" t="n">
        <v>0</v>
      </c>
      <c r="V213" s="25" t="n">
        <v>0</v>
      </c>
      <c r="W213" s="25" t="n">
        <v>0</v>
      </c>
      <c r="X213" s="25" t="n">
        <v>0</v>
      </c>
      <c r="Y213" s="25">
        <f>X213 / 12</f>
        <v/>
      </c>
      <c r="Z213" s="17" t="n">
        <v>-31</v>
      </c>
      <c r="AA213" s="25">
        <f>I213</f>
        <v/>
      </c>
      <c r="AB213" s="25">
        <f>Q213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 t="n">
        <v>0</v>
      </c>
      <c r="J214" s="19">
        <f>I214 * (0.01000000 / 12)</f>
        <v/>
      </c>
      <c r="K214" s="19">
        <f>(I214 - J214) * (0.00664805 / 12) * 1.0</f>
        <v/>
      </c>
      <c r="L214" s="19" t="n">
        <v>0</v>
      </c>
      <c r="M214" s="24">
        <f>(I214 - J214) - K214 + L214</f>
        <v/>
      </c>
      <c r="N214" s="24">
        <f>M214 * (0.00400000 / 12) * 1.0</f>
        <v/>
      </c>
      <c r="O214" s="24">
        <f>M214 * (0.00500000 / 12) * 1.0</f>
        <v/>
      </c>
      <c r="P214" s="24">
        <f>Y214</f>
        <v/>
      </c>
      <c r="Q214" s="24">
        <f>MAX(0, M214 - N214 - O214 - P214)</f>
        <v/>
      </c>
      <c r="R214" s="24" t="n">
        <v>0</v>
      </c>
      <c r="S214" s="24" t="n">
        <v>0</v>
      </c>
      <c r="T214" s="24" t="n">
        <v>0</v>
      </c>
      <c r="U214" s="24" t="n">
        <v>0</v>
      </c>
      <c r="V214" s="24" t="n">
        <v>0</v>
      </c>
      <c r="W214" s="24" t="n">
        <v>0</v>
      </c>
      <c r="X214" s="24" t="n">
        <v>0</v>
      </c>
      <c r="Y214" s="24">
        <f>X214 / 12</f>
        <v/>
      </c>
      <c r="Z214" s="15" t="n">
        <v>-32</v>
      </c>
      <c r="AA214" s="24">
        <f>I214</f>
        <v/>
      </c>
      <c r="AB214" s="24">
        <f>Q214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 t="n">
        <v>0</v>
      </c>
      <c r="J215" s="21">
        <f>I215 * (0.01000000 / 12)</f>
        <v/>
      </c>
      <c r="K215" s="21">
        <f>(I215 - J215) * (0.00664805 / 12) * 1.0</f>
        <v/>
      </c>
      <c r="L215" s="21" t="n">
        <v>0</v>
      </c>
      <c r="M215" s="25">
        <f>(I215 - J215) - K215 + L215</f>
        <v/>
      </c>
      <c r="N215" s="25">
        <f>M215 * (0.00400000 / 12) * 1.0</f>
        <v/>
      </c>
      <c r="O215" s="25">
        <f>M215 * (0.00500000 / 12) * 1.0</f>
        <v/>
      </c>
      <c r="P215" s="25">
        <f>Y215</f>
        <v/>
      </c>
      <c r="Q215" s="25">
        <f>MAX(0, M215 - N215 - O215 - P215)</f>
        <v/>
      </c>
      <c r="R215" s="25" t="n">
        <v>0</v>
      </c>
      <c r="S215" s="25" t="n">
        <v>0</v>
      </c>
      <c r="T215" s="25" t="n">
        <v>0</v>
      </c>
      <c r="U215" s="25" t="n">
        <v>0</v>
      </c>
      <c r="V215" s="25" t="n">
        <v>0</v>
      </c>
      <c r="W215" s="25" t="n">
        <v>0</v>
      </c>
      <c r="X215" s="25" t="n">
        <v>0</v>
      </c>
      <c r="Y215" s="25">
        <f>X215 / 12</f>
        <v/>
      </c>
      <c r="Z215" s="17" t="n">
        <v>-33</v>
      </c>
      <c r="AA215" s="25">
        <f>I215</f>
        <v/>
      </c>
      <c r="AB215" s="25">
        <f>Q215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 t="n">
        <v>0</v>
      </c>
      <c r="J216" s="19">
        <f>I216 * (0.01000000 / 12)</f>
        <v/>
      </c>
      <c r="K216" s="19">
        <f>(I216 - J216) * (0.00664805 / 12) * 1.0</f>
        <v/>
      </c>
      <c r="L216" s="19" t="n">
        <v>0</v>
      </c>
      <c r="M216" s="24">
        <f>(I216 - J216) - K216 + L216</f>
        <v/>
      </c>
      <c r="N216" s="24">
        <f>M216 * (0.00400000 / 12) * 1.0</f>
        <v/>
      </c>
      <c r="O216" s="24">
        <f>M216 * (0.00500000 / 12) * 1.0</f>
        <v/>
      </c>
      <c r="P216" s="24">
        <f>Y216</f>
        <v/>
      </c>
      <c r="Q216" s="24">
        <f>MAX(0, M216 - N216 - O216 - P216)</f>
        <v/>
      </c>
      <c r="R216" s="24" t="n">
        <v>0</v>
      </c>
      <c r="S216" s="24" t="n">
        <v>0</v>
      </c>
      <c r="T216" s="24" t="n">
        <v>0</v>
      </c>
      <c r="U216" s="24" t="n">
        <v>0</v>
      </c>
      <c r="V216" s="24" t="n">
        <v>0</v>
      </c>
      <c r="W216" s="24" t="n">
        <v>0</v>
      </c>
      <c r="X216" s="24" t="n">
        <v>0</v>
      </c>
      <c r="Y216" s="24">
        <f>X216 / 12</f>
        <v/>
      </c>
      <c r="Z216" s="15" t="n">
        <v>-34</v>
      </c>
      <c r="AA216" s="24">
        <f>I216</f>
        <v/>
      </c>
      <c r="AB216" s="24">
        <f>Q216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 t="n">
        <v>0</v>
      </c>
      <c r="J217" s="21">
        <f>I217 * (0.01000000 / 12)</f>
        <v/>
      </c>
      <c r="K217" s="21">
        <f>(I217 - J217) * (0.00664805 / 12) * 1.0</f>
        <v/>
      </c>
      <c r="L217" s="21" t="n">
        <v>0</v>
      </c>
      <c r="M217" s="25">
        <f>(I217 - J217) - K217 + L217</f>
        <v/>
      </c>
      <c r="N217" s="25">
        <f>M217 * (0.00400000 / 12) * 1.0</f>
        <v/>
      </c>
      <c r="O217" s="25">
        <f>M217 * (0.00500000 / 12) * 1.0</f>
        <v/>
      </c>
      <c r="P217" s="25">
        <f>Y217</f>
        <v/>
      </c>
      <c r="Q217" s="25">
        <f>MAX(0, M217 - N217 - O217 - P217)</f>
        <v/>
      </c>
      <c r="R217" s="25" t="n">
        <v>0</v>
      </c>
      <c r="S217" s="25" t="n">
        <v>0</v>
      </c>
      <c r="T217" s="25" t="n">
        <v>0</v>
      </c>
      <c r="U217" s="25" t="n">
        <v>0</v>
      </c>
      <c r="V217" s="25" t="n">
        <v>0</v>
      </c>
      <c r="W217" s="25" t="n">
        <v>0</v>
      </c>
      <c r="X217" s="25" t="n">
        <v>0</v>
      </c>
      <c r="Y217" s="25">
        <f>X217 / 12</f>
        <v/>
      </c>
      <c r="Z217" s="17" t="n">
        <v>-35</v>
      </c>
      <c r="AA217" s="25">
        <f>I217</f>
        <v/>
      </c>
      <c r="AB217" s="25">
        <f>Q217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 t="n">
        <v>0</v>
      </c>
      <c r="J218" s="19">
        <f>I218 * (0.01000000 / 12)</f>
        <v/>
      </c>
      <c r="K218" s="19">
        <f>(I218 - J218) * (0.00664805 / 12) * 1.0</f>
        <v/>
      </c>
      <c r="L218" s="19" t="n">
        <v>0</v>
      </c>
      <c r="M218" s="24">
        <f>(I218 - J218) - K218 + L218</f>
        <v/>
      </c>
      <c r="N218" s="24">
        <f>M218 * (0.00400000 / 12) * 1.0</f>
        <v/>
      </c>
      <c r="O218" s="24">
        <f>M218 * (0.00500000 / 12) * 1.0</f>
        <v/>
      </c>
      <c r="P218" s="24">
        <f>Y218</f>
        <v/>
      </c>
      <c r="Q218" s="24">
        <f>MAX(0, M218 - N218 - O218 - P218)</f>
        <v/>
      </c>
      <c r="R218" s="24" t="n">
        <v>0</v>
      </c>
      <c r="S218" s="24" t="n">
        <v>0</v>
      </c>
      <c r="T218" s="24" t="n">
        <v>0</v>
      </c>
      <c r="U218" s="24" t="n">
        <v>0</v>
      </c>
      <c r="V218" s="24" t="n">
        <v>0</v>
      </c>
      <c r="W218" s="24" t="n">
        <v>0</v>
      </c>
      <c r="X218" s="24" t="n">
        <v>0</v>
      </c>
      <c r="Y218" s="24">
        <f>X218 / 12</f>
        <v/>
      </c>
      <c r="Z218" s="15" t="n">
        <v>-36</v>
      </c>
      <c r="AA218" s="24">
        <f>I218</f>
        <v/>
      </c>
      <c r="AB218" s="24">
        <f>Q218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 t="n">
        <v>0</v>
      </c>
      <c r="J219" s="21">
        <f>I219 * (0.01000000 / 12)</f>
        <v/>
      </c>
      <c r="K219" s="21">
        <f>(I219 - J219) * (0.00664805 / 12) * 1.0</f>
        <v/>
      </c>
      <c r="L219" s="21" t="n">
        <v>0</v>
      </c>
      <c r="M219" s="25">
        <f>(I219 - J219) - K219 + L219</f>
        <v/>
      </c>
      <c r="N219" s="25">
        <f>M219 * (0.00400000 / 12) * 1.0</f>
        <v/>
      </c>
      <c r="O219" s="25">
        <f>M219 * (0.00500000 / 12) * 1.0</f>
        <v/>
      </c>
      <c r="P219" s="25">
        <f>Y219</f>
        <v/>
      </c>
      <c r="Q219" s="25">
        <f>MAX(0, M219 - N219 - O219 - P219)</f>
        <v/>
      </c>
      <c r="R219" s="25" t="n">
        <v>0</v>
      </c>
      <c r="S219" s="25" t="n">
        <v>0</v>
      </c>
      <c r="T219" s="25" t="n">
        <v>0</v>
      </c>
      <c r="U219" s="25" t="n">
        <v>0</v>
      </c>
      <c r="V219" s="25" t="n">
        <v>0</v>
      </c>
      <c r="W219" s="25" t="n">
        <v>0</v>
      </c>
      <c r="X219" s="25" t="n">
        <v>0</v>
      </c>
      <c r="Y219" s="25">
        <f>X219 / 12</f>
        <v/>
      </c>
      <c r="Z219" s="17" t="n">
        <v>-37</v>
      </c>
      <c r="AA219" s="25">
        <f>I219</f>
        <v/>
      </c>
      <c r="AB219" s="25">
        <f>Q219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 t="n">
        <v>0</v>
      </c>
      <c r="J220" s="19">
        <f>I220 * (0.01000000 / 12)</f>
        <v/>
      </c>
      <c r="K220" s="19">
        <f>(I220 - J220) * (0.00664805 / 12) * 1.0</f>
        <v/>
      </c>
      <c r="L220" s="19" t="n">
        <v>0</v>
      </c>
      <c r="M220" s="24">
        <f>(I220 - J220) - K220 + L220</f>
        <v/>
      </c>
      <c r="N220" s="24">
        <f>M220 * (0.00400000 / 12) * 1.0</f>
        <v/>
      </c>
      <c r="O220" s="24">
        <f>M220 * (0.00500000 / 12) * 1.0</f>
        <v/>
      </c>
      <c r="P220" s="24">
        <f>Y220</f>
        <v/>
      </c>
      <c r="Q220" s="24">
        <f>MAX(0, M220 - N220 - O220 - P220)</f>
        <v/>
      </c>
      <c r="R220" s="24" t="n">
        <v>0</v>
      </c>
      <c r="S220" s="24" t="n">
        <v>0</v>
      </c>
      <c r="T220" s="24" t="n">
        <v>0</v>
      </c>
      <c r="U220" s="24" t="n">
        <v>0</v>
      </c>
      <c r="V220" s="24" t="n">
        <v>0</v>
      </c>
      <c r="W220" s="24" t="n">
        <v>0</v>
      </c>
      <c r="X220" s="24" t="n">
        <v>0</v>
      </c>
      <c r="Y220" s="24">
        <f>X220 / 12</f>
        <v/>
      </c>
      <c r="Z220" s="15" t="n">
        <v>-38</v>
      </c>
      <c r="AA220" s="24">
        <f>I220</f>
        <v/>
      </c>
      <c r="AB220" s="24">
        <f>Q220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 t="n">
        <v>0</v>
      </c>
      <c r="J221" s="21">
        <f>I221 * (0.01000000 / 12)</f>
        <v/>
      </c>
      <c r="K221" s="21">
        <f>(I221 - J221) * (0.00664805 / 12) * 1.0</f>
        <v/>
      </c>
      <c r="L221" s="21" t="n">
        <v>0</v>
      </c>
      <c r="M221" s="25">
        <f>(I221 - J221) - K221 + L221</f>
        <v/>
      </c>
      <c r="N221" s="25">
        <f>M221 * (0.00400000 / 12) * 1.0</f>
        <v/>
      </c>
      <c r="O221" s="25">
        <f>M221 * (0.00500000 / 12) * 1.0</f>
        <v/>
      </c>
      <c r="P221" s="25">
        <f>Y221</f>
        <v/>
      </c>
      <c r="Q221" s="25">
        <f>MAX(0, M221 - N221 - O221 - P221)</f>
        <v/>
      </c>
      <c r="R221" s="25" t="n">
        <v>0</v>
      </c>
      <c r="S221" s="25" t="n">
        <v>0</v>
      </c>
      <c r="T221" s="25" t="n">
        <v>0</v>
      </c>
      <c r="U221" s="25" t="n">
        <v>0</v>
      </c>
      <c r="V221" s="25" t="n">
        <v>0</v>
      </c>
      <c r="W221" s="25" t="n">
        <v>0</v>
      </c>
      <c r="X221" s="25" t="n">
        <v>0</v>
      </c>
      <c r="Y221" s="25">
        <f>X221 / 12</f>
        <v/>
      </c>
      <c r="Z221" s="17" t="n">
        <v>-39</v>
      </c>
      <c r="AA221" s="25">
        <f>I221</f>
        <v/>
      </c>
      <c r="AB221" s="25">
        <f>Q221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 t="n">
        <v>0</v>
      </c>
      <c r="J222" s="19">
        <f>I222 * (0.01000000 / 12)</f>
        <v/>
      </c>
      <c r="K222" s="19">
        <f>(I222 - J222) * (0.00664805 / 12) * 1.0</f>
        <v/>
      </c>
      <c r="L222" s="19" t="n">
        <v>0</v>
      </c>
      <c r="M222" s="24">
        <f>(I222 - J222) - K222 + L222</f>
        <v/>
      </c>
      <c r="N222" s="24">
        <f>M222 * (0.00400000 / 12) * 1.0</f>
        <v/>
      </c>
      <c r="O222" s="24">
        <f>M222 * (0.00500000 / 12) * 1.0</f>
        <v/>
      </c>
      <c r="P222" s="24">
        <f>Y222</f>
        <v/>
      </c>
      <c r="Q222" s="24">
        <f>MAX(0, M222 - N222 - O222 - P222)</f>
        <v/>
      </c>
      <c r="R222" s="24" t="n">
        <v>0</v>
      </c>
      <c r="S222" s="24" t="n">
        <v>0</v>
      </c>
      <c r="T222" s="24" t="n">
        <v>0</v>
      </c>
      <c r="U222" s="24" t="n">
        <v>0</v>
      </c>
      <c r="V222" s="24" t="n">
        <v>0</v>
      </c>
      <c r="W222" s="24" t="n">
        <v>0</v>
      </c>
      <c r="X222" s="24" t="n">
        <v>0</v>
      </c>
      <c r="Y222" s="24">
        <f>X222 / 12</f>
        <v/>
      </c>
      <c r="Z222" s="15" t="n">
        <v>-40</v>
      </c>
      <c r="AA222" s="24">
        <f>I222</f>
        <v/>
      </c>
      <c r="AB222" s="24">
        <f>Q222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 t="n">
        <v>0</v>
      </c>
      <c r="J223" s="21">
        <f>I223 * (0.01000000 / 12)</f>
        <v/>
      </c>
      <c r="K223" s="21">
        <f>(I223 - J223) * (0.00664805 / 12) * 1.0</f>
        <v/>
      </c>
      <c r="L223" s="21" t="n">
        <v>0</v>
      </c>
      <c r="M223" s="25">
        <f>(I223 - J223) - K223 + L223</f>
        <v/>
      </c>
      <c r="N223" s="25">
        <f>M223 * (0.00400000 / 12) * 1.0</f>
        <v/>
      </c>
      <c r="O223" s="25">
        <f>M223 * (0.00500000 / 12) * 1.0</f>
        <v/>
      </c>
      <c r="P223" s="25">
        <f>Y223</f>
        <v/>
      </c>
      <c r="Q223" s="25">
        <f>MAX(0, M223 - N223 - O223 - P223)</f>
        <v/>
      </c>
      <c r="R223" s="25" t="n">
        <v>0</v>
      </c>
      <c r="S223" s="25" t="n">
        <v>0</v>
      </c>
      <c r="T223" s="25" t="n">
        <v>0</v>
      </c>
      <c r="U223" s="25" t="n">
        <v>0</v>
      </c>
      <c r="V223" s="25" t="n">
        <v>0</v>
      </c>
      <c r="W223" s="25" t="n">
        <v>0</v>
      </c>
      <c r="X223" s="25" t="n">
        <v>0</v>
      </c>
      <c r="Y223" s="25">
        <f>X223 / 12</f>
        <v/>
      </c>
      <c r="Z223" s="17" t="n">
        <v>-41</v>
      </c>
      <c r="AA223" s="25">
        <f>I223</f>
        <v/>
      </c>
      <c r="AB223" s="25">
        <f>Q223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 t="n">
        <v>0</v>
      </c>
      <c r="J224" s="19">
        <f>I224 * (0.01000000 / 12)</f>
        <v/>
      </c>
      <c r="K224" s="19">
        <f>(I224 - J224) * (0.00664805 / 12) * 1.0</f>
        <v/>
      </c>
      <c r="L224" s="19" t="n">
        <v>0</v>
      </c>
      <c r="M224" s="24">
        <f>(I224 - J224) - K224 + L224</f>
        <v/>
      </c>
      <c r="N224" s="24">
        <f>M224 * (0.00400000 / 12) * 1.0</f>
        <v/>
      </c>
      <c r="O224" s="24">
        <f>M224 * (0.00500000 / 12) * 1.0</f>
        <v/>
      </c>
      <c r="P224" s="24">
        <f>Y224</f>
        <v/>
      </c>
      <c r="Q224" s="24">
        <f>MAX(0, M224 - N224 - O224 - P224)</f>
        <v/>
      </c>
      <c r="R224" s="24" t="n">
        <v>0</v>
      </c>
      <c r="S224" s="24" t="n">
        <v>0</v>
      </c>
      <c r="T224" s="24" t="n">
        <v>0</v>
      </c>
      <c r="U224" s="24" t="n">
        <v>0</v>
      </c>
      <c r="V224" s="24" t="n">
        <v>0</v>
      </c>
      <c r="W224" s="24" t="n">
        <v>0</v>
      </c>
      <c r="X224" s="24" t="n">
        <v>0</v>
      </c>
      <c r="Y224" s="24">
        <f>X224 / 12</f>
        <v/>
      </c>
      <c r="Z224" s="15" t="n">
        <v>-42</v>
      </c>
      <c r="AA224" s="24">
        <f>I224</f>
        <v/>
      </c>
      <c r="AB224" s="24">
        <f>Q224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 t="n">
        <v>0</v>
      </c>
      <c r="J225" s="21">
        <f>I225 * (0.01000000 / 12)</f>
        <v/>
      </c>
      <c r="K225" s="21">
        <f>(I225 - J225) * (0.00664805 / 12) * 1.0</f>
        <v/>
      </c>
      <c r="L225" s="21" t="n">
        <v>0</v>
      </c>
      <c r="M225" s="25">
        <f>(I225 - J225) - K225 + L225</f>
        <v/>
      </c>
      <c r="N225" s="25">
        <f>M225 * (0.00400000 / 12) * 1.0</f>
        <v/>
      </c>
      <c r="O225" s="25">
        <f>M225 * (0.00500000 / 12) * 1.0</f>
        <v/>
      </c>
      <c r="P225" s="25">
        <f>Y225</f>
        <v/>
      </c>
      <c r="Q225" s="25">
        <f>MAX(0, M225 - N225 - O225 - P225)</f>
        <v/>
      </c>
      <c r="R225" s="25" t="n">
        <v>0</v>
      </c>
      <c r="S225" s="25" t="n">
        <v>0</v>
      </c>
      <c r="T225" s="25" t="n">
        <v>0</v>
      </c>
      <c r="U225" s="25" t="n">
        <v>0</v>
      </c>
      <c r="V225" s="25" t="n">
        <v>0</v>
      </c>
      <c r="W225" s="25" t="n">
        <v>0</v>
      </c>
      <c r="X225" s="25" t="n">
        <v>0</v>
      </c>
      <c r="Y225" s="25">
        <f>X225 / 12</f>
        <v/>
      </c>
      <c r="Z225" s="17" t="n">
        <v>-43</v>
      </c>
      <c r="AA225" s="25">
        <f>I225</f>
        <v/>
      </c>
      <c r="AB225" s="25">
        <f>Q225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 t="n">
        <v>0</v>
      </c>
      <c r="J226" s="19">
        <f>I226 * (0.01000000 / 12)</f>
        <v/>
      </c>
      <c r="K226" s="19">
        <f>(I226 - J226) * (0.00664805 / 12) * 1.0</f>
        <v/>
      </c>
      <c r="L226" s="19" t="n">
        <v>0</v>
      </c>
      <c r="M226" s="24">
        <f>(I226 - J226) - K226 + L226</f>
        <v/>
      </c>
      <c r="N226" s="24">
        <f>M226 * (0.00400000 / 12) * 1.0</f>
        <v/>
      </c>
      <c r="O226" s="24">
        <f>M226 * (0.00500000 / 12) * 1.0</f>
        <v/>
      </c>
      <c r="P226" s="24">
        <f>Y226</f>
        <v/>
      </c>
      <c r="Q226" s="24">
        <f>MAX(0, M226 - N226 - O226 - P226)</f>
        <v/>
      </c>
      <c r="R226" s="24" t="n">
        <v>0</v>
      </c>
      <c r="S226" s="24" t="n">
        <v>0</v>
      </c>
      <c r="T226" s="24" t="n">
        <v>0</v>
      </c>
      <c r="U226" s="24" t="n">
        <v>0</v>
      </c>
      <c r="V226" s="24" t="n">
        <v>0</v>
      </c>
      <c r="W226" s="24" t="n">
        <v>0</v>
      </c>
      <c r="X226" s="24" t="n">
        <v>0</v>
      </c>
      <c r="Y226" s="24">
        <f>X226 / 12</f>
        <v/>
      </c>
      <c r="Z226" s="15" t="n">
        <v>-44</v>
      </c>
      <c r="AA226" s="24">
        <f>I226</f>
        <v/>
      </c>
      <c r="AB226" s="24">
        <f>Q226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 t="n">
        <v>0</v>
      </c>
      <c r="J227" s="21">
        <f>I227 * (0.01000000 / 12)</f>
        <v/>
      </c>
      <c r="K227" s="21">
        <f>(I227 - J227) * (0.00664805 / 12) * 1.0</f>
        <v/>
      </c>
      <c r="L227" s="21" t="n">
        <v>0</v>
      </c>
      <c r="M227" s="25">
        <f>(I227 - J227) - K227 + L227</f>
        <v/>
      </c>
      <c r="N227" s="25">
        <f>M227 * (0.00400000 / 12) * 1.0</f>
        <v/>
      </c>
      <c r="O227" s="25">
        <f>M227 * (0.00500000 / 12) * 1.0</f>
        <v/>
      </c>
      <c r="P227" s="25">
        <f>Y227</f>
        <v/>
      </c>
      <c r="Q227" s="25">
        <f>MAX(0, M227 - N227 - O227 - P227)</f>
        <v/>
      </c>
      <c r="R227" s="25" t="n">
        <v>0</v>
      </c>
      <c r="S227" s="25" t="n">
        <v>0</v>
      </c>
      <c r="T227" s="25" t="n">
        <v>0</v>
      </c>
      <c r="U227" s="25" t="n">
        <v>0</v>
      </c>
      <c r="V227" s="25" t="n">
        <v>0</v>
      </c>
      <c r="W227" s="25" t="n">
        <v>0</v>
      </c>
      <c r="X227" s="25" t="n">
        <v>0</v>
      </c>
      <c r="Y227" s="25">
        <f>X227 / 12</f>
        <v/>
      </c>
      <c r="Z227" s="17" t="n">
        <v>-45</v>
      </c>
      <c r="AA227" s="25">
        <f>I227</f>
        <v/>
      </c>
      <c r="AB227" s="25">
        <f>Q227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 t="n">
        <v>0</v>
      </c>
      <c r="J228" s="19">
        <f>I228 * (0.01000000 / 12)</f>
        <v/>
      </c>
      <c r="K228" s="19">
        <f>(I228 - J228) * (0.00664805 / 12) * 1.0</f>
        <v/>
      </c>
      <c r="L228" s="19" t="n">
        <v>0</v>
      </c>
      <c r="M228" s="24">
        <f>(I228 - J228) - K228 + L228</f>
        <v/>
      </c>
      <c r="N228" s="24">
        <f>M228 * (0.00400000 / 12) * 1.0</f>
        <v/>
      </c>
      <c r="O228" s="24">
        <f>M228 * (0.00500000 / 12) * 1.0</f>
        <v/>
      </c>
      <c r="P228" s="24">
        <f>Y228</f>
        <v/>
      </c>
      <c r="Q228" s="24">
        <f>MAX(0, M228 - N228 - O228 - P228)</f>
        <v/>
      </c>
      <c r="R228" s="24" t="n">
        <v>0</v>
      </c>
      <c r="S228" s="24" t="n">
        <v>0</v>
      </c>
      <c r="T228" s="24" t="n">
        <v>0</v>
      </c>
      <c r="U228" s="24" t="n">
        <v>0</v>
      </c>
      <c r="V228" s="24" t="n">
        <v>0</v>
      </c>
      <c r="W228" s="24" t="n">
        <v>0</v>
      </c>
      <c r="X228" s="24" t="n">
        <v>0</v>
      </c>
      <c r="Y228" s="24">
        <f>X228 / 12</f>
        <v/>
      </c>
      <c r="Z228" s="15" t="n">
        <v>-46</v>
      </c>
      <c r="AA228" s="24">
        <f>I228</f>
        <v/>
      </c>
      <c r="AB228" s="24">
        <f>Q228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 t="n">
        <v>0</v>
      </c>
      <c r="J229" s="21">
        <f>I229 * (0.01000000 / 12)</f>
        <v/>
      </c>
      <c r="K229" s="21">
        <f>(I229 - J229) * (0.00664805 / 12) * 1.0</f>
        <v/>
      </c>
      <c r="L229" s="21" t="n">
        <v>0</v>
      </c>
      <c r="M229" s="25">
        <f>(I229 - J229) - K229 + L229</f>
        <v/>
      </c>
      <c r="N229" s="25">
        <f>M229 * (0.00400000 / 12) * 1.0</f>
        <v/>
      </c>
      <c r="O229" s="25">
        <f>M229 * (0.00500000 / 12) * 1.0</f>
        <v/>
      </c>
      <c r="P229" s="25">
        <f>Y229</f>
        <v/>
      </c>
      <c r="Q229" s="25">
        <f>MAX(0, M229 - N229 - O229 - P229)</f>
        <v/>
      </c>
      <c r="R229" s="25" t="n">
        <v>0</v>
      </c>
      <c r="S229" s="25" t="n">
        <v>0</v>
      </c>
      <c r="T229" s="25" t="n">
        <v>0</v>
      </c>
      <c r="U229" s="25" t="n">
        <v>0</v>
      </c>
      <c r="V229" s="25" t="n">
        <v>0</v>
      </c>
      <c r="W229" s="25" t="n">
        <v>0</v>
      </c>
      <c r="X229" s="25" t="n">
        <v>0</v>
      </c>
      <c r="Y229" s="25">
        <f>X229 / 12</f>
        <v/>
      </c>
      <c r="Z229" s="17" t="n">
        <v>-47</v>
      </c>
      <c r="AA229" s="25">
        <f>I229</f>
        <v/>
      </c>
      <c r="AB229" s="25">
        <f>Q229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 t="n">
        <v>0</v>
      </c>
      <c r="J230" s="19">
        <f>I230 * (0.01000000 / 12)</f>
        <v/>
      </c>
      <c r="K230" s="19">
        <f>(I230 - J230) * (0.00664805 / 12) * 1.0</f>
        <v/>
      </c>
      <c r="L230" s="19" t="n">
        <v>0</v>
      </c>
      <c r="M230" s="24">
        <f>(I230 - J230) - K230 + L230</f>
        <v/>
      </c>
      <c r="N230" s="24">
        <f>M230 * (0.00400000 / 12) * 1.0</f>
        <v/>
      </c>
      <c r="O230" s="24">
        <f>M230 * (0.00500000 / 12) * 1.0</f>
        <v/>
      </c>
      <c r="P230" s="24">
        <f>Y230</f>
        <v/>
      </c>
      <c r="Q230" s="24">
        <f>MAX(0, M230 - N230 - O230 - P230)</f>
        <v/>
      </c>
      <c r="R230" s="24" t="n">
        <v>0</v>
      </c>
      <c r="S230" s="24" t="n">
        <v>0</v>
      </c>
      <c r="T230" s="24" t="n">
        <v>0</v>
      </c>
      <c r="U230" s="24" t="n">
        <v>0</v>
      </c>
      <c r="V230" s="24" t="n">
        <v>0</v>
      </c>
      <c r="W230" s="24" t="n">
        <v>0</v>
      </c>
      <c r="X230" s="24" t="n">
        <v>0</v>
      </c>
      <c r="Y230" s="24">
        <f>X230 / 12</f>
        <v/>
      </c>
      <c r="Z230" s="15" t="n">
        <v>-48</v>
      </c>
      <c r="AA230" s="24">
        <f>I230</f>
        <v/>
      </c>
      <c r="AB230" s="24">
        <f>Q230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 t="n">
        <v>0</v>
      </c>
      <c r="J231" s="21">
        <f>I231 * (0.01000000 / 12)</f>
        <v/>
      </c>
      <c r="K231" s="21">
        <f>(I231 - J231) * (0.00664805 / 12) * 1.0</f>
        <v/>
      </c>
      <c r="L231" s="21" t="n">
        <v>0</v>
      </c>
      <c r="M231" s="25">
        <f>(I231 - J231) - K231 + L231</f>
        <v/>
      </c>
      <c r="N231" s="25">
        <f>M231 * (0.00400000 / 12) * 1.0</f>
        <v/>
      </c>
      <c r="O231" s="25">
        <f>M231 * (0.00500000 / 12) * 1.0</f>
        <v/>
      </c>
      <c r="P231" s="25">
        <f>Y231</f>
        <v/>
      </c>
      <c r="Q231" s="25">
        <f>MAX(0, M231 - N231 - O231 - P231)</f>
        <v/>
      </c>
      <c r="R231" s="25" t="n">
        <v>0</v>
      </c>
      <c r="S231" s="25" t="n">
        <v>0</v>
      </c>
      <c r="T231" s="25" t="n">
        <v>0</v>
      </c>
      <c r="U231" s="25" t="n">
        <v>0</v>
      </c>
      <c r="V231" s="25" t="n">
        <v>0</v>
      </c>
      <c r="W231" s="25" t="n">
        <v>0</v>
      </c>
      <c r="X231" s="25" t="n">
        <v>0</v>
      </c>
      <c r="Y231" s="25">
        <f>X231 / 12</f>
        <v/>
      </c>
      <c r="Z231" s="17" t="n">
        <v>-49</v>
      </c>
      <c r="AA231" s="25">
        <f>I231</f>
        <v/>
      </c>
      <c r="AB231" s="25">
        <f>Q231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 t="n">
        <v>0</v>
      </c>
      <c r="J232" s="19">
        <f>I232 * (0.01000000 / 12)</f>
        <v/>
      </c>
      <c r="K232" s="19">
        <f>(I232 - J232) * (0.00664805 / 12) * 1.0</f>
        <v/>
      </c>
      <c r="L232" s="19" t="n">
        <v>0</v>
      </c>
      <c r="M232" s="24">
        <f>(I232 - J232) - K232 + L232</f>
        <v/>
      </c>
      <c r="N232" s="24">
        <f>M232 * (0.00400000 / 12) * 1.0</f>
        <v/>
      </c>
      <c r="O232" s="24">
        <f>M232 * (0.00500000 / 12) * 1.0</f>
        <v/>
      </c>
      <c r="P232" s="24">
        <f>Y232</f>
        <v/>
      </c>
      <c r="Q232" s="24">
        <f>MAX(0, M232 - N232 - O232 - P232)</f>
        <v/>
      </c>
      <c r="R232" s="24" t="n">
        <v>0</v>
      </c>
      <c r="S232" s="24" t="n">
        <v>0</v>
      </c>
      <c r="T232" s="24" t="n">
        <v>0</v>
      </c>
      <c r="U232" s="24" t="n">
        <v>0</v>
      </c>
      <c r="V232" s="24" t="n">
        <v>0</v>
      </c>
      <c r="W232" s="24" t="n">
        <v>0</v>
      </c>
      <c r="X232" s="24" t="n">
        <v>0</v>
      </c>
      <c r="Y232" s="24">
        <f>X232 / 12</f>
        <v/>
      </c>
      <c r="Z232" s="15" t="n">
        <v>-50</v>
      </c>
      <c r="AA232" s="24">
        <f>I232</f>
        <v/>
      </c>
      <c r="AB232" s="24">
        <f>Q232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 t="n">
        <v>0</v>
      </c>
      <c r="J233" s="21">
        <f>I233 * (0.01000000 / 12)</f>
        <v/>
      </c>
      <c r="K233" s="21">
        <f>(I233 - J233) * (0.00664805 / 12) * 1.0</f>
        <v/>
      </c>
      <c r="L233" s="21" t="n">
        <v>0</v>
      </c>
      <c r="M233" s="25">
        <f>(I233 - J233) - K233 + L233</f>
        <v/>
      </c>
      <c r="N233" s="25">
        <f>M233 * (0.00400000 / 12) * 1.0</f>
        <v/>
      </c>
      <c r="O233" s="25">
        <f>M233 * (0.00500000 / 12) * 1.0</f>
        <v/>
      </c>
      <c r="P233" s="25">
        <f>Y233</f>
        <v/>
      </c>
      <c r="Q233" s="25">
        <f>MAX(0, M233 - N233 - O233 - P233)</f>
        <v/>
      </c>
      <c r="R233" s="25" t="n">
        <v>0</v>
      </c>
      <c r="S233" s="25" t="n">
        <v>0</v>
      </c>
      <c r="T233" s="25" t="n">
        <v>0</v>
      </c>
      <c r="U233" s="25" t="n">
        <v>0</v>
      </c>
      <c r="V233" s="25" t="n">
        <v>0</v>
      </c>
      <c r="W233" s="25" t="n">
        <v>0</v>
      </c>
      <c r="X233" s="25" t="n">
        <v>0</v>
      </c>
      <c r="Y233" s="25">
        <f>X233 / 12</f>
        <v/>
      </c>
      <c r="Z233" s="17" t="n">
        <v>-51</v>
      </c>
      <c r="AA233" s="25">
        <f>I233</f>
        <v/>
      </c>
      <c r="AB233" s="25">
        <f>Q233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 t="n">
        <v>0</v>
      </c>
      <c r="J234" s="19">
        <f>I234 * (0.01000000 / 12)</f>
        <v/>
      </c>
      <c r="K234" s="19">
        <f>(I234 - J234) * (0.00664805 / 12) * 1.0</f>
        <v/>
      </c>
      <c r="L234" s="19" t="n">
        <v>0</v>
      </c>
      <c r="M234" s="24">
        <f>(I234 - J234) - K234 + L234</f>
        <v/>
      </c>
      <c r="N234" s="24">
        <f>M234 * (0.00400000 / 12) * 1.0</f>
        <v/>
      </c>
      <c r="O234" s="24">
        <f>M234 * (0.00500000 / 12) * 1.0</f>
        <v/>
      </c>
      <c r="P234" s="24">
        <f>Y234</f>
        <v/>
      </c>
      <c r="Q234" s="24">
        <f>MAX(0, M234 - N234 - O234 - P234)</f>
        <v/>
      </c>
      <c r="R234" s="24" t="n">
        <v>0</v>
      </c>
      <c r="S234" s="24" t="n">
        <v>0</v>
      </c>
      <c r="T234" s="24" t="n">
        <v>0</v>
      </c>
      <c r="U234" s="24" t="n">
        <v>0</v>
      </c>
      <c r="V234" s="24" t="n">
        <v>0</v>
      </c>
      <c r="W234" s="24" t="n">
        <v>0</v>
      </c>
      <c r="X234" s="24" t="n">
        <v>0</v>
      </c>
      <c r="Y234" s="24">
        <f>X234 / 12</f>
        <v/>
      </c>
      <c r="Z234" s="15" t="n">
        <v>-52</v>
      </c>
      <c r="AA234" s="24">
        <f>I234</f>
        <v/>
      </c>
      <c r="AB234" s="24">
        <f>Q234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 t="n">
        <v>0</v>
      </c>
      <c r="J235" s="21">
        <f>I235 * (0.01000000 / 12)</f>
        <v/>
      </c>
      <c r="K235" s="21">
        <f>(I235 - J235) * (0.00664805 / 12) * 1.0</f>
        <v/>
      </c>
      <c r="L235" s="21" t="n">
        <v>0</v>
      </c>
      <c r="M235" s="25">
        <f>(I235 - J235) - K235 + L235</f>
        <v/>
      </c>
      <c r="N235" s="25">
        <f>M235 * (0.00400000 / 12) * 1.0</f>
        <v/>
      </c>
      <c r="O235" s="25">
        <f>M235 * (0.00500000 / 12) * 1.0</f>
        <v/>
      </c>
      <c r="P235" s="25">
        <f>Y235</f>
        <v/>
      </c>
      <c r="Q235" s="25">
        <f>MAX(0, M235 - N235 - O235 - P235)</f>
        <v/>
      </c>
      <c r="R235" s="25" t="n">
        <v>0</v>
      </c>
      <c r="S235" s="25" t="n">
        <v>0</v>
      </c>
      <c r="T235" s="25" t="n">
        <v>0</v>
      </c>
      <c r="U235" s="25" t="n">
        <v>0</v>
      </c>
      <c r="V235" s="25" t="n">
        <v>0</v>
      </c>
      <c r="W235" s="25" t="n">
        <v>0</v>
      </c>
      <c r="X235" s="25" t="n">
        <v>0</v>
      </c>
      <c r="Y235" s="25">
        <f>X235 / 12</f>
        <v/>
      </c>
      <c r="Z235" s="17" t="n">
        <v>-53</v>
      </c>
      <c r="AA235" s="25">
        <f>I235</f>
        <v/>
      </c>
      <c r="AB235" s="25">
        <f>Q235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 t="n">
        <v>0</v>
      </c>
      <c r="J236" s="19">
        <f>I236 * (0.01000000 / 12)</f>
        <v/>
      </c>
      <c r="K236" s="19">
        <f>(I236 - J236) * (0.00664805 / 12) * 1.0</f>
        <v/>
      </c>
      <c r="L236" s="19" t="n">
        <v>0</v>
      </c>
      <c r="M236" s="24">
        <f>(I236 - J236) - K236 + L236</f>
        <v/>
      </c>
      <c r="N236" s="24">
        <f>M236 * (0.00400000 / 12) * 1.0</f>
        <v/>
      </c>
      <c r="O236" s="24">
        <f>M236 * (0.00500000 / 12) * 1.0</f>
        <v/>
      </c>
      <c r="P236" s="24">
        <f>Y236</f>
        <v/>
      </c>
      <c r="Q236" s="24">
        <f>MAX(0, M236 - N236 - O236 - P236)</f>
        <v/>
      </c>
      <c r="R236" s="24" t="n">
        <v>0</v>
      </c>
      <c r="S236" s="24" t="n">
        <v>0</v>
      </c>
      <c r="T236" s="24" t="n">
        <v>0</v>
      </c>
      <c r="U236" s="24" t="n">
        <v>0</v>
      </c>
      <c r="V236" s="24" t="n">
        <v>0</v>
      </c>
      <c r="W236" s="24" t="n">
        <v>0</v>
      </c>
      <c r="X236" s="24" t="n">
        <v>0</v>
      </c>
      <c r="Y236" s="24">
        <f>X236 / 12</f>
        <v/>
      </c>
      <c r="Z236" s="15" t="n">
        <v>-54</v>
      </c>
      <c r="AA236" s="24">
        <f>I236</f>
        <v/>
      </c>
      <c r="AB236" s="24">
        <f>Q236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 t="n">
        <v>0</v>
      </c>
      <c r="J237" s="21">
        <f>I237 * (0.01000000 / 12)</f>
        <v/>
      </c>
      <c r="K237" s="21">
        <f>(I237 - J237) * (0.00664805 / 12) * 1.0</f>
        <v/>
      </c>
      <c r="L237" s="21" t="n">
        <v>0</v>
      </c>
      <c r="M237" s="25">
        <f>(I237 - J237) - K237 + L237</f>
        <v/>
      </c>
      <c r="N237" s="25">
        <f>M237 * (0.00400000 / 12) * 1.0</f>
        <v/>
      </c>
      <c r="O237" s="25">
        <f>M237 * (0.00500000 / 12) * 1.0</f>
        <v/>
      </c>
      <c r="P237" s="25">
        <f>Y237</f>
        <v/>
      </c>
      <c r="Q237" s="25">
        <f>MAX(0, M237 - N237 - O237 - P237)</f>
        <v/>
      </c>
      <c r="R237" s="25" t="n">
        <v>0</v>
      </c>
      <c r="S237" s="25" t="n">
        <v>0</v>
      </c>
      <c r="T237" s="25" t="n">
        <v>0</v>
      </c>
      <c r="U237" s="25" t="n">
        <v>0</v>
      </c>
      <c r="V237" s="25" t="n">
        <v>0</v>
      </c>
      <c r="W237" s="25" t="n">
        <v>0</v>
      </c>
      <c r="X237" s="25" t="n">
        <v>0</v>
      </c>
      <c r="Y237" s="25">
        <f>X237 / 12</f>
        <v/>
      </c>
      <c r="Z237" s="17" t="n">
        <v>-55</v>
      </c>
      <c r="AA237" s="25">
        <f>I237</f>
        <v/>
      </c>
      <c r="AB237" s="25">
        <f>Q237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 t="n">
        <v>0</v>
      </c>
      <c r="J238" s="19">
        <f>I238 * (0.01000000 / 12)</f>
        <v/>
      </c>
      <c r="K238" s="19">
        <f>(I238 - J238) * (0.00664805 / 12) * 1.0</f>
        <v/>
      </c>
      <c r="L238" s="19" t="n">
        <v>0</v>
      </c>
      <c r="M238" s="24">
        <f>(I238 - J238) - K238 + L238</f>
        <v/>
      </c>
      <c r="N238" s="24">
        <f>M238 * (0.00400000 / 12) * 1.0</f>
        <v/>
      </c>
      <c r="O238" s="24">
        <f>M238 * (0.00500000 / 12) * 1.0</f>
        <v/>
      </c>
      <c r="P238" s="24">
        <f>Y238</f>
        <v/>
      </c>
      <c r="Q238" s="24">
        <f>MAX(0, M238 - N238 - O238 - P238)</f>
        <v/>
      </c>
      <c r="R238" s="24" t="n">
        <v>0</v>
      </c>
      <c r="S238" s="24" t="n">
        <v>0</v>
      </c>
      <c r="T238" s="24" t="n">
        <v>0</v>
      </c>
      <c r="U238" s="24" t="n">
        <v>0</v>
      </c>
      <c r="V238" s="24" t="n">
        <v>0</v>
      </c>
      <c r="W238" s="24" t="n">
        <v>0</v>
      </c>
      <c r="X238" s="24" t="n">
        <v>0</v>
      </c>
      <c r="Y238" s="24">
        <f>X238 / 12</f>
        <v/>
      </c>
      <c r="Z238" s="15" t="n">
        <v>-56</v>
      </c>
      <c r="AA238" s="24">
        <f>I238</f>
        <v/>
      </c>
      <c r="AB238" s="24">
        <f>Q238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 t="n">
        <v>0</v>
      </c>
      <c r="J239" s="21">
        <f>I239 * (0.01000000 / 12)</f>
        <v/>
      </c>
      <c r="K239" s="21">
        <f>(I239 - J239) * (0.00664805 / 12) * 1.0</f>
        <v/>
      </c>
      <c r="L239" s="21" t="n">
        <v>0</v>
      </c>
      <c r="M239" s="25">
        <f>(I239 - J239) - K239 + L239</f>
        <v/>
      </c>
      <c r="N239" s="25">
        <f>M239 * (0.00400000 / 12) * 1.0</f>
        <v/>
      </c>
      <c r="O239" s="25">
        <f>M239 * (0.00500000 / 12) * 1.0</f>
        <v/>
      </c>
      <c r="P239" s="25">
        <f>Y239</f>
        <v/>
      </c>
      <c r="Q239" s="25">
        <f>MAX(0, M239 - N239 - O239 - P239)</f>
        <v/>
      </c>
      <c r="R239" s="25" t="n">
        <v>0</v>
      </c>
      <c r="S239" s="25" t="n">
        <v>0</v>
      </c>
      <c r="T239" s="25" t="n">
        <v>0</v>
      </c>
      <c r="U239" s="25" t="n">
        <v>0</v>
      </c>
      <c r="V239" s="25" t="n">
        <v>0</v>
      </c>
      <c r="W239" s="25" t="n">
        <v>0</v>
      </c>
      <c r="X239" s="25" t="n">
        <v>0</v>
      </c>
      <c r="Y239" s="25">
        <f>X239 / 12</f>
        <v/>
      </c>
      <c r="Z239" s="17" t="n">
        <v>-57</v>
      </c>
      <c r="AA239" s="25">
        <f>I239</f>
        <v/>
      </c>
      <c r="AB239" s="25">
        <f>Q239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 t="n">
        <v>0</v>
      </c>
      <c r="J240" s="19">
        <f>I240 * (0.01000000 / 12)</f>
        <v/>
      </c>
      <c r="K240" s="19">
        <f>(I240 - J240) * (0.00664805 / 12) * 1.0</f>
        <v/>
      </c>
      <c r="L240" s="19" t="n">
        <v>0</v>
      </c>
      <c r="M240" s="24">
        <f>(I240 - J240) - K240 + L240</f>
        <v/>
      </c>
      <c r="N240" s="24">
        <f>M240 * (0.00400000 / 12) * 1.0</f>
        <v/>
      </c>
      <c r="O240" s="24">
        <f>M240 * (0.00500000 / 12) * 1.0</f>
        <v/>
      </c>
      <c r="P240" s="24">
        <f>Y240</f>
        <v/>
      </c>
      <c r="Q240" s="24">
        <f>MAX(0, M240 - N240 - O240 - P240)</f>
        <v/>
      </c>
      <c r="R240" s="24" t="n">
        <v>0</v>
      </c>
      <c r="S240" s="24" t="n">
        <v>0</v>
      </c>
      <c r="T240" s="24" t="n">
        <v>0</v>
      </c>
      <c r="U240" s="24" t="n">
        <v>0</v>
      </c>
      <c r="V240" s="24" t="n">
        <v>0</v>
      </c>
      <c r="W240" s="24" t="n">
        <v>0</v>
      </c>
      <c r="X240" s="24" t="n">
        <v>0</v>
      </c>
      <c r="Y240" s="24">
        <f>X240 / 12</f>
        <v/>
      </c>
      <c r="Z240" s="15" t="n">
        <v>-58</v>
      </c>
      <c r="AA240" s="24">
        <f>I240</f>
        <v/>
      </c>
      <c r="AB240" s="24">
        <f>Q240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 t="n">
        <v>0</v>
      </c>
      <c r="J241" s="21">
        <f>I241 * (0.01000000 / 12)</f>
        <v/>
      </c>
      <c r="K241" s="21">
        <f>(I241 - J241) * (0.00664805 / 12) * 1.0</f>
        <v/>
      </c>
      <c r="L241" s="21" t="n">
        <v>0</v>
      </c>
      <c r="M241" s="25">
        <f>(I241 - J241) - K241 + L241</f>
        <v/>
      </c>
      <c r="N241" s="25">
        <f>M241 * (0.00400000 / 12) * 1.0</f>
        <v/>
      </c>
      <c r="O241" s="25">
        <f>M241 * (0.00500000 / 12) * 1.0</f>
        <v/>
      </c>
      <c r="P241" s="25">
        <f>Y241</f>
        <v/>
      </c>
      <c r="Q241" s="25">
        <f>MAX(0, M241 - N241 - O241 - P241)</f>
        <v/>
      </c>
      <c r="R241" s="25" t="n">
        <v>0</v>
      </c>
      <c r="S241" s="25" t="n">
        <v>0</v>
      </c>
      <c r="T241" s="25" t="n">
        <v>0</v>
      </c>
      <c r="U241" s="25" t="n">
        <v>0</v>
      </c>
      <c r="V241" s="25" t="n">
        <v>0</v>
      </c>
      <c r="W241" s="25" t="n">
        <v>0</v>
      </c>
      <c r="X241" s="25" t="n">
        <v>0</v>
      </c>
      <c r="Y241" s="25">
        <f>X241 / 12</f>
        <v/>
      </c>
      <c r="Z241" s="17" t="n">
        <v>-59</v>
      </c>
      <c r="AA241" s="25">
        <f>I241</f>
        <v/>
      </c>
      <c r="AB241" s="25">
        <f>Q241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 t="n">
        <v>0</v>
      </c>
      <c r="J242" s="19">
        <f>I242 * (0.01000000 / 12)</f>
        <v/>
      </c>
      <c r="K242" s="19">
        <f>(I242 - J242) * (0.00664805 / 12) * 1.0</f>
        <v/>
      </c>
      <c r="L242" s="19" t="n">
        <v>0</v>
      </c>
      <c r="M242" s="24">
        <f>(I242 - J242) - K242 + L242</f>
        <v/>
      </c>
      <c r="N242" s="24">
        <f>M242 * (0.00400000 / 12) * 1.0</f>
        <v/>
      </c>
      <c r="O242" s="24">
        <f>M242 * (0.00500000 / 12) * 1.0</f>
        <v/>
      </c>
      <c r="P242" s="24">
        <f>Y242</f>
        <v/>
      </c>
      <c r="Q242" s="24">
        <f>MAX(0, M242 - N242 - O242 - P242)</f>
        <v/>
      </c>
      <c r="R242" s="24" t="n">
        <v>0</v>
      </c>
      <c r="S242" s="24" t="n">
        <v>0</v>
      </c>
      <c r="T242" s="24" t="n">
        <v>0</v>
      </c>
      <c r="U242" s="24" t="n">
        <v>0</v>
      </c>
      <c r="V242" s="24" t="n">
        <v>0</v>
      </c>
      <c r="W242" s="24" t="n">
        <v>0</v>
      </c>
      <c r="X242" s="24" t="n">
        <v>0</v>
      </c>
      <c r="Y242" s="24">
        <f>X242 / 12</f>
        <v/>
      </c>
      <c r="Z242" s="15" t="n">
        <v>-60</v>
      </c>
      <c r="AA242" s="24">
        <f>I242</f>
        <v/>
      </c>
      <c r="AB242" s="24">
        <f>Q242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 t="n">
        <v>0</v>
      </c>
      <c r="J243" s="21">
        <f>I243 * (0.01000000 / 12)</f>
        <v/>
      </c>
      <c r="K243" s="21">
        <f>(I243 - J243) * (0.00664805 / 12) * 1.0</f>
        <v/>
      </c>
      <c r="L243" s="21" t="n">
        <v>0</v>
      </c>
      <c r="M243" s="25">
        <f>(I243 - J243) - K243 + L243</f>
        <v/>
      </c>
      <c r="N243" s="25">
        <f>M243 * (0.00400000 / 12) * 1.0</f>
        <v/>
      </c>
      <c r="O243" s="25">
        <f>M243 * (0.00500000 / 12) * 1.0</f>
        <v/>
      </c>
      <c r="P243" s="25">
        <f>Y243</f>
        <v/>
      </c>
      <c r="Q243" s="25">
        <f>MAX(0, M243 - N243 - O243 - P243)</f>
        <v/>
      </c>
      <c r="R243" s="25" t="n">
        <v>0</v>
      </c>
      <c r="S243" s="25" t="n">
        <v>0</v>
      </c>
      <c r="T243" s="25" t="n">
        <v>0</v>
      </c>
      <c r="U243" s="25" t="n">
        <v>0</v>
      </c>
      <c r="V243" s="25" t="n">
        <v>0</v>
      </c>
      <c r="W243" s="25" t="n">
        <v>0</v>
      </c>
      <c r="X243" s="25" t="n">
        <v>0</v>
      </c>
      <c r="Y243" s="25">
        <f>X243 / 12</f>
        <v/>
      </c>
      <c r="Z243" s="17" t="n">
        <v>-61</v>
      </c>
      <c r="AA243" s="25">
        <f>I243</f>
        <v/>
      </c>
      <c r="AB243" s="25">
        <f>Q243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 t="n">
        <v>0</v>
      </c>
      <c r="J244" s="19">
        <f>I244 * (0.01000000 / 12)</f>
        <v/>
      </c>
      <c r="K244" s="19">
        <f>(I244 - J244) * (0.00664805 / 12) * 1.0</f>
        <v/>
      </c>
      <c r="L244" s="19" t="n">
        <v>0</v>
      </c>
      <c r="M244" s="24">
        <f>(I244 - J244) - K244 + L244</f>
        <v/>
      </c>
      <c r="N244" s="24">
        <f>M244 * (0.00400000 / 12) * 1.0</f>
        <v/>
      </c>
      <c r="O244" s="24">
        <f>M244 * (0.00500000 / 12) * 1.0</f>
        <v/>
      </c>
      <c r="P244" s="24">
        <f>Y244</f>
        <v/>
      </c>
      <c r="Q244" s="24">
        <f>MAX(0, M244 - N244 - O244 - P244)</f>
        <v/>
      </c>
      <c r="R244" s="24" t="n">
        <v>0</v>
      </c>
      <c r="S244" s="24" t="n">
        <v>0</v>
      </c>
      <c r="T244" s="24" t="n">
        <v>0</v>
      </c>
      <c r="U244" s="24" t="n">
        <v>0</v>
      </c>
      <c r="V244" s="24" t="n">
        <v>0</v>
      </c>
      <c r="W244" s="24" t="n">
        <v>0</v>
      </c>
      <c r="X244" s="24" t="n">
        <v>0</v>
      </c>
      <c r="Y244" s="24">
        <f>X244 / 12</f>
        <v/>
      </c>
      <c r="Z244" s="15" t="n">
        <v>-62</v>
      </c>
      <c r="AA244" s="24">
        <f>I244</f>
        <v/>
      </c>
      <c r="AB244" s="24">
        <f>Q244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 t="n">
        <v>0</v>
      </c>
      <c r="J245" s="21">
        <f>I245 * (0.01000000 / 12)</f>
        <v/>
      </c>
      <c r="K245" s="21">
        <f>(I245 - J245) * (0.00664805 / 12) * 1.0</f>
        <v/>
      </c>
      <c r="L245" s="21" t="n">
        <v>0</v>
      </c>
      <c r="M245" s="25">
        <f>(I245 - J245) - K245 + L245</f>
        <v/>
      </c>
      <c r="N245" s="25">
        <f>M245 * (0.00400000 / 12) * 1.0</f>
        <v/>
      </c>
      <c r="O245" s="25">
        <f>M245 * (0.00500000 / 12) * 1.0</f>
        <v/>
      </c>
      <c r="P245" s="25">
        <f>Y245</f>
        <v/>
      </c>
      <c r="Q245" s="25">
        <f>MAX(0, M245 - N245 - O245 - P245)</f>
        <v/>
      </c>
      <c r="R245" s="25" t="n">
        <v>0</v>
      </c>
      <c r="S245" s="25" t="n">
        <v>0</v>
      </c>
      <c r="T245" s="25" t="n">
        <v>0</v>
      </c>
      <c r="U245" s="25" t="n">
        <v>0</v>
      </c>
      <c r="V245" s="25" t="n">
        <v>0</v>
      </c>
      <c r="W245" s="25" t="n">
        <v>0</v>
      </c>
      <c r="X245" s="25" t="n">
        <v>0</v>
      </c>
      <c r="Y245" s="25">
        <f>X245 / 12</f>
        <v/>
      </c>
      <c r="Z245" s="17" t="n">
        <v>-63</v>
      </c>
      <c r="AA245" s="25">
        <f>I245</f>
        <v/>
      </c>
      <c r="AB245" s="25">
        <f>Q245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 t="n">
        <v>0</v>
      </c>
      <c r="J246" s="19">
        <f>I246 * (0.01000000 / 12)</f>
        <v/>
      </c>
      <c r="K246" s="19">
        <f>(I246 - J246) * (0.00664805 / 12) * 1.0</f>
        <v/>
      </c>
      <c r="L246" s="19" t="n">
        <v>0</v>
      </c>
      <c r="M246" s="24">
        <f>(I246 - J246) - K246 + L246</f>
        <v/>
      </c>
      <c r="N246" s="24">
        <f>M246 * (0.00400000 / 12) * 1.0</f>
        <v/>
      </c>
      <c r="O246" s="24">
        <f>M246 * (0.00500000 / 12) * 1.0</f>
        <v/>
      </c>
      <c r="P246" s="24">
        <f>Y246</f>
        <v/>
      </c>
      <c r="Q246" s="24">
        <f>MAX(0, M246 - N246 - O246 - P246)</f>
        <v/>
      </c>
      <c r="R246" s="24" t="n">
        <v>0</v>
      </c>
      <c r="S246" s="24" t="n">
        <v>0</v>
      </c>
      <c r="T246" s="24" t="n">
        <v>0</v>
      </c>
      <c r="U246" s="24" t="n">
        <v>0</v>
      </c>
      <c r="V246" s="24" t="n">
        <v>0</v>
      </c>
      <c r="W246" s="24" t="n">
        <v>0</v>
      </c>
      <c r="X246" s="24" t="n">
        <v>0</v>
      </c>
      <c r="Y246" s="24">
        <f>X246 / 12</f>
        <v/>
      </c>
      <c r="Z246" s="15" t="n">
        <v>-64</v>
      </c>
      <c r="AA246" s="24">
        <f>I246</f>
        <v/>
      </c>
      <c r="AB246" s="24">
        <f>Q246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 t="n">
        <v>0</v>
      </c>
      <c r="J247" s="21">
        <f>I247 * (0.01000000 / 12)</f>
        <v/>
      </c>
      <c r="K247" s="21">
        <f>(I247 - J247) * (0.00664805 / 12) * 1.0</f>
        <v/>
      </c>
      <c r="L247" s="21" t="n">
        <v>0</v>
      </c>
      <c r="M247" s="25">
        <f>(I247 - J247) - K247 + L247</f>
        <v/>
      </c>
      <c r="N247" s="25">
        <f>M247 * (0.00400000 / 12) * 1.0</f>
        <v/>
      </c>
      <c r="O247" s="25">
        <f>M247 * (0.00500000 / 12) * 1.0</f>
        <v/>
      </c>
      <c r="P247" s="25">
        <f>Y247</f>
        <v/>
      </c>
      <c r="Q247" s="25">
        <f>MAX(0, M247 - N247 - O247 - P247)</f>
        <v/>
      </c>
      <c r="R247" s="25" t="n">
        <v>0</v>
      </c>
      <c r="S247" s="25" t="n">
        <v>0</v>
      </c>
      <c r="T247" s="25" t="n">
        <v>0</v>
      </c>
      <c r="U247" s="25" t="n">
        <v>0</v>
      </c>
      <c r="V247" s="25" t="n">
        <v>0</v>
      </c>
      <c r="W247" s="25" t="n">
        <v>0</v>
      </c>
      <c r="X247" s="25" t="n">
        <v>0</v>
      </c>
      <c r="Y247" s="25">
        <f>X247 / 12</f>
        <v/>
      </c>
      <c r="Z247" s="17" t="n">
        <v>-65</v>
      </c>
      <c r="AA247" s="25">
        <f>I247</f>
        <v/>
      </c>
      <c r="AB247" s="25">
        <f>Q247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 t="n">
        <v>0</v>
      </c>
      <c r="J248" s="19">
        <f>I248 * (0.01000000 / 12)</f>
        <v/>
      </c>
      <c r="K248" s="19">
        <f>(I248 - J248) * (0.00664805 / 12) * 1.0</f>
        <v/>
      </c>
      <c r="L248" s="19" t="n">
        <v>0</v>
      </c>
      <c r="M248" s="24">
        <f>(I248 - J248) - K248 + L248</f>
        <v/>
      </c>
      <c r="N248" s="24">
        <f>M248 * (0.00400000 / 12) * 1.0</f>
        <v/>
      </c>
      <c r="O248" s="24">
        <f>M248 * (0.00500000 / 12) * 1.0</f>
        <v/>
      </c>
      <c r="P248" s="24">
        <f>Y248</f>
        <v/>
      </c>
      <c r="Q248" s="24">
        <f>MAX(0, M248 - N248 - O248 - P248)</f>
        <v/>
      </c>
      <c r="R248" s="24" t="n">
        <v>0</v>
      </c>
      <c r="S248" s="24" t="n">
        <v>0</v>
      </c>
      <c r="T248" s="24" t="n">
        <v>0</v>
      </c>
      <c r="U248" s="24" t="n">
        <v>0</v>
      </c>
      <c r="V248" s="24" t="n">
        <v>0</v>
      </c>
      <c r="W248" s="24" t="n">
        <v>0</v>
      </c>
      <c r="X248" s="24" t="n">
        <v>0</v>
      </c>
      <c r="Y248" s="24">
        <f>X248 / 12</f>
        <v/>
      </c>
      <c r="Z248" s="15" t="n">
        <v>-66</v>
      </c>
      <c r="AA248" s="24">
        <f>I248</f>
        <v/>
      </c>
      <c r="AB248" s="24">
        <f>Q248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 t="n">
        <v>0</v>
      </c>
      <c r="J249" s="21">
        <f>I249 * (0.01000000 / 12)</f>
        <v/>
      </c>
      <c r="K249" s="21">
        <f>(I249 - J249) * (0.00664805 / 12) * 1.0</f>
        <v/>
      </c>
      <c r="L249" s="21" t="n">
        <v>0</v>
      </c>
      <c r="M249" s="25">
        <f>(I249 - J249) - K249 + L249</f>
        <v/>
      </c>
      <c r="N249" s="25">
        <f>M249 * (0.00400000 / 12) * 1.0</f>
        <v/>
      </c>
      <c r="O249" s="25">
        <f>M249 * (0.00500000 / 12) * 1.0</f>
        <v/>
      </c>
      <c r="P249" s="25">
        <f>Y249</f>
        <v/>
      </c>
      <c r="Q249" s="25">
        <f>MAX(0, M249 - N249 - O249 - P249)</f>
        <v/>
      </c>
      <c r="R249" s="25" t="n">
        <v>0</v>
      </c>
      <c r="S249" s="25" t="n">
        <v>0</v>
      </c>
      <c r="T249" s="25" t="n">
        <v>0</v>
      </c>
      <c r="U249" s="25" t="n">
        <v>0</v>
      </c>
      <c r="V249" s="25" t="n">
        <v>0</v>
      </c>
      <c r="W249" s="25" t="n">
        <v>0</v>
      </c>
      <c r="X249" s="25" t="n">
        <v>0</v>
      </c>
      <c r="Y249" s="25">
        <f>X249 / 12</f>
        <v/>
      </c>
      <c r="Z249" s="17" t="n">
        <v>-67</v>
      </c>
      <c r="AA249" s="25">
        <f>I249</f>
        <v/>
      </c>
      <c r="AB249" s="25">
        <f>Q249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 t="n">
        <v>0</v>
      </c>
      <c r="J250" s="19">
        <f>I250 * (0.01000000 / 12)</f>
        <v/>
      </c>
      <c r="K250" s="19">
        <f>(I250 - J250) * (0.00664805 / 12) * 1.0</f>
        <v/>
      </c>
      <c r="L250" s="19" t="n">
        <v>0</v>
      </c>
      <c r="M250" s="24">
        <f>(I250 - J250) - K250 + L250</f>
        <v/>
      </c>
      <c r="N250" s="24">
        <f>M250 * (0.00400000 / 12) * 1.0</f>
        <v/>
      </c>
      <c r="O250" s="24">
        <f>M250 * (0.00500000 / 12) * 1.0</f>
        <v/>
      </c>
      <c r="P250" s="24">
        <f>Y250</f>
        <v/>
      </c>
      <c r="Q250" s="24">
        <f>MAX(0, M250 - N250 - O250 - P250)</f>
        <v/>
      </c>
      <c r="R250" s="24" t="n">
        <v>0</v>
      </c>
      <c r="S250" s="24" t="n">
        <v>0</v>
      </c>
      <c r="T250" s="24" t="n">
        <v>0</v>
      </c>
      <c r="U250" s="24" t="n">
        <v>0</v>
      </c>
      <c r="V250" s="24" t="n">
        <v>0</v>
      </c>
      <c r="W250" s="24" t="n">
        <v>0</v>
      </c>
      <c r="X250" s="24" t="n">
        <v>0</v>
      </c>
      <c r="Y250" s="24">
        <f>X250 / 12</f>
        <v/>
      </c>
      <c r="Z250" s="15" t="n">
        <v>-68</v>
      </c>
      <c r="AA250" s="24">
        <f>I250</f>
        <v/>
      </c>
      <c r="AB250" s="24">
        <f>Q250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 t="n">
        <v>0</v>
      </c>
      <c r="J251" s="21">
        <f>I251 * (0.01000000 / 12)</f>
        <v/>
      </c>
      <c r="K251" s="21">
        <f>(I251 - J251) * (0.00664805 / 12) * 1.0</f>
        <v/>
      </c>
      <c r="L251" s="21" t="n">
        <v>0</v>
      </c>
      <c r="M251" s="25">
        <f>(I251 - J251) - K251 + L251</f>
        <v/>
      </c>
      <c r="N251" s="25">
        <f>M251 * (0.00400000 / 12) * 1.0</f>
        <v/>
      </c>
      <c r="O251" s="25">
        <f>M251 * (0.00500000 / 12) * 1.0</f>
        <v/>
      </c>
      <c r="P251" s="25">
        <f>Y251</f>
        <v/>
      </c>
      <c r="Q251" s="25">
        <f>MAX(0, M251 - N251 - O251 - P251)</f>
        <v/>
      </c>
      <c r="R251" s="25" t="n">
        <v>0</v>
      </c>
      <c r="S251" s="25" t="n">
        <v>0</v>
      </c>
      <c r="T251" s="25" t="n">
        <v>0</v>
      </c>
      <c r="U251" s="25" t="n">
        <v>0</v>
      </c>
      <c r="V251" s="25" t="n">
        <v>0</v>
      </c>
      <c r="W251" s="25" t="n">
        <v>0</v>
      </c>
      <c r="X251" s="25" t="n">
        <v>0</v>
      </c>
      <c r="Y251" s="25">
        <f>X251 / 12</f>
        <v/>
      </c>
      <c r="Z251" s="17" t="n">
        <v>-69</v>
      </c>
      <c r="AA251" s="25">
        <f>I251</f>
        <v/>
      </c>
      <c r="AB251" s="25">
        <f>Q251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 t="n">
        <v>0</v>
      </c>
      <c r="J252" s="19">
        <f>I252 * (0.01000000 / 12)</f>
        <v/>
      </c>
      <c r="K252" s="19">
        <f>(I252 - J252) * (0.00664805 / 12) * 1.0</f>
        <v/>
      </c>
      <c r="L252" s="19" t="n">
        <v>0</v>
      </c>
      <c r="M252" s="24">
        <f>(I252 - J252) - K252 + L252</f>
        <v/>
      </c>
      <c r="N252" s="24">
        <f>M252 * (0.00400000 / 12) * 1.0</f>
        <v/>
      </c>
      <c r="O252" s="24">
        <f>M252 * (0.00500000 / 12) * 1.0</f>
        <v/>
      </c>
      <c r="P252" s="24">
        <f>Y252</f>
        <v/>
      </c>
      <c r="Q252" s="24">
        <f>MAX(0, M252 - N252 - O252 - P252)</f>
        <v/>
      </c>
      <c r="R252" s="24" t="n">
        <v>0</v>
      </c>
      <c r="S252" s="24" t="n">
        <v>0</v>
      </c>
      <c r="T252" s="24" t="n">
        <v>0</v>
      </c>
      <c r="U252" s="24" t="n">
        <v>0</v>
      </c>
      <c r="V252" s="24" t="n">
        <v>0</v>
      </c>
      <c r="W252" s="24" t="n">
        <v>0</v>
      </c>
      <c r="X252" s="24" t="n">
        <v>0</v>
      </c>
      <c r="Y252" s="24">
        <f>X252 / 12</f>
        <v/>
      </c>
      <c r="Z252" s="15" t="n">
        <v>-70</v>
      </c>
      <c r="AA252" s="24">
        <f>I252</f>
        <v/>
      </c>
      <c r="AB252" s="24">
        <f>Q252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 t="n">
        <v>0</v>
      </c>
      <c r="J253" s="21">
        <f>I253 * (0.01000000 / 12)</f>
        <v/>
      </c>
      <c r="K253" s="21">
        <f>(I253 - J253) * (0.00664805 / 12) * 1.0</f>
        <v/>
      </c>
      <c r="L253" s="21" t="n">
        <v>0</v>
      </c>
      <c r="M253" s="25">
        <f>(I253 - J253) - K253 + L253</f>
        <v/>
      </c>
      <c r="N253" s="25">
        <f>M253 * (0.00400000 / 12) * 1.0</f>
        <v/>
      </c>
      <c r="O253" s="25">
        <f>M253 * (0.00500000 / 12) * 1.0</f>
        <v/>
      </c>
      <c r="P253" s="25">
        <f>Y253</f>
        <v/>
      </c>
      <c r="Q253" s="25">
        <f>MAX(0, M253 - N253 - O253 - P253)</f>
        <v/>
      </c>
      <c r="R253" s="25" t="n">
        <v>0</v>
      </c>
      <c r="S253" s="25" t="n">
        <v>0</v>
      </c>
      <c r="T253" s="25" t="n">
        <v>0</v>
      </c>
      <c r="U253" s="25" t="n">
        <v>0</v>
      </c>
      <c r="V253" s="25" t="n">
        <v>0</v>
      </c>
      <c r="W253" s="25" t="n">
        <v>0</v>
      </c>
      <c r="X253" s="25" t="n">
        <v>0</v>
      </c>
      <c r="Y253" s="25">
        <f>X253 / 12</f>
        <v/>
      </c>
      <c r="Z253" s="17" t="n">
        <v>-71</v>
      </c>
      <c r="AA253" s="25">
        <f>I253</f>
        <v/>
      </c>
      <c r="AB253" s="25">
        <f>Q253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 t="n">
        <v>0</v>
      </c>
      <c r="J254" s="19">
        <f>I254 * (0.01000000 / 12)</f>
        <v/>
      </c>
      <c r="K254" s="19">
        <f>(I254 - J254) * (0.00664805 / 12) * 1.0</f>
        <v/>
      </c>
      <c r="L254" s="19" t="n">
        <v>0</v>
      </c>
      <c r="M254" s="24">
        <f>(I254 - J254) - K254 + L254</f>
        <v/>
      </c>
      <c r="N254" s="24">
        <f>M254 * (0.00400000 / 12) * 1.0</f>
        <v/>
      </c>
      <c r="O254" s="24">
        <f>M254 * (0.00500000 / 12) * 1.0</f>
        <v/>
      </c>
      <c r="P254" s="24">
        <f>Y254</f>
        <v/>
      </c>
      <c r="Q254" s="24">
        <f>MAX(0, M254 - N254 - O254 - P254)</f>
        <v/>
      </c>
      <c r="R254" s="24" t="n">
        <v>0</v>
      </c>
      <c r="S254" s="24" t="n">
        <v>0</v>
      </c>
      <c r="T254" s="24" t="n">
        <v>0</v>
      </c>
      <c r="U254" s="24" t="n">
        <v>0</v>
      </c>
      <c r="V254" s="24" t="n">
        <v>0</v>
      </c>
      <c r="W254" s="24" t="n">
        <v>0</v>
      </c>
      <c r="X254" s="24" t="n">
        <v>0</v>
      </c>
      <c r="Y254" s="24">
        <f>X254 / 12</f>
        <v/>
      </c>
      <c r="Z254" s="15" t="n">
        <v>-72</v>
      </c>
      <c r="AA254" s="24">
        <f>I254</f>
        <v/>
      </c>
      <c r="AB254" s="24">
        <f>Q254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 t="n">
        <v>0</v>
      </c>
      <c r="J255" s="21">
        <f>I255 * (0.01000000 / 12)</f>
        <v/>
      </c>
      <c r="K255" s="21">
        <f>(I255 - J255) * (0.00664805 / 12) * 1.0</f>
        <v/>
      </c>
      <c r="L255" s="21" t="n">
        <v>0</v>
      </c>
      <c r="M255" s="25">
        <f>(I255 - J255) - K255 + L255</f>
        <v/>
      </c>
      <c r="N255" s="25">
        <f>M255 * (0.00400000 / 12) * 1.0</f>
        <v/>
      </c>
      <c r="O255" s="25">
        <f>M255 * (0.00500000 / 12) * 1.0</f>
        <v/>
      </c>
      <c r="P255" s="25">
        <f>Y255</f>
        <v/>
      </c>
      <c r="Q255" s="25">
        <f>MAX(0, M255 - N255 - O255 - P255)</f>
        <v/>
      </c>
      <c r="R255" s="25" t="n">
        <v>0</v>
      </c>
      <c r="S255" s="25" t="n">
        <v>0</v>
      </c>
      <c r="T255" s="25" t="n">
        <v>0</v>
      </c>
      <c r="U255" s="25" t="n">
        <v>0</v>
      </c>
      <c r="V255" s="25" t="n">
        <v>0</v>
      </c>
      <c r="W255" s="25" t="n">
        <v>0</v>
      </c>
      <c r="X255" s="25" t="n">
        <v>0</v>
      </c>
      <c r="Y255" s="25">
        <f>X255 / 12</f>
        <v/>
      </c>
      <c r="Z255" s="17" t="n">
        <v>-73</v>
      </c>
      <c r="AA255" s="25">
        <f>I255</f>
        <v/>
      </c>
      <c r="AB255" s="25">
        <f>Q255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 t="n">
        <v>0</v>
      </c>
      <c r="J256" s="19">
        <f>I256 * (0.01000000 / 12)</f>
        <v/>
      </c>
      <c r="K256" s="19">
        <f>(I256 - J256) * (0.00664805 / 12) * 1.0</f>
        <v/>
      </c>
      <c r="L256" s="19" t="n">
        <v>0</v>
      </c>
      <c r="M256" s="24">
        <f>(I256 - J256) - K256 + L256</f>
        <v/>
      </c>
      <c r="N256" s="24">
        <f>M256 * (0.00400000 / 12) * 1.0</f>
        <v/>
      </c>
      <c r="O256" s="24">
        <f>M256 * (0.00500000 / 12) * 1.0</f>
        <v/>
      </c>
      <c r="P256" s="24">
        <f>Y256</f>
        <v/>
      </c>
      <c r="Q256" s="24">
        <f>MAX(0, M256 - N256 - O256 - P256)</f>
        <v/>
      </c>
      <c r="R256" s="24" t="n">
        <v>0</v>
      </c>
      <c r="S256" s="24" t="n">
        <v>0</v>
      </c>
      <c r="T256" s="24" t="n">
        <v>0</v>
      </c>
      <c r="U256" s="24" t="n">
        <v>0</v>
      </c>
      <c r="V256" s="24" t="n">
        <v>0</v>
      </c>
      <c r="W256" s="24" t="n">
        <v>0</v>
      </c>
      <c r="X256" s="24" t="n">
        <v>0</v>
      </c>
      <c r="Y256" s="24">
        <f>X256 / 12</f>
        <v/>
      </c>
      <c r="Z256" s="15" t="n">
        <v>-74</v>
      </c>
      <c r="AA256" s="24">
        <f>I256</f>
        <v/>
      </c>
      <c r="AB256" s="24">
        <f>Q256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 t="n">
        <v>0</v>
      </c>
      <c r="J257" s="21">
        <f>I257 * (0.01000000 / 12)</f>
        <v/>
      </c>
      <c r="K257" s="21">
        <f>(I257 - J257) * (0.00664805 / 12) * 1.0</f>
        <v/>
      </c>
      <c r="L257" s="21" t="n">
        <v>0</v>
      </c>
      <c r="M257" s="25">
        <f>(I257 - J257) - K257 + L257</f>
        <v/>
      </c>
      <c r="N257" s="25">
        <f>M257 * (0.00400000 / 12) * 1.0</f>
        <v/>
      </c>
      <c r="O257" s="25">
        <f>M257 * (0.00500000 / 12) * 1.0</f>
        <v/>
      </c>
      <c r="P257" s="25">
        <f>Y257</f>
        <v/>
      </c>
      <c r="Q257" s="25">
        <f>MAX(0, M257 - N257 - O257 - P257)</f>
        <v/>
      </c>
      <c r="R257" s="25" t="n">
        <v>0</v>
      </c>
      <c r="S257" s="25" t="n">
        <v>0</v>
      </c>
      <c r="T257" s="25" t="n">
        <v>0</v>
      </c>
      <c r="U257" s="25" t="n">
        <v>0</v>
      </c>
      <c r="V257" s="25" t="n">
        <v>0</v>
      </c>
      <c r="W257" s="25" t="n">
        <v>0</v>
      </c>
      <c r="X257" s="25" t="n">
        <v>0</v>
      </c>
      <c r="Y257" s="25">
        <f>X257 / 12</f>
        <v/>
      </c>
      <c r="Z257" s="17" t="n">
        <v>-75</v>
      </c>
      <c r="AA257" s="25">
        <f>I257</f>
        <v/>
      </c>
      <c r="AB257" s="25">
        <f>Q257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 t="n">
        <v>0</v>
      </c>
      <c r="J258" s="19">
        <f>I258 * (0.01000000 / 12)</f>
        <v/>
      </c>
      <c r="K258" s="19">
        <f>(I258 - J258) * (0.00664805 / 12) * 1.0</f>
        <v/>
      </c>
      <c r="L258" s="19" t="n">
        <v>0</v>
      </c>
      <c r="M258" s="24">
        <f>(I258 - J258) - K258 + L258</f>
        <v/>
      </c>
      <c r="N258" s="24">
        <f>M258 * (0.00400000 / 12) * 1.0</f>
        <v/>
      </c>
      <c r="O258" s="24">
        <f>M258 * (0.00500000 / 12) * 1.0</f>
        <v/>
      </c>
      <c r="P258" s="24">
        <f>Y258</f>
        <v/>
      </c>
      <c r="Q258" s="24">
        <f>MAX(0, M258 - N258 - O258 - P258)</f>
        <v/>
      </c>
      <c r="R258" s="24" t="n">
        <v>0</v>
      </c>
      <c r="S258" s="24" t="n">
        <v>0</v>
      </c>
      <c r="T258" s="24" t="n">
        <v>0</v>
      </c>
      <c r="U258" s="24" t="n">
        <v>0</v>
      </c>
      <c r="V258" s="24" t="n">
        <v>0</v>
      </c>
      <c r="W258" s="24" t="n">
        <v>0</v>
      </c>
      <c r="X258" s="24" t="n">
        <v>0</v>
      </c>
      <c r="Y258" s="24">
        <f>X258 / 12</f>
        <v/>
      </c>
      <c r="Z258" s="15" t="n">
        <v>-76</v>
      </c>
      <c r="AA258" s="24">
        <f>I258</f>
        <v/>
      </c>
      <c r="AB258" s="24">
        <f>Q258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 t="n">
        <v>0</v>
      </c>
      <c r="J259" s="21">
        <f>I259 * (0.01000000 / 12)</f>
        <v/>
      </c>
      <c r="K259" s="21">
        <f>(I259 - J259) * (0.00664805 / 12) * 1.0</f>
        <v/>
      </c>
      <c r="L259" s="21" t="n">
        <v>0</v>
      </c>
      <c r="M259" s="25">
        <f>(I259 - J259) - K259 + L259</f>
        <v/>
      </c>
      <c r="N259" s="25">
        <f>M259 * (0.00400000 / 12) * 1.0</f>
        <v/>
      </c>
      <c r="O259" s="25">
        <f>M259 * (0.00500000 / 12) * 1.0</f>
        <v/>
      </c>
      <c r="P259" s="25">
        <f>Y259</f>
        <v/>
      </c>
      <c r="Q259" s="25">
        <f>MAX(0, M259 - N259 - O259 - P259)</f>
        <v/>
      </c>
      <c r="R259" s="25" t="n">
        <v>0</v>
      </c>
      <c r="S259" s="25" t="n">
        <v>0</v>
      </c>
      <c r="T259" s="25" t="n">
        <v>0</v>
      </c>
      <c r="U259" s="25" t="n">
        <v>0</v>
      </c>
      <c r="V259" s="25" t="n">
        <v>0</v>
      </c>
      <c r="W259" s="25" t="n">
        <v>0</v>
      </c>
      <c r="X259" s="25" t="n">
        <v>0</v>
      </c>
      <c r="Y259" s="25">
        <f>X259 / 12</f>
        <v/>
      </c>
      <c r="Z259" s="17" t="n">
        <v>-77</v>
      </c>
      <c r="AA259" s="25">
        <f>I259</f>
        <v/>
      </c>
      <c r="AB259" s="25">
        <f>Q259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 t="n">
        <v>0</v>
      </c>
      <c r="J260" s="19">
        <f>I260 * (0.01000000 / 12)</f>
        <v/>
      </c>
      <c r="K260" s="19">
        <f>(I260 - J260) * (0.00664805 / 12) * 1.0</f>
        <v/>
      </c>
      <c r="L260" s="19" t="n">
        <v>0</v>
      </c>
      <c r="M260" s="24">
        <f>(I260 - J260) - K260 + L260</f>
        <v/>
      </c>
      <c r="N260" s="24">
        <f>M260 * (0.00400000 / 12) * 1.0</f>
        <v/>
      </c>
      <c r="O260" s="24">
        <f>M260 * (0.00500000 / 12) * 1.0</f>
        <v/>
      </c>
      <c r="P260" s="24">
        <f>Y260</f>
        <v/>
      </c>
      <c r="Q260" s="24">
        <f>MAX(0, M260 - N260 - O260 - P260)</f>
        <v/>
      </c>
      <c r="R260" s="24" t="n">
        <v>0</v>
      </c>
      <c r="S260" s="24" t="n">
        <v>0</v>
      </c>
      <c r="T260" s="24" t="n">
        <v>0</v>
      </c>
      <c r="U260" s="24" t="n">
        <v>0</v>
      </c>
      <c r="V260" s="24" t="n">
        <v>0</v>
      </c>
      <c r="W260" s="24" t="n">
        <v>0</v>
      </c>
      <c r="X260" s="24" t="n">
        <v>0</v>
      </c>
      <c r="Y260" s="24">
        <f>X260 / 12</f>
        <v/>
      </c>
      <c r="Z260" s="15" t="n">
        <v>-78</v>
      </c>
      <c r="AA260" s="24">
        <f>I260</f>
        <v/>
      </c>
      <c r="AB260" s="24">
        <f>Q260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 t="n">
        <v>0</v>
      </c>
      <c r="J261" s="21">
        <f>I261 * (0.01000000 / 12)</f>
        <v/>
      </c>
      <c r="K261" s="21">
        <f>(I261 - J261) * (0.00664805 / 12) * 1.0</f>
        <v/>
      </c>
      <c r="L261" s="21" t="n">
        <v>0</v>
      </c>
      <c r="M261" s="25">
        <f>(I261 - J261) - K261 + L261</f>
        <v/>
      </c>
      <c r="N261" s="25">
        <f>M261 * (0.00400000 / 12) * 1.0</f>
        <v/>
      </c>
      <c r="O261" s="25">
        <f>M261 * (0.00500000 / 12) * 1.0</f>
        <v/>
      </c>
      <c r="P261" s="25">
        <f>Y261</f>
        <v/>
      </c>
      <c r="Q261" s="25">
        <f>MAX(0, M261 - N261 - O261 - P261)</f>
        <v/>
      </c>
      <c r="R261" s="25" t="n">
        <v>0</v>
      </c>
      <c r="S261" s="25" t="n">
        <v>0</v>
      </c>
      <c r="T261" s="25" t="n">
        <v>0</v>
      </c>
      <c r="U261" s="25" t="n">
        <v>0</v>
      </c>
      <c r="V261" s="25" t="n">
        <v>0</v>
      </c>
      <c r="W261" s="25" t="n">
        <v>0</v>
      </c>
      <c r="X261" s="25" t="n">
        <v>0</v>
      </c>
      <c r="Y261" s="25">
        <f>X261 / 12</f>
        <v/>
      </c>
      <c r="Z261" s="17" t="n">
        <v>-79</v>
      </c>
      <c r="AA261" s="25">
        <f>I261</f>
        <v/>
      </c>
      <c r="AB261" s="25">
        <f>Q261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 t="n">
        <v>0</v>
      </c>
      <c r="J262" s="19">
        <f>I262 * (0.01000000 / 12)</f>
        <v/>
      </c>
      <c r="K262" s="19">
        <f>(I262 - J262) * (0.00664805 / 12) * 1.0</f>
        <v/>
      </c>
      <c r="L262" s="19" t="n">
        <v>0</v>
      </c>
      <c r="M262" s="24">
        <f>(I262 - J262) - K262 + L262</f>
        <v/>
      </c>
      <c r="N262" s="24">
        <f>M262 * (0.00400000 / 12) * 1.0</f>
        <v/>
      </c>
      <c r="O262" s="24">
        <f>M262 * (0.00500000 / 12) * 1.0</f>
        <v/>
      </c>
      <c r="P262" s="24">
        <f>Y262</f>
        <v/>
      </c>
      <c r="Q262" s="24">
        <f>MAX(0, M262 - N262 - O262 - P262)</f>
        <v/>
      </c>
      <c r="R262" s="24" t="n">
        <v>0</v>
      </c>
      <c r="S262" s="24" t="n">
        <v>0</v>
      </c>
      <c r="T262" s="24" t="n">
        <v>0</v>
      </c>
      <c r="U262" s="24" t="n">
        <v>0</v>
      </c>
      <c r="V262" s="24" t="n">
        <v>0</v>
      </c>
      <c r="W262" s="24" t="n">
        <v>0</v>
      </c>
      <c r="X262" s="24" t="n">
        <v>0</v>
      </c>
      <c r="Y262" s="24">
        <f>X262 / 12</f>
        <v/>
      </c>
      <c r="Z262" s="15" t="n">
        <v>-80</v>
      </c>
      <c r="AA262" s="24">
        <f>I262</f>
        <v/>
      </c>
      <c r="AB262" s="24">
        <f>Q262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 t="n">
        <v>0</v>
      </c>
      <c r="J263" s="21">
        <f>I263 * (0.01000000 / 12)</f>
        <v/>
      </c>
      <c r="K263" s="21">
        <f>(I263 - J263) * (0.00664805 / 12) * 1.0</f>
        <v/>
      </c>
      <c r="L263" s="21" t="n">
        <v>0</v>
      </c>
      <c r="M263" s="25">
        <f>(I263 - J263) - K263 + L263</f>
        <v/>
      </c>
      <c r="N263" s="25">
        <f>M263 * (0.00400000 / 12) * 1.0</f>
        <v/>
      </c>
      <c r="O263" s="25">
        <f>M263 * (0.00500000 / 12) * 1.0</f>
        <v/>
      </c>
      <c r="P263" s="25">
        <f>Y263</f>
        <v/>
      </c>
      <c r="Q263" s="25">
        <f>MAX(0, M263 - N263 - O263 - P263)</f>
        <v/>
      </c>
      <c r="R263" s="25" t="n">
        <v>0</v>
      </c>
      <c r="S263" s="25" t="n">
        <v>0</v>
      </c>
      <c r="T263" s="25" t="n">
        <v>0</v>
      </c>
      <c r="U263" s="25" t="n">
        <v>0</v>
      </c>
      <c r="V263" s="25" t="n">
        <v>0</v>
      </c>
      <c r="W263" s="25" t="n">
        <v>0</v>
      </c>
      <c r="X263" s="25" t="n">
        <v>0</v>
      </c>
      <c r="Y263" s="25">
        <f>X263 / 12</f>
        <v/>
      </c>
      <c r="Z263" s="17" t="n">
        <v>-81</v>
      </c>
      <c r="AA263" s="25">
        <f>I263</f>
        <v/>
      </c>
      <c r="AB263" s="25">
        <f>Q263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 t="n">
        <v>0</v>
      </c>
      <c r="J264" s="19">
        <f>I264 * (0.01000000 / 12)</f>
        <v/>
      </c>
      <c r="K264" s="19">
        <f>(I264 - J264) * (0.00664805 / 12) * 1.0</f>
        <v/>
      </c>
      <c r="L264" s="19" t="n">
        <v>0</v>
      </c>
      <c r="M264" s="24">
        <f>(I264 - J264) - K264 + L264</f>
        <v/>
      </c>
      <c r="N264" s="24">
        <f>M264 * (0.00400000 / 12) * 1.0</f>
        <v/>
      </c>
      <c r="O264" s="24">
        <f>M264 * (0.00500000 / 12) * 1.0</f>
        <v/>
      </c>
      <c r="P264" s="24">
        <f>Y264</f>
        <v/>
      </c>
      <c r="Q264" s="24">
        <f>MAX(0, M264 - N264 - O264 - P264)</f>
        <v/>
      </c>
      <c r="R264" s="24" t="n">
        <v>0</v>
      </c>
      <c r="S264" s="24" t="n">
        <v>0</v>
      </c>
      <c r="T264" s="24" t="n">
        <v>0</v>
      </c>
      <c r="U264" s="24" t="n">
        <v>0</v>
      </c>
      <c r="V264" s="24" t="n">
        <v>0</v>
      </c>
      <c r="W264" s="24" t="n">
        <v>0</v>
      </c>
      <c r="X264" s="24" t="n">
        <v>0</v>
      </c>
      <c r="Y264" s="24">
        <f>X264 / 12</f>
        <v/>
      </c>
      <c r="Z264" s="15" t="n">
        <v>-82</v>
      </c>
      <c r="AA264" s="24">
        <f>I264</f>
        <v/>
      </c>
      <c r="AB264" s="24">
        <f>Q264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 t="n">
        <v>0</v>
      </c>
      <c r="J265" s="21">
        <f>I265 * (0.01000000 / 12)</f>
        <v/>
      </c>
      <c r="K265" s="21">
        <f>(I265 - J265) * (0.00664805 / 12) * 1.0</f>
        <v/>
      </c>
      <c r="L265" s="21" t="n">
        <v>0</v>
      </c>
      <c r="M265" s="25">
        <f>(I265 - J265) - K265 + L265</f>
        <v/>
      </c>
      <c r="N265" s="25">
        <f>M265 * (0.00400000 / 12) * 1.0</f>
        <v/>
      </c>
      <c r="O265" s="25">
        <f>M265 * (0.00500000 / 12) * 1.0</f>
        <v/>
      </c>
      <c r="P265" s="25">
        <f>Y265</f>
        <v/>
      </c>
      <c r="Q265" s="25">
        <f>MAX(0, M265 - N265 - O265 - P265)</f>
        <v/>
      </c>
      <c r="R265" s="25" t="n">
        <v>0</v>
      </c>
      <c r="S265" s="25" t="n">
        <v>0</v>
      </c>
      <c r="T265" s="25" t="n">
        <v>0</v>
      </c>
      <c r="U265" s="25" t="n">
        <v>0</v>
      </c>
      <c r="V265" s="25" t="n">
        <v>0</v>
      </c>
      <c r="W265" s="25" t="n">
        <v>0</v>
      </c>
      <c r="X265" s="25" t="n">
        <v>0</v>
      </c>
      <c r="Y265" s="25">
        <f>X265 / 12</f>
        <v/>
      </c>
      <c r="Z265" s="17" t="n">
        <v>-83</v>
      </c>
      <c r="AA265" s="25">
        <f>I265</f>
        <v/>
      </c>
      <c r="AB265" s="25">
        <f>Q265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 t="n">
        <v>0</v>
      </c>
      <c r="J266" s="19">
        <f>I266 * (0.01000000 / 12)</f>
        <v/>
      </c>
      <c r="K266" s="19">
        <f>(I266 - J266) * (0.00664805 / 12) * 1.0</f>
        <v/>
      </c>
      <c r="L266" s="19" t="n">
        <v>0</v>
      </c>
      <c r="M266" s="24">
        <f>(I266 - J266) - K266 + L266</f>
        <v/>
      </c>
      <c r="N266" s="24">
        <f>M266 * (0.00400000 / 12) * 1.0</f>
        <v/>
      </c>
      <c r="O266" s="24">
        <f>M266 * (0.00500000 / 12) * 1.0</f>
        <v/>
      </c>
      <c r="P266" s="24">
        <f>Y266</f>
        <v/>
      </c>
      <c r="Q266" s="24">
        <f>MAX(0, M266 - N266 - O266 - P266)</f>
        <v/>
      </c>
      <c r="R266" s="24" t="n">
        <v>0</v>
      </c>
      <c r="S266" s="24" t="n">
        <v>0</v>
      </c>
      <c r="T266" s="24" t="n">
        <v>0</v>
      </c>
      <c r="U266" s="24" t="n">
        <v>0</v>
      </c>
      <c r="V266" s="24" t="n">
        <v>0</v>
      </c>
      <c r="W266" s="24" t="n">
        <v>0</v>
      </c>
      <c r="X266" s="24" t="n">
        <v>0</v>
      </c>
      <c r="Y266" s="24">
        <f>X266 / 12</f>
        <v/>
      </c>
      <c r="Z266" s="15" t="n">
        <v>-84</v>
      </c>
      <c r="AA266" s="24">
        <f>I266</f>
        <v/>
      </c>
      <c r="AB266" s="24">
        <f>Q266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 t="n">
        <v>0</v>
      </c>
      <c r="J267" s="21">
        <f>I267 * (0.01000000 / 12)</f>
        <v/>
      </c>
      <c r="K267" s="21">
        <f>(I267 - J267) * (0.00664805 / 12) * 1.0</f>
        <v/>
      </c>
      <c r="L267" s="21" t="n">
        <v>0</v>
      </c>
      <c r="M267" s="25">
        <f>(I267 - J267) - K267 + L267</f>
        <v/>
      </c>
      <c r="N267" s="25">
        <f>M267 * (0.00400000 / 12) * 1.0</f>
        <v/>
      </c>
      <c r="O267" s="25">
        <f>M267 * (0.00500000 / 12) * 1.0</f>
        <v/>
      </c>
      <c r="P267" s="25">
        <f>Y267</f>
        <v/>
      </c>
      <c r="Q267" s="25">
        <f>MAX(0, M267 - N267 - O267 - P267)</f>
        <v/>
      </c>
      <c r="R267" s="25" t="n">
        <v>0</v>
      </c>
      <c r="S267" s="25" t="n">
        <v>0</v>
      </c>
      <c r="T267" s="25" t="n">
        <v>0</v>
      </c>
      <c r="U267" s="25" t="n">
        <v>0</v>
      </c>
      <c r="V267" s="25" t="n">
        <v>0</v>
      </c>
      <c r="W267" s="25" t="n">
        <v>0</v>
      </c>
      <c r="X267" s="25" t="n">
        <v>0</v>
      </c>
      <c r="Y267" s="25">
        <f>X267 / 12</f>
        <v/>
      </c>
      <c r="Z267" s="17" t="n">
        <v>-85</v>
      </c>
      <c r="AA267" s="25">
        <f>I267</f>
        <v/>
      </c>
      <c r="AB267" s="25">
        <f>Q267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 t="n">
        <v>0</v>
      </c>
      <c r="J268" s="19">
        <f>I268 * (0.01000000 / 12)</f>
        <v/>
      </c>
      <c r="K268" s="19">
        <f>(I268 - J268) * (0.00664805 / 12) * 1.0</f>
        <v/>
      </c>
      <c r="L268" s="19" t="n">
        <v>0</v>
      </c>
      <c r="M268" s="24">
        <f>(I268 - J268) - K268 + L268</f>
        <v/>
      </c>
      <c r="N268" s="24">
        <f>M268 * (0.00400000 / 12) * 1.0</f>
        <v/>
      </c>
      <c r="O268" s="24">
        <f>M268 * (0.00500000 / 12) * 1.0</f>
        <v/>
      </c>
      <c r="P268" s="24">
        <f>Y268</f>
        <v/>
      </c>
      <c r="Q268" s="24">
        <f>MAX(0, M268 - N268 - O268 - P268)</f>
        <v/>
      </c>
      <c r="R268" s="24" t="n">
        <v>0</v>
      </c>
      <c r="S268" s="24" t="n">
        <v>0</v>
      </c>
      <c r="T268" s="24" t="n">
        <v>0</v>
      </c>
      <c r="U268" s="24" t="n">
        <v>0</v>
      </c>
      <c r="V268" s="24" t="n">
        <v>0</v>
      </c>
      <c r="W268" s="24" t="n">
        <v>0</v>
      </c>
      <c r="X268" s="24" t="n">
        <v>0</v>
      </c>
      <c r="Y268" s="24">
        <f>X268 / 12</f>
        <v/>
      </c>
      <c r="Z268" s="15" t="n">
        <v>-86</v>
      </c>
      <c r="AA268" s="24">
        <f>I268</f>
        <v/>
      </c>
      <c r="AB268" s="24">
        <f>Q268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 t="n">
        <v>0</v>
      </c>
      <c r="J269" s="21">
        <f>I269 * (0.01000000 / 12)</f>
        <v/>
      </c>
      <c r="K269" s="21">
        <f>(I269 - J269) * (0.00664805 / 12) * 1.0</f>
        <v/>
      </c>
      <c r="L269" s="21" t="n">
        <v>0</v>
      </c>
      <c r="M269" s="25">
        <f>(I269 - J269) - K269 + L269</f>
        <v/>
      </c>
      <c r="N269" s="25">
        <f>M269 * (0.00400000 / 12) * 1.0</f>
        <v/>
      </c>
      <c r="O269" s="25">
        <f>M269 * (0.00500000 / 12) * 1.0</f>
        <v/>
      </c>
      <c r="P269" s="25">
        <f>Y269</f>
        <v/>
      </c>
      <c r="Q269" s="25">
        <f>MAX(0, M269 - N269 - O269 - P269)</f>
        <v/>
      </c>
      <c r="R269" s="25" t="n">
        <v>0</v>
      </c>
      <c r="S269" s="25" t="n">
        <v>0</v>
      </c>
      <c r="T269" s="25" t="n">
        <v>0</v>
      </c>
      <c r="U269" s="25" t="n">
        <v>0</v>
      </c>
      <c r="V269" s="25" t="n">
        <v>0</v>
      </c>
      <c r="W269" s="25" t="n">
        <v>0</v>
      </c>
      <c r="X269" s="25" t="n">
        <v>0</v>
      </c>
      <c r="Y269" s="25">
        <f>X269 / 12</f>
        <v/>
      </c>
      <c r="Z269" s="17" t="n">
        <v>-87</v>
      </c>
      <c r="AA269" s="25">
        <f>I269</f>
        <v/>
      </c>
      <c r="AB269" s="25">
        <f>Q269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 t="n">
        <v>0</v>
      </c>
      <c r="J270" s="19">
        <f>I270 * (0.01000000 / 12)</f>
        <v/>
      </c>
      <c r="K270" s="19">
        <f>(I270 - J270) * (0.00664805 / 12) * 1.0</f>
        <v/>
      </c>
      <c r="L270" s="19" t="n">
        <v>0</v>
      </c>
      <c r="M270" s="24">
        <f>(I270 - J270) - K270 + L270</f>
        <v/>
      </c>
      <c r="N270" s="24">
        <f>M270 * (0.00400000 / 12) * 1.0</f>
        <v/>
      </c>
      <c r="O270" s="24">
        <f>M270 * (0.00500000 / 12) * 1.0</f>
        <v/>
      </c>
      <c r="P270" s="24">
        <f>Y270</f>
        <v/>
      </c>
      <c r="Q270" s="24">
        <f>MAX(0, M270 - N270 - O270 - P270)</f>
        <v/>
      </c>
      <c r="R270" s="24" t="n">
        <v>0</v>
      </c>
      <c r="S270" s="24" t="n">
        <v>0</v>
      </c>
      <c r="T270" s="24" t="n">
        <v>0</v>
      </c>
      <c r="U270" s="24" t="n">
        <v>0</v>
      </c>
      <c r="V270" s="24" t="n">
        <v>0</v>
      </c>
      <c r="W270" s="24" t="n">
        <v>0</v>
      </c>
      <c r="X270" s="24" t="n">
        <v>0</v>
      </c>
      <c r="Y270" s="24">
        <f>X270 / 12</f>
        <v/>
      </c>
      <c r="Z270" s="15" t="n">
        <v>-88</v>
      </c>
      <c r="AA270" s="24">
        <f>I270</f>
        <v/>
      </c>
      <c r="AB270" s="24">
        <f>Q270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 t="n">
        <v>0</v>
      </c>
      <c r="J271" s="21">
        <f>I271 * (0.01000000 / 12)</f>
        <v/>
      </c>
      <c r="K271" s="21">
        <f>(I271 - J271) * (0.00664805 / 12) * 1.0</f>
        <v/>
      </c>
      <c r="L271" s="21" t="n">
        <v>0</v>
      </c>
      <c r="M271" s="25">
        <f>(I271 - J271) - K271 + L271</f>
        <v/>
      </c>
      <c r="N271" s="25">
        <f>M271 * (0.00400000 / 12) * 1.0</f>
        <v/>
      </c>
      <c r="O271" s="25">
        <f>M271 * (0.00500000 / 12) * 1.0</f>
        <v/>
      </c>
      <c r="P271" s="25">
        <f>Y271</f>
        <v/>
      </c>
      <c r="Q271" s="25">
        <f>MAX(0, M271 - N271 - O271 - P271)</f>
        <v/>
      </c>
      <c r="R271" s="25" t="n">
        <v>0</v>
      </c>
      <c r="S271" s="25" t="n">
        <v>0</v>
      </c>
      <c r="T271" s="25" t="n">
        <v>0</v>
      </c>
      <c r="U271" s="25" t="n">
        <v>0</v>
      </c>
      <c r="V271" s="25" t="n">
        <v>0</v>
      </c>
      <c r="W271" s="25" t="n">
        <v>0</v>
      </c>
      <c r="X271" s="25" t="n">
        <v>0</v>
      </c>
      <c r="Y271" s="25">
        <f>X271 / 12</f>
        <v/>
      </c>
      <c r="Z271" s="17" t="n">
        <v>-89</v>
      </c>
      <c r="AA271" s="25">
        <f>I271</f>
        <v/>
      </c>
      <c r="AB271" s="25">
        <f>Q271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 t="n">
        <v>0</v>
      </c>
      <c r="J272" s="19">
        <f>I272 * (0.01000000 / 12)</f>
        <v/>
      </c>
      <c r="K272" s="19">
        <f>(I272 - J272) * (0.00664805 / 12) * 1.0</f>
        <v/>
      </c>
      <c r="L272" s="19" t="n">
        <v>0</v>
      </c>
      <c r="M272" s="24">
        <f>(I272 - J272) - K272 + L272</f>
        <v/>
      </c>
      <c r="N272" s="24">
        <f>M272 * (0.00400000 / 12) * 1.0</f>
        <v/>
      </c>
      <c r="O272" s="24">
        <f>M272 * (0.00500000 / 12) * 1.0</f>
        <v/>
      </c>
      <c r="P272" s="24">
        <f>Y272</f>
        <v/>
      </c>
      <c r="Q272" s="24">
        <f>MAX(0, M272 - N272 - O272 - P272)</f>
        <v/>
      </c>
      <c r="R272" s="24" t="n">
        <v>0</v>
      </c>
      <c r="S272" s="24" t="n">
        <v>0</v>
      </c>
      <c r="T272" s="24" t="n">
        <v>0</v>
      </c>
      <c r="U272" s="24" t="n">
        <v>0</v>
      </c>
      <c r="V272" s="24" t="n">
        <v>0</v>
      </c>
      <c r="W272" s="24" t="n">
        <v>0</v>
      </c>
      <c r="X272" s="24" t="n">
        <v>0</v>
      </c>
      <c r="Y272" s="24">
        <f>X272 / 12</f>
        <v/>
      </c>
      <c r="Z272" s="15" t="n">
        <v>-90</v>
      </c>
      <c r="AA272" s="24">
        <f>I272</f>
        <v/>
      </c>
      <c r="AB272" s="24">
        <f>Q272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 t="n">
        <v>0</v>
      </c>
      <c r="J273" s="21">
        <f>I273 * (0.01000000 / 12)</f>
        <v/>
      </c>
      <c r="K273" s="21">
        <f>(I273 - J273) * (0.00664805 / 12) * 1.0</f>
        <v/>
      </c>
      <c r="L273" s="21" t="n">
        <v>0</v>
      </c>
      <c r="M273" s="25">
        <f>(I273 - J273) - K273 + L273</f>
        <v/>
      </c>
      <c r="N273" s="25">
        <f>M273 * (0.00400000 / 12) * 1.0</f>
        <v/>
      </c>
      <c r="O273" s="25">
        <f>M273 * (0.00500000 / 12) * 1.0</f>
        <v/>
      </c>
      <c r="P273" s="25">
        <f>Y273</f>
        <v/>
      </c>
      <c r="Q273" s="25">
        <f>MAX(0, M273 - N273 - O273 - P273)</f>
        <v/>
      </c>
      <c r="R273" s="25" t="n">
        <v>0</v>
      </c>
      <c r="S273" s="25" t="n">
        <v>0</v>
      </c>
      <c r="T273" s="25" t="n">
        <v>0</v>
      </c>
      <c r="U273" s="25" t="n">
        <v>0</v>
      </c>
      <c r="V273" s="25" t="n">
        <v>0</v>
      </c>
      <c r="W273" s="25" t="n">
        <v>0</v>
      </c>
      <c r="X273" s="25" t="n">
        <v>0</v>
      </c>
      <c r="Y273" s="25">
        <f>X273 / 12</f>
        <v/>
      </c>
      <c r="Z273" s="17" t="n">
        <v>-91</v>
      </c>
      <c r="AA273" s="25">
        <f>I273</f>
        <v/>
      </c>
      <c r="AB273" s="25">
        <f>Q273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 t="n">
        <v>0</v>
      </c>
      <c r="J274" s="19">
        <f>I274 * (0.01000000 / 12)</f>
        <v/>
      </c>
      <c r="K274" s="19">
        <f>(I274 - J274) * (0.00664805 / 12) * 1.0</f>
        <v/>
      </c>
      <c r="L274" s="19" t="n">
        <v>0</v>
      </c>
      <c r="M274" s="24">
        <f>(I274 - J274) - K274 + L274</f>
        <v/>
      </c>
      <c r="N274" s="24">
        <f>M274 * (0.00400000 / 12) * 1.0</f>
        <v/>
      </c>
      <c r="O274" s="24">
        <f>M274 * (0.00500000 / 12) * 1.0</f>
        <v/>
      </c>
      <c r="P274" s="24">
        <f>Y274</f>
        <v/>
      </c>
      <c r="Q274" s="24">
        <f>MAX(0, M274 - N274 - O274 - P274)</f>
        <v/>
      </c>
      <c r="R274" s="24" t="n">
        <v>0</v>
      </c>
      <c r="S274" s="24" t="n">
        <v>0</v>
      </c>
      <c r="T274" s="24" t="n">
        <v>0</v>
      </c>
      <c r="U274" s="24" t="n">
        <v>0</v>
      </c>
      <c r="V274" s="24" t="n">
        <v>0</v>
      </c>
      <c r="W274" s="24" t="n">
        <v>0</v>
      </c>
      <c r="X274" s="24" t="n">
        <v>0</v>
      </c>
      <c r="Y274" s="24">
        <f>X274 / 12</f>
        <v/>
      </c>
      <c r="Z274" s="15" t="n">
        <v>-92</v>
      </c>
      <c r="AA274" s="24">
        <f>I274</f>
        <v/>
      </c>
      <c r="AB274" s="24">
        <f>Q274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 t="n">
        <v>0</v>
      </c>
      <c r="J275" s="21">
        <f>I275 * (0.01000000 / 12)</f>
        <v/>
      </c>
      <c r="K275" s="21">
        <f>(I275 - J275) * (0.00664805 / 12) * 1.0</f>
        <v/>
      </c>
      <c r="L275" s="21" t="n">
        <v>0</v>
      </c>
      <c r="M275" s="25">
        <f>(I275 - J275) - K275 + L275</f>
        <v/>
      </c>
      <c r="N275" s="25">
        <f>M275 * (0.00400000 / 12) * 1.0</f>
        <v/>
      </c>
      <c r="O275" s="25">
        <f>M275 * (0.00500000 / 12) * 1.0</f>
        <v/>
      </c>
      <c r="P275" s="25">
        <f>Y275</f>
        <v/>
      </c>
      <c r="Q275" s="25">
        <f>MAX(0, M275 - N275 - O275 - P275)</f>
        <v/>
      </c>
      <c r="R275" s="25" t="n">
        <v>0</v>
      </c>
      <c r="S275" s="25" t="n">
        <v>0</v>
      </c>
      <c r="T275" s="25" t="n">
        <v>0</v>
      </c>
      <c r="U275" s="25" t="n">
        <v>0</v>
      </c>
      <c r="V275" s="25" t="n">
        <v>0</v>
      </c>
      <c r="W275" s="25" t="n">
        <v>0</v>
      </c>
      <c r="X275" s="25" t="n">
        <v>0</v>
      </c>
      <c r="Y275" s="25">
        <f>X275 / 12</f>
        <v/>
      </c>
      <c r="Z275" s="17" t="n">
        <v>-93</v>
      </c>
      <c r="AA275" s="25">
        <f>I275</f>
        <v/>
      </c>
      <c r="AB275" s="25">
        <f>Q275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 t="n">
        <v>0</v>
      </c>
      <c r="J276" s="19">
        <f>I276 * (0.01000000 / 12)</f>
        <v/>
      </c>
      <c r="K276" s="19">
        <f>(I276 - J276) * (0.00664805 / 12) * 1.0</f>
        <v/>
      </c>
      <c r="L276" s="19" t="n">
        <v>0</v>
      </c>
      <c r="M276" s="24">
        <f>(I276 - J276) - K276 + L276</f>
        <v/>
      </c>
      <c r="N276" s="24">
        <f>M276 * (0.00400000 / 12) * 1.0</f>
        <v/>
      </c>
      <c r="O276" s="24">
        <f>M276 * (0.00500000 / 12) * 1.0</f>
        <v/>
      </c>
      <c r="P276" s="24">
        <f>Y276</f>
        <v/>
      </c>
      <c r="Q276" s="24">
        <f>MAX(0, M276 - N276 - O276 - P276)</f>
        <v/>
      </c>
      <c r="R276" s="24" t="n">
        <v>0</v>
      </c>
      <c r="S276" s="24" t="n">
        <v>0</v>
      </c>
      <c r="T276" s="24" t="n">
        <v>0</v>
      </c>
      <c r="U276" s="24" t="n">
        <v>0</v>
      </c>
      <c r="V276" s="24" t="n">
        <v>0</v>
      </c>
      <c r="W276" s="24" t="n">
        <v>0</v>
      </c>
      <c r="X276" s="24" t="n">
        <v>0</v>
      </c>
      <c r="Y276" s="24">
        <f>X276 / 12</f>
        <v/>
      </c>
      <c r="Z276" s="15" t="n">
        <v>-94</v>
      </c>
      <c r="AA276" s="24">
        <f>I276</f>
        <v/>
      </c>
      <c r="AB276" s="24">
        <f>Q276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 t="n">
        <v>0</v>
      </c>
      <c r="J277" s="21">
        <f>I277 * (0.01000000 / 12)</f>
        <v/>
      </c>
      <c r="K277" s="21">
        <f>(I277 - J277) * (0.00664805 / 12) * 1.0</f>
        <v/>
      </c>
      <c r="L277" s="21" t="n">
        <v>0</v>
      </c>
      <c r="M277" s="25">
        <f>(I277 - J277) - K277 + L277</f>
        <v/>
      </c>
      <c r="N277" s="25">
        <f>M277 * (0.00400000 / 12) * 1.0</f>
        <v/>
      </c>
      <c r="O277" s="25">
        <f>M277 * (0.00500000 / 12) * 1.0</f>
        <v/>
      </c>
      <c r="P277" s="25">
        <f>Y277</f>
        <v/>
      </c>
      <c r="Q277" s="25">
        <f>MAX(0, M277 - N277 - O277 - P277)</f>
        <v/>
      </c>
      <c r="R277" s="25" t="n">
        <v>0</v>
      </c>
      <c r="S277" s="25" t="n">
        <v>0</v>
      </c>
      <c r="T277" s="25" t="n">
        <v>0</v>
      </c>
      <c r="U277" s="25" t="n">
        <v>0</v>
      </c>
      <c r="V277" s="25" t="n">
        <v>0</v>
      </c>
      <c r="W277" s="25" t="n">
        <v>0</v>
      </c>
      <c r="X277" s="25" t="n">
        <v>0</v>
      </c>
      <c r="Y277" s="25">
        <f>X277 / 12</f>
        <v/>
      </c>
      <c r="Z277" s="17" t="n">
        <v>-95</v>
      </c>
      <c r="AA277" s="25">
        <f>I277</f>
        <v/>
      </c>
      <c r="AB277" s="25">
        <f>Q277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 t="n">
        <v>0</v>
      </c>
      <c r="J278" s="19">
        <f>I278 * (0.01000000 / 12)</f>
        <v/>
      </c>
      <c r="K278" s="19">
        <f>(I278 - J278) * (0.00664805 / 12) * 1.0</f>
        <v/>
      </c>
      <c r="L278" s="19" t="n">
        <v>0</v>
      </c>
      <c r="M278" s="24">
        <f>(I278 - J278) - K278 + L278</f>
        <v/>
      </c>
      <c r="N278" s="24">
        <f>M278 * (0.00400000 / 12) * 1.0</f>
        <v/>
      </c>
      <c r="O278" s="24">
        <f>M278 * (0.00500000 / 12) * 1.0</f>
        <v/>
      </c>
      <c r="P278" s="24">
        <f>Y278</f>
        <v/>
      </c>
      <c r="Q278" s="24">
        <f>MAX(0, M278 - N278 - O278 - P278)</f>
        <v/>
      </c>
      <c r="R278" s="24" t="n">
        <v>0</v>
      </c>
      <c r="S278" s="24" t="n">
        <v>0</v>
      </c>
      <c r="T278" s="24" t="n">
        <v>0</v>
      </c>
      <c r="U278" s="24" t="n">
        <v>0</v>
      </c>
      <c r="V278" s="24" t="n">
        <v>0</v>
      </c>
      <c r="W278" s="24" t="n">
        <v>0</v>
      </c>
      <c r="X278" s="24" t="n">
        <v>0</v>
      </c>
      <c r="Y278" s="24">
        <f>X278 / 12</f>
        <v/>
      </c>
      <c r="Z278" s="15" t="n">
        <v>-96</v>
      </c>
      <c r="AA278" s="24">
        <f>I278</f>
        <v/>
      </c>
      <c r="AB278" s="24">
        <f>Q278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 t="n">
        <v>0</v>
      </c>
      <c r="J279" s="21">
        <f>I279 * (0.01000000 / 12)</f>
        <v/>
      </c>
      <c r="K279" s="21">
        <f>(I279 - J279) * (0.00664805 / 12) * 1.0</f>
        <v/>
      </c>
      <c r="L279" s="21" t="n">
        <v>0</v>
      </c>
      <c r="M279" s="25">
        <f>(I279 - J279) - K279 + L279</f>
        <v/>
      </c>
      <c r="N279" s="25">
        <f>M279 * (0.00400000 / 12) * 1.0</f>
        <v/>
      </c>
      <c r="O279" s="25">
        <f>M279 * (0.00500000 / 12) * 1.0</f>
        <v/>
      </c>
      <c r="P279" s="25">
        <f>Y279</f>
        <v/>
      </c>
      <c r="Q279" s="25">
        <f>MAX(0, M279 - N279 - O279 - P279)</f>
        <v/>
      </c>
      <c r="R279" s="25" t="n">
        <v>0</v>
      </c>
      <c r="S279" s="25" t="n">
        <v>0</v>
      </c>
      <c r="T279" s="25" t="n">
        <v>0</v>
      </c>
      <c r="U279" s="25" t="n">
        <v>0</v>
      </c>
      <c r="V279" s="25" t="n">
        <v>0</v>
      </c>
      <c r="W279" s="25" t="n">
        <v>0</v>
      </c>
      <c r="X279" s="25" t="n">
        <v>0</v>
      </c>
      <c r="Y279" s="25">
        <f>X279 / 12</f>
        <v/>
      </c>
      <c r="Z279" s="17" t="n">
        <v>-97</v>
      </c>
      <c r="AA279" s="25">
        <f>I279</f>
        <v/>
      </c>
      <c r="AB279" s="25">
        <f>Q279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 t="n">
        <v>0</v>
      </c>
      <c r="J280" s="19">
        <f>I280 * (0.01000000 / 12)</f>
        <v/>
      </c>
      <c r="K280" s="19">
        <f>(I280 - J280) * (0.00664805 / 12) * 1.0</f>
        <v/>
      </c>
      <c r="L280" s="19" t="n">
        <v>0</v>
      </c>
      <c r="M280" s="24">
        <f>(I280 - J280) - K280 + L280</f>
        <v/>
      </c>
      <c r="N280" s="24">
        <f>M280 * (0.00400000 / 12) * 1.0</f>
        <v/>
      </c>
      <c r="O280" s="24">
        <f>M280 * (0.00500000 / 12) * 1.0</f>
        <v/>
      </c>
      <c r="P280" s="24">
        <f>Y280</f>
        <v/>
      </c>
      <c r="Q280" s="24">
        <f>MAX(0, M280 - N280 - O280 - P280)</f>
        <v/>
      </c>
      <c r="R280" s="24" t="n">
        <v>0</v>
      </c>
      <c r="S280" s="24" t="n">
        <v>0</v>
      </c>
      <c r="T280" s="24" t="n">
        <v>0</v>
      </c>
      <c r="U280" s="24" t="n">
        <v>0</v>
      </c>
      <c r="V280" s="24" t="n">
        <v>0</v>
      </c>
      <c r="W280" s="24" t="n">
        <v>0</v>
      </c>
      <c r="X280" s="24" t="n">
        <v>0</v>
      </c>
      <c r="Y280" s="24">
        <f>X280 / 12</f>
        <v/>
      </c>
      <c r="Z280" s="15" t="n">
        <v>-98</v>
      </c>
      <c r="AA280" s="24">
        <f>I280</f>
        <v/>
      </c>
      <c r="AB280" s="24">
        <f>Q280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 t="n">
        <v>0</v>
      </c>
      <c r="J281" s="21">
        <f>I281 * (0.01000000 / 12)</f>
        <v/>
      </c>
      <c r="K281" s="21">
        <f>(I281 - J281) * (0.00664805 / 12) * 1.0</f>
        <v/>
      </c>
      <c r="L281" s="21" t="n">
        <v>0</v>
      </c>
      <c r="M281" s="25">
        <f>(I281 - J281) - K281 + L281</f>
        <v/>
      </c>
      <c r="N281" s="25">
        <f>M281 * (0.00400000 / 12) * 1.0</f>
        <v/>
      </c>
      <c r="O281" s="25">
        <f>M281 * (0.00500000 / 12) * 1.0</f>
        <v/>
      </c>
      <c r="P281" s="25">
        <f>Y281</f>
        <v/>
      </c>
      <c r="Q281" s="25">
        <f>MAX(0, M281 - N281 - O281 - P281)</f>
        <v/>
      </c>
      <c r="R281" s="25" t="n">
        <v>0</v>
      </c>
      <c r="S281" s="25" t="n">
        <v>0</v>
      </c>
      <c r="T281" s="25" t="n">
        <v>0</v>
      </c>
      <c r="U281" s="25" t="n">
        <v>0</v>
      </c>
      <c r="V281" s="25" t="n">
        <v>0</v>
      </c>
      <c r="W281" s="25" t="n">
        <v>0</v>
      </c>
      <c r="X281" s="25" t="n">
        <v>0</v>
      </c>
      <c r="Y281" s="25">
        <f>X281 / 12</f>
        <v/>
      </c>
      <c r="Z281" s="17" t="n">
        <v>-99</v>
      </c>
      <c r="AA281" s="25">
        <f>I281</f>
        <v/>
      </c>
      <c r="AB281" s="25">
        <f>Q281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 t="n">
        <v>0</v>
      </c>
      <c r="J282" s="19">
        <f>I282 * (0.01000000 / 12)</f>
        <v/>
      </c>
      <c r="K282" s="19">
        <f>(I282 - J282) * (0.00664805 / 12) * 1.0</f>
        <v/>
      </c>
      <c r="L282" s="19" t="n">
        <v>0</v>
      </c>
      <c r="M282" s="24">
        <f>(I282 - J282) - K282 + L282</f>
        <v/>
      </c>
      <c r="N282" s="24">
        <f>M282 * (0.00400000 / 12) * 1.0</f>
        <v/>
      </c>
      <c r="O282" s="24">
        <f>M282 * (0.00500000 / 12) * 1.0</f>
        <v/>
      </c>
      <c r="P282" s="24">
        <f>Y282</f>
        <v/>
      </c>
      <c r="Q282" s="24">
        <f>MAX(0, M282 - N282 - O282 - P282)</f>
        <v/>
      </c>
      <c r="R282" s="24" t="n">
        <v>0</v>
      </c>
      <c r="S282" s="24" t="n">
        <v>0</v>
      </c>
      <c r="T282" s="24" t="n">
        <v>0</v>
      </c>
      <c r="U282" s="24" t="n">
        <v>0</v>
      </c>
      <c r="V282" s="24" t="n">
        <v>0</v>
      </c>
      <c r="W282" s="24" t="n">
        <v>0</v>
      </c>
      <c r="X282" s="24" t="n">
        <v>0</v>
      </c>
      <c r="Y282" s="24">
        <f>X282 / 12</f>
        <v/>
      </c>
      <c r="Z282" s="15" t="n">
        <v>-100</v>
      </c>
      <c r="AA282" s="24">
        <f>I282</f>
        <v/>
      </c>
      <c r="AB282" s="24">
        <f>Q282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 t="n">
        <v>0</v>
      </c>
      <c r="J283" s="21">
        <f>I283 * (0.01000000 / 12)</f>
        <v/>
      </c>
      <c r="K283" s="21">
        <f>(I283 - J283) * (0.00664805 / 12) * 1.0</f>
        <v/>
      </c>
      <c r="L283" s="21" t="n">
        <v>0</v>
      </c>
      <c r="M283" s="25">
        <f>(I283 - J283) - K283 + L283</f>
        <v/>
      </c>
      <c r="N283" s="25">
        <f>M283 * (0.00400000 / 12) * 1.0</f>
        <v/>
      </c>
      <c r="O283" s="25">
        <f>M283 * (0.00500000 / 12) * 1.0</f>
        <v/>
      </c>
      <c r="P283" s="25">
        <f>Y283</f>
        <v/>
      </c>
      <c r="Q283" s="25">
        <f>MAX(0, M283 - N283 - O283 - P283)</f>
        <v/>
      </c>
      <c r="R283" s="25" t="n">
        <v>0</v>
      </c>
      <c r="S283" s="25" t="n">
        <v>0</v>
      </c>
      <c r="T283" s="25" t="n">
        <v>0</v>
      </c>
      <c r="U283" s="25" t="n">
        <v>0</v>
      </c>
      <c r="V283" s="25" t="n">
        <v>0</v>
      </c>
      <c r="W283" s="25" t="n">
        <v>0</v>
      </c>
      <c r="X283" s="25" t="n">
        <v>0</v>
      </c>
      <c r="Y283" s="25">
        <f>X283 / 12</f>
        <v/>
      </c>
      <c r="Z283" s="17" t="n">
        <v>-101</v>
      </c>
      <c r="AA283" s="25">
        <f>I283</f>
        <v/>
      </c>
      <c r="AB283" s="25">
        <f>Q283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 t="n">
        <v>0</v>
      </c>
      <c r="J284" s="19">
        <f>I284 * (0.01000000 / 12)</f>
        <v/>
      </c>
      <c r="K284" s="19">
        <f>(I284 - J284) * (0.00664805 / 12) * 1.0</f>
        <v/>
      </c>
      <c r="L284" s="19" t="n">
        <v>0</v>
      </c>
      <c r="M284" s="24">
        <f>(I284 - J284) - K284 + L284</f>
        <v/>
      </c>
      <c r="N284" s="24">
        <f>M284 * (0.00400000 / 12) * 1.0</f>
        <v/>
      </c>
      <c r="O284" s="24">
        <f>M284 * (0.00500000 / 12) * 1.0</f>
        <v/>
      </c>
      <c r="P284" s="24">
        <f>Y284</f>
        <v/>
      </c>
      <c r="Q284" s="24">
        <f>MAX(0, M284 - N284 - O284 - P284)</f>
        <v/>
      </c>
      <c r="R284" s="24" t="n">
        <v>0</v>
      </c>
      <c r="S284" s="24" t="n">
        <v>0</v>
      </c>
      <c r="T284" s="24" t="n">
        <v>0</v>
      </c>
      <c r="U284" s="24" t="n">
        <v>0</v>
      </c>
      <c r="V284" s="24" t="n">
        <v>0</v>
      </c>
      <c r="W284" s="24" t="n">
        <v>0</v>
      </c>
      <c r="X284" s="24" t="n">
        <v>0</v>
      </c>
      <c r="Y284" s="24">
        <f>X284 / 12</f>
        <v/>
      </c>
      <c r="Z284" s="15" t="n">
        <v>-102</v>
      </c>
      <c r="AA284" s="24">
        <f>I284</f>
        <v/>
      </c>
      <c r="AB284" s="24">
        <f>Q284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 t="n">
        <v>0</v>
      </c>
      <c r="J285" s="21">
        <f>I285 * (0.01000000 / 12)</f>
        <v/>
      </c>
      <c r="K285" s="21">
        <f>(I285 - J285) * (0.00664805 / 12) * 1.0</f>
        <v/>
      </c>
      <c r="L285" s="21" t="n">
        <v>0</v>
      </c>
      <c r="M285" s="25">
        <f>(I285 - J285) - K285 + L285</f>
        <v/>
      </c>
      <c r="N285" s="25">
        <f>M285 * (0.00400000 / 12) * 1.0</f>
        <v/>
      </c>
      <c r="O285" s="25">
        <f>M285 * (0.00500000 / 12) * 1.0</f>
        <v/>
      </c>
      <c r="P285" s="25">
        <f>Y285</f>
        <v/>
      </c>
      <c r="Q285" s="25">
        <f>MAX(0, M285 - N285 - O285 - P285)</f>
        <v/>
      </c>
      <c r="R285" s="25" t="n">
        <v>0</v>
      </c>
      <c r="S285" s="25" t="n">
        <v>0</v>
      </c>
      <c r="T285" s="25" t="n">
        <v>0</v>
      </c>
      <c r="U285" s="25" t="n">
        <v>0</v>
      </c>
      <c r="V285" s="25" t="n">
        <v>0</v>
      </c>
      <c r="W285" s="25" t="n">
        <v>0</v>
      </c>
      <c r="X285" s="25" t="n">
        <v>0</v>
      </c>
      <c r="Y285" s="25">
        <f>X285 / 12</f>
        <v/>
      </c>
      <c r="Z285" s="17" t="n">
        <v>-103</v>
      </c>
      <c r="AA285" s="25">
        <f>I285</f>
        <v/>
      </c>
      <c r="AB285" s="25">
        <f>Q285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 t="n">
        <v>0</v>
      </c>
      <c r="J286" s="19">
        <f>I286 * (0.01000000 / 12)</f>
        <v/>
      </c>
      <c r="K286" s="19">
        <f>(I286 - J286) * (0.00664805 / 12) * 1.0</f>
        <v/>
      </c>
      <c r="L286" s="19" t="n">
        <v>0</v>
      </c>
      <c r="M286" s="24">
        <f>(I286 - J286) - K286 + L286</f>
        <v/>
      </c>
      <c r="N286" s="24">
        <f>M286 * (0.00400000 / 12) * 1.0</f>
        <v/>
      </c>
      <c r="O286" s="24">
        <f>M286 * (0.00500000 / 12) * 1.0</f>
        <v/>
      </c>
      <c r="P286" s="24">
        <f>Y286</f>
        <v/>
      </c>
      <c r="Q286" s="24">
        <f>MAX(0, M286 - N286 - O286 - P286)</f>
        <v/>
      </c>
      <c r="R286" s="24" t="n">
        <v>0</v>
      </c>
      <c r="S286" s="24" t="n">
        <v>0</v>
      </c>
      <c r="T286" s="24" t="n">
        <v>0</v>
      </c>
      <c r="U286" s="24" t="n">
        <v>0</v>
      </c>
      <c r="V286" s="24" t="n">
        <v>0</v>
      </c>
      <c r="W286" s="24" t="n">
        <v>0</v>
      </c>
      <c r="X286" s="24" t="n">
        <v>0</v>
      </c>
      <c r="Y286" s="24">
        <f>X286 / 12</f>
        <v/>
      </c>
      <c r="Z286" s="15" t="n">
        <v>-104</v>
      </c>
      <c r="AA286" s="24">
        <f>I286</f>
        <v/>
      </c>
      <c r="AB286" s="24">
        <f>Q286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 t="n">
        <v>0</v>
      </c>
      <c r="J287" s="21">
        <f>I287 * (0.01000000 / 12)</f>
        <v/>
      </c>
      <c r="K287" s="21">
        <f>(I287 - J287) * (0.00664805 / 12) * 1.0</f>
        <v/>
      </c>
      <c r="L287" s="21" t="n">
        <v>0</v>
      </c>
      <c r="M287" s="25">
        <f>(I287 - J287) - K287 + L287</f>
        <v/>
      </c>
      <c r="N287" s="25">
        <f>M287 * (0.00400000 / 12) * 1.0</f>
        <v/>
      </c>
      <c r="O287" s="25">
        <f>M287 * (0.00500000 / 12) * 1.0</f>
        <v/>
      </c>
      <c r="P287" s="25">
        <f>Y287</f>
        <v/>
      </c>
      <c r="Q287" s="25">
        <f>MAX(0, M287 - N287 - O287 - P287)</f>
        <v/>
      </c>
      <c r="R287" s="25" t="n">
        <v>0</v>
      </c>
      <c r="S287" s="25" t="n">
        <v>0</v>
      </c>
      <c r="T287" s="25" t="n">
        <v>0</v>
      </c>
      <c r="U287" s="25" t="n">
        <v>0</v>
      </c>
      <c r="V287" s="25" t="n">
        <v>0</v>
      </c>
      <c r="W287" s="25" t="n">
        <v>0</v>
      </c>
      <c r="X287" s="25" t="n">
        <v>0</v>
      </c>
      <c r="Y287" s="25">
        <f>X287 / 12</f>
        <v/>
      </c>
      <c r="Z287" s="17" t="n">
        <v>-105</v>
      </c>
      <c r="AA287" s="25">
        <f>I287</f>
        <v/>
      </c>
      <c r="AB287" s="25">
        <f>Q287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 t="n">
        <v>0</v>
      </c>
      <c r="J288" s="19">
        <f>I288 * (0.01000000 / 12)</f>
        <v/>
      </c>
      <c r="K288" s="19">
        <f>(I288 - J288) * (0.00664805 / 12) * 1.0</f>
        <v/>
      </c>
      <c r="L288" s="19" t="n">
        <v>0</v>
      </c>
      <c r="M288" s="24">
        <f>(I288 - J288) - K288 + L288</f>
        <v/>
      </c>
      <c r="N288" s="24">
        <f>M288 * (0.00400000 / 12) * 1.0</f>
        <v/>
      </c>
      <c r="O288" s="24">
        <f>M288 * (0.00500000 / 12) * 1.0</f>
        <v/>
      </c>
      <c r="P288" s="24">
        <f>Y288</f>
        <v/>
      </c>
      <c r="Q288" s="24">
        <f>MAX(0, M288 - N288 - O288 - P288)</f>
        <v/>
      </c>
      <c r="R288" s="24" t="n">
        <v>0</v>
      </c>
      <c r="S288" s="24" t="n">
        <v>0</v>
      </c>
      <c r="T288" s="24" t="n">
        <v>0</v>
      </c>
      <c r="U288" s="24" t="n">
        <v>0</v>
      </c>
      <c r="V288" s="24" t="n">
        <v>0</v>
      </c>
      <c r="W288" s="24" t="n">
        <v>0</v>
      </c>
      <c r="X288" s="24" t="n">
        <v>0</v>
      </c>
      <c r="Y288" s="24">
        <f>X288 / 12</f>
        <v/>
      </c>
      <c r="Z288" s="15" t="n">
        <v>-106</v>
      </c>
      <c r="AA288" s="24">
        <f>I288</f>
        <v/>
      </c>
      <c r="AB288" s="24">
        <f>Q288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 t="n">
        <v>0</v>
      </c>
      <c r="J289" s="21">
        <f>I289 * (0.01000000 / 12)</f>
        <v/>
      </c>
      <c r="K289" s="21">
        <f>(I289 - J289) * (0.00664805 / 12) * 1.0</f>
        <v/>
      </c>
      <c r="L289" s="21" t="n">
        <v>0</v>
      </c>
      <c r="M289" s="25">
        <f>(I289 - J289) - K289 + L289</f>
        <v/>
      </c>
      <c r="N289" s="25">
        <f>M289 * (0.00400000 / 12) * 1.0</f>
        <v/>
      </c>
      <c r="O289" s="25">
        <f>M289 * (0.00500000 / 12) * 1.0</f>
        <v/>
      </c>
      <c r="P289" s="25">
        <f>Y289</f>
        <v/>
      </c>
      <c r="Q289" s="25">
        <f>MAX(0, M289 - N289 - O289 - P289)</f>
        <v/>
      </c>
      <c r="R289" s="25" t="n">
        <v>0</v>
      </c>
      <c r="S289" s="25" t="n">
        <v>0</v>
      </c>
      <c r="T289" s="25" t="n">
        <v>0</v>
      </c>
      <c r="U289" s="25" t="n">
        <v>0</v>
      </c>
      <c r="V289" s="25" t="n">
        <v>0</v>
      </c>
      <c r="W289" s="25" t="n">
        <v>0</v>
      </c>
      <c r="X289" s="25" t="n">
        <v>0</v>
      </c>
      <c r="Y289" s="25">
        <f>X289 / 12</f>
        <v/>
      </c>
      <c r="Z289" s="17" t="n">
        <v>-107</v>
      </c>
      <c r="AA289" s="25">
        <f>I289</f>
        <v/>
      </c>
      <c r="AB289" s="25">
        <f>Q289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 t="n">
        <v>0</v>
      </c>
      <c r="J290" s="19">
        <f>I290 * (0.01000000 / 12)</f>
        <v/>
      </c>
      <c r="K290" s="19">
        <f>(I290 - J290) * (0.00664805 / 12) * 1.0</f>
        <v/>
      </c>
      <c r="L290" s="19" t="n">
        <v>0</v>
      </c>
      <c r="M290" s="24">
        <f>(I290 - J290) - K290 + L290</f>
        <v/>
      </c>
      <c r="N290" s="24">
        <f>M290 * (0.00400000 / 12) * 1.0</f>
        <v/>
      </c>
      <c r="O290" s="24">
        <f>M290 * (0.00500000 / 12) * 1.0</f>
        <v/>
      </c>
      <c r="P290" s="24">
        <f>Y290</f>
        <v/>
      </c>
      <c r="Q290" s="24">
        <f>MAX(0, M290 - N290 - O290 - P290)</f>
        <v/>
      </c>
      <c r="R290" s="24" t="n">
        <v>0</v>
      </c>
      <c r="S290" s="24" t="n">
        <v>0</v>
      </c>
      <c r="T290" s="24" t="n">
        <v>0</v>
      </c>
      <c r="U290" s="24" t="n">
        <v>0</v>
      </c>
      <c r="V290" s="24" t="n">
        <v>0</v>
      </c>
      <c r="W290" s="24" t="n">
        <v>0</v>
      </c>
      <c r="X290" s="24" t="n">
        <v>0</v>
      </c>
      <c r="Y290" s="24">
        <f>X290 / 12</f>
        <v/>
      </c>
      <c r="Z290" s="15" t="n">
        <v>-108</v>
      </c>
      <c r="AA290" s="24">
        <f>I290</f>
        <v/>
      </c>
      <c r="AB290" s="24">
        <f>Q290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 t="n">
        <v>0</v>
      </c>
      <c r="J291" s="21">
        <f>I291 * (0.01000000 / 12)</f>
        <v/>
      </c>
      <c r="K291" s="21">
        <f>(I291 - J291) * (0.00664805 / 12) * 1.0</f>
        <v/>
      </c>
      <c r="L291" s="21" t="n">
        <v>0</v>
      </c>
      <c r="M291" s="25">
        <f>(I291 - J291) - K291 + L291</f>
        <v/>
      </c>
      <c r="N291" s="25">
        <f>M291 * (0.00400000 / 12) * 1.0</f>
        <v/>
      </c>
      <c r="O291" s="25">
        <f>M291 * (0.00500000 / 12) * 1.0</f>
        <v/>
      </c>
      <c r="P291" s="25">
        <f>Y291</f>
        <v/>
      </c>
      <c r="Q291" s="25">
        <f>MAX(0, M291 - N291 - O291 - P291)</f>
        <v/>
      </c>
      <c r="R291" s="25" t="n">
        <v>0</v>
      </c>
      <c r="S291" s="25" t="n">
        <v>0</v>
      </c>
      <c r="T291" s="25" t="n">
        <v>0</v>
      </c>
      <c r="U291" s="25" t="n">
        <v>0</v>
      </c>
      <c r="V291" s="25" t="n">
        <v>0</v>
      </c>
      <c r="W291" s="25" t="n">
        <v>0</v>
      </c>
      <c r="X291" s="25" t="n">
        <v>0</v>
      </c>
      <c r="Y291" s="25">
        <f>X291 / 12</f>
        <v/>
      </c>
      <c r="Z291" s="17" t="n">
        <v>-109</v>
      </c>
      <c r="AA291" s="25">
        <f>I291</f>
        <v/>
      </c>
      <c r="AB291" s="25">
        <f>Q291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 t="n">
        <v>0</v>
      </c>
      <c r="J292" s="19">
        <f>I292 * (0.01000000 / 12)</f>
        <v/>
      </c>
      <c r="K292" s="19">
        <f>(I292 - J292) * (0.00664805 / 12) * 1.0</f>
        <v/>
      </c>
      <c r="L292" s="19" t="n">
        <v>0</v>
      </c>
      <c r="M292" s="24">
        <f>(I292 - J292) - K292 + L292</f>
        <v/>
      </c>
      <c r="N292" s="24">
        <f>M292 * (0.00400000 / 12) * 1.0</f>
        <v/>
      </c>
      <c r="O292" s="24">
        <f>M292 * (0.00500000 / 12) * 1.0</f>
        <v/>
      </c>
      <c r="P292" s="24">
        <f>Y292</f>
        <v/>
      </c>
      <c r="Q292" s="24">
        <f>MAX(0, M292 - N292 - O292 - P292)</f>
        <v/>
      </c>
      <c r="R292" s="24" t="n">
        <v>0</v>
      </c>
      <c r="S292" s="24" t="n">
        <v>0</v>
      </c>
      <c r="T292" s="24" t="n">
        <v>0</v>
      </c>
      <c r="U292" s="24" t="n">
        <v>0</v>
      </c>
      <c r="V292" s="24" t="n">
        <v>0</v>
      </c>
      <c r="W292" s="24" t="n">
        <v>0</v>
      </c>
      <c r="X292" s="24" t="n">
        <v>0</v>
      </c>
      <c r="Y292" s="24">
        <f>X292 / 12</f>
        <v/>
      </c>
      <c r="Z292" s="15" t="n">
        <v>-110</v>
      </c>
      <c r="AA292" s="24">
        <f>I292</f>
        <v/>
      </c>
      <c r="AB292" s="24">
        <f>Q292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 t="n">
        <v>0</v>
      </c>
      <c r="J293" s="21">
        <f>I293 * (0.01000000 / 12)</f>
        <v/>
      </c>
      <c r="K293" s="21">
        <f>(I293 - J293) * (0.00664805 / 12) * 1.0</f>
        <v/>
      </c>
      <c r="L293" s="21" t="n">
        <v>0</v>
      </c>
      <c r="M293" s="25">
        <f>(I293 - J293) - K293 + L293</f>
        <v/>
      </c>
      <c r="N293" s="25">
        <f>M293 * (0.00400000 / 12) * 1.0</f>
        <v/>
      </c>
      <c r="O293" s="25">
        <f>M293 * (0.00500000 / 12) * 1.0</f>
        <v/>
      </c>
      <c r="P293" s="25">
        <f>Y293</f>
        <v/>
      </c>
      <c r="Q293" s="25">
        <f>MAX(0, M293 - N293 - O293 - P293)</f>
        <v/>
      </c>
      <c r="R293" s="25" t="n">
        <v>0</v>
      </c>
      <c r="S293" s="25" t="n">
        <v>0</v>
      </c>
      <c r="T293" s="25" t="n">
        <v>0</v>
      </c>
      <c r="U293" s="25" t="n">
        <v>0</v>
      </c>
      <c r="V293" s="25" t="n">
        <v>0</v>
      </c>
      <c r="W293" s="25" t="n">
        <v>0</v>
      </c>
      <c r="X293" s="25" t="n">
        <v>0</v>
      </c>
      <c r="Y293" s="25">
        <f>X293 / 12</f>
        <v/>
      </c>
      <c r="Z293" s="17" t="n">
        <v>-111</v>
      </c>
      <c r="AA293" s="25">
        <f>I293</f>
        <v/>
      </c>
      <c r="AB293" s="25">
        <f>Q293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 t="n">
        <v>0</v>
      </c>
      <c r="J294" s="19">
        <f>I294 * (0.01000000 / 12)</f>
        <v/>
      </c>
      <c r="K294" s="19">
        <f>(I294 - J294) * (0.00664805 / 12) * 1.0</f>
        <v/>
      </c>
      <c r="L294" s="19" t="n">
        <v>0</v>
      </c>
      <c r="M294" s="24">
        <f>(I294 - J294) - K294 + L294</f>
        <v/>
      </c>
      <c r="N294" s="24">
        <f>M294 * (0.00400000 / 12) * 1.0</f>
        <v/>
      </c>
      <c r="O294" s="24">
        <f>M294 * (0.00500000 / 12) * 1.0</f>
        <v/>
      </c>
      <c r="P294" s="24">
        <f>Y294</f>
        <v/>
      </c>
      <c r="Q294" s="24">
        <f>MAX(0, M294 - N294 - O294 - P294)</f>
        <v/>
      </c>
      <c r="R294" s="24" t="n">
        <v>0</v>
      </c>
      <c r="S294" s="24" t="n">
        <v>0</v>
      </c>
      <c r="T294" s="24" t="n">
        <v>0</v>
      </c>
      <c r="U294" s="24" t="n">
        <v>0</v>
      </c>
      <c r="V294" s="24" t="n">
        <v>0</v>
      </c>
      <c r="W294" s="24" t="n">
        <v>0</v>
      </c>
      <c r="X294" s="24" t="n">
        <v>0</v>
      </c>
      <c r="Y294" s="24">
        <f>X294 / 12</f>
        <v/>
      </c>
      <c r="Z294" s="15" t="n">
        <v>-112</v>
      </c>
      <c r="AA294" s="24">
        <f>I294</f>
        <v/>
      </c>
      <c r="AB294" s="24">
        <f>Q294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 t="n">
        <v>0</v>
      </c>
      <c r="J295" s="21">
        <f>I295 * (0.01000000 / 12)</f>
        <v/>
      </c>
      <c r="K295" s="21">
        <f>(I295 - J295) * (0.00664805 / 12) * 1.0</f>
        <v/>
      </c>
      <c r="L295" s="21" t="n">
        <v>0</v>
      </c>
      <c r="M295" s="25">
        <f>(I295 - J295) - K295 + L295</f>
        <v/>
      </c>
      <c r="N295" s="25">
        <f>M295 * (0.00400000 / 12) * 1.0</f>
        <v/>
      </c>
      <c r="O295" s="25">
        <f>M295 * (0.00500000 / 12) * 1.0</f>
        <v/>
      </c>
      <c r="P295" s="25">
        <f>Y295</f>
        <v/>
      </c>
      <c r="Q295" s="25">
        <f>MAX(0, M295 - N295 - O295 - P295)</f>
        <v/>
      </c>
      <c r="R295" s="25" t="n">
        <v>0</v>
      </c>
      <c r="S295" s="25" t="n">
        <v>0</v>
      </c>
      <c r="T295" s="25" t="n">
        <v>0</v>
      </c>
      <c r="U295" s="25" t="n">
        <v>0</v>
      </c>
      <c r="V295" s="25" t="n">
        <v>0</v>
      </c>
      <c r="W295" s="25" t="n">
        <v>0</v>
      </c>
      <c r="X295" s="25" t="n">
        <v>0</v>
      </c>
      <c r="Y295" s="25">
        <f>X295 / 12</f>
        <v/>
      </c>
      <c r="Z295" s="17" t="n">
        <v>-113</v>
      </c>
      <c r="AA295" s="25">
        <f>I295</f>
        <v/>
      </c>
      <c r="AB295" s="25">
        <f>Q295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 t="n">
        <v>0</v>
      </c>
      <c r="J296" s="19">
        <f>I296 * (0.01000000 / 12)</f>
        <v/>
      </c>
      <c r="K296" s="19">
        <f>(I296 - J296) * (0.00664805 / 12) * 1.0</f>
        <v/>
      </c>
      <c r="L296" s="19" t="n">
        <v>0</v>
      </c>
      <c r="M296" s="24">
        <f>(I296 - J296) - K296 + L296</f>
        <v/>
      </c>
      <c r="N296" s="24">
        <f>M296 * (0.00400000 / 12) * 1.0</f>
        <v/>
      </c>
      <c r="O296" s="24">
        <f>M296 * (0.00500000 / 12) * 1.0</f>
        <v/>
      </c>
      <c r="P296" s="24">
        <f>Y296</f>
        <v/>
      </c>
      <c r="Q296" s="24">
        <f>MAX(0, M296 - N296 - O296 - P296)</f>
        <v/>
      </c>
      <c r="R296" s="24" t="n">
        <v>0</v>
      </c>
      <c r="S296" s="24" t="n">
        <v>0</v>
      </c>
      <c r="T296" s="24" t="n">
        <v>0</v>
      </c>
      <c r="U296" s="24" t="n">
        <v>0</v>
      </c>
      <c r="V296" s="24" t="n">
        <v>0</v>
      </c>
      <c r="W296" s="24" t="n">
        <v>0</v>
      </c>
      <c r="X296" s="24" t="n">
        <v>0</v>
      </c>
      <c r="Y296" s="24">
        <f>X296 / 12</f>
        <v/>
      </c>
      <c r="Z296" s="15" t="n">
        <v>-114</v>
      </c>
      <c r="AA296" s="24">
        <f>I296</f>
        <v/>
      </c>
      <c r="AB296" s="24">
        <f>Q296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 t="n">
        <v>0</v>
      </c>
      <c r="J297" s="21">
        <f>I297 * (0.01000000 / 12)</f>
        <v/>
      </c>
      <c r="K297" s="21">
        <f>(I297 - J297) * (0.00664805 / 12) * 1.0</f>
        <v/>
      </c>
      <c r="L297" s="21" t="n">
        <v>0</v>
      </c>
      <c r="M297" s="25">
        <f>(I297 - J297) - K297 + L297</f>
        <v/>
      </c>
      <c r="N297" s="25">
        <f>M297 * (0.00400000 / 12) * 1.0</f>
        <v/>
      </c>
      <c r="O297" s="25">
        <f>M297 * (0.00500000 / 12) * 1.0</f>
        <v/>
      </c>
      <c r="P297" s="25">
        <f>Y297</f>
        <v/>
      </c>
      <c r="Q297" s="25">
        <f>MAX(0, M297 - N297 - O297 - P297)</f>
        <v/>
      </c>
      <c r="R297" s="25" t="n">
        <v>0</v>
      </c>
      <c r="S297" s="25" t="n">
        <v>0</v>
      </c>
      <c r="T297" s="25" t="n">
        <v>0</v>
      </c>
      <c r="U297" s="25" t="n">
        <v>0</v>
      </c>
      <c r="V297" s="25" t="n">
        <v>0</v>
      </c>
      <c r="W297" s="25" t="n">
        <v>0</v>
      </c>
      <c r="X297" s="25" t="n">
        <v>0</v>
      </c>
      <c r="Y297" s="25">
        <f>X297 / 12</f>
        <v/>
      </c>
      <c r="Z297" s="17" t="n">
        <v>-115</v>
      </c>
      <c r="AA297" s="25">
        <f>I297</f>
        <v/>
      </c>
      <c r="AB297" s="25">
        <f>Q297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 t="n">
        <v>0</v>
      </c>
      <c r="J298" s="19">
        <f>I298 * (0.01000000 / 12)</f>
        <v/>
      </c>
      <c r="K298" s="19">
        <f>(I298 - J298) * (0.00664805 / 12) * 1.0</f>
        <v/>
      </c>
      <c r="L298" s="19" t="n">
        <v>0</v>
      </c>
      <c r="M298" s="24">
        <f>(I298 - J298) - K298 + L298</f>
        <v/>
      </c>
      <c r="N298" s="24">
        <f>M298 * (0.00400000 / 12) * 1.0</f>
        <v/>
      </c>
      <c r="O298" s="24">
        <f>M298 * (0.00500000 / 12) * 1.0</f>
        <v/>
      </c>
      <c r="P298" s="24">
        <f>Y298</f>
        <v/>
      </c>
      <c r="Q298" s="24">
        <f>MAX(0, M298 - N298 - O298 - P298)</f>
        <v/>
      </c>
      <c r="R298" s="24" t="n">
        <v>0</v>
      </c>
      <c r="S298" s="24" t="n">
        <v>0</v>
      </c>
      <c r="T298" s="24" t="n">
        <v>0</v>
      </c>
      <c r="U298" s="24" t="n">
        <v>0</v>
      </c>
      <c r="V298" s="24" t="n">
        <v>0</v>
      </c>
      <c r="W298" s="24" t="n">
        <v>0</v>
      </c>
      <c r="X298" s="24" t="n">
        <v>0</v>
      </c>
      <c r="Y298" s="24">
        <f>X298 / 12</f>
        <v/>
      </c>
      <c r="Z298" s="15" t="n">
        <v>-116</v>
      </c>
      <c r="AA298" s="24">
        <f>I298</f>
        <v/>
      </c>
      <c r="AB298" s="24">
        <f>Q298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 t="n">
        <v>0</v>
      </c>
      <c r="J299" s="21">
        <f>I299 * (0.01000000 / 12)</f>
        <v/>
      </c>
      <c r="K299" s="21">
        <f>(I299 - J299) * (0.00664805 / 12) * 1.0</f>
        <v/>
      </c>
      <c r="L299" s="21" t="n">
        <v>0</v>
      </c>
      <c r="M299" s="25">
        <f>(I299 - J299) - K299 + L299</f>
        <v/>
      </c>
      <c r="N299" s="25">
        <f>M299 * (0.00400000 / 12) * 1.0</f>
        <v/>
      </c>
      <c r="O299" s="25">
        <f>M299 * (0.00500000 / 12) * 1.0</f>
        <v/>
      </c>
      <c r="P299" s="25">
        <f>Y299</f>
        <v/>
      </c>
      <c r="Q299" s="25">
        <f>MAX(0, M299 - N299 - O299 - P299)</f>
        <v/>
      </c>
      <c r="R299" s="25" t="n">
        <v>0</v>
      </c>
      <c r="S299" s="25" t="n">
        <v>0</v>
      </c>
      <c r="T299" s="25" t="n">
        <v>0</v>
      </c>
      <c r="U299" s="25" t="n">
        <v>0</v>
      </c>
      <c r="V299" s="25" t="n">
        <v>0</v>
      </c>
      <c r="W299" s="25" t="n">
        <v>0</v>
      </c>
      <c r="X299" s="25" t="n">
        <v>0</v>
      </c>
      <c r="Y299" s="25">
        <f>X299 / 12</f>
        <v/>
      </c>
      <c r="Z299" s="17" t="n">
        <v>-117</v>
      </c>
      <c r="AA299" s="25">
        <f>I299</f>
        <v/>
      </c>
      <c r="AB299" s="25">
        <f>Q299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 t="n">
        <v>0</v>
      </c>
      <c r="J300" s="19">
        <f>I300 * (0.01000000 / 12)</f>
        <v/>
      </c>
      <c r="K300" s="19">
        <f>(I300 - J300) * (0.00664805 / 12) * 1.0</f>
        <v/>
      </c>
      <c r="L300" s="19" t="n">
        <v>0</v>
      </c>
      <c r="M300" s="24">
        <f>(I300 - J300) - K300 + L300</f>
        <v/>
      </c>
      <c r="N300" s="24">
        <f>M300 * (0.00400000 / 12) * 1.0</f>
        <v/>
      </c>
      <c r="O300" s="24">
        <f>M300 * (0.00500000 / 12) * 1.0</f>
        <v/>
      </c>
      <c r="P300" s="24">
        <f>Y300</f>
        <v/>
      </c>
      <c r="Q300" s="24">
        <f>MAX(0, M300 - N300 - O300 - P300)</f>
        <v/>
      </c>
      <c r="R300" s="24" t="n">
        <v>0</v>
      </c>
      <c r="S300" s="24" t="n">
        <v>0</v>
      </c>
      <c r="T300" s="24" t="n">
        <v>0</v>
      </c>
      <c r="U300" s="24" t="n">
        <v>0</v>
      </c>
      <c r="V300" s="24" t="n">
        <v>0</v>
      </c>
      <c r="W300" s="24" t="n">
        <v>0</v>
      </c>
      <c r="X300" s="24" t="n">
        <v>0</v>
      </c>
      <c r="Y300" s="24">
        <f>X300 / 12</f>
        <v/>
      </c>
      <c r="Z300" s="15" t="n">
        <v>-118</v>
      </c>
      <c r="AA300" s="24">
        <f>I300</f>
        <v/>
      </c>
      <c r="AB300" s="24">
        <f>Q300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 t="n">
        <v>0</v>
      </c>
      <c r="J301" s="21">
        <f>I301 * (0.01000000 / 12)</f>
        <v/>
      </c>
      <c r="K301" s="21">
        <f>(I301 - J301) * (0.00664805 / 12) * 1.0</f>
        <v/>
      </c>
      <c r="L301" s="21" t="n">
        <v>0</v>
      </c>
      <c r="M301" s="25">
        <f>(I301 - J301) - K301 + L301</f>
        <v/>
      </c>
      <c r="N301" s="25">
        <f>M301 * (0.00400000 / 12) * 1.0</f>
        <v/>
      </c>
      <c r="O301" s="25">
        <f>M301 * (0.00500000 / 12) * 1.0</f>
        <v/>
      </c>
      <c r="P301" s="25">
        <f>Y301</f>
        <v/>
      </c>
      <c r="Q301" s="25">
        <f>MAX(0, M301 - N301 - O301 - P301)</f>
        <v/>
      </c>
      <c r="R301" s="25" t="n">
        <v>0</v>
      </c>
      <c r="S301" s="25" t="n">
        <v>0</v>
      </c>
      <c r="T301" s="25" t="n">
        <v>0</v>
      </c>
      <c r="U301" s="25" t="n">
        <v>0</v>
      </c>
      <c r="V301" s="25" t="n">
        <v>0</v>
      </c>
      <c r="W301" s="25" t="n">
        <v>0</v>
      </c>
      <c r="X301" s="25" t="n">
        <v>0</v>
      </c>
      <c r="Y301" s="25">
        <f>X301 / 12</f>
        <v/>
      </c>
      <c r="Z301" s="17" t="n">
        <v>-119</v>
      </c>
      <c r="AA301" s="25">
        <f>I301</f>
        <v/>
      </c>
      <c r="AB301" s="25">
        <f>Q301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 t="n">
        <v>0</v>
      </c>
      <c r="J302" s="19">
        <f>I302 * (0.01000000 / 12)</f>
        <v/>
      </c>
      <c r="K302" s="19">
        <f>(I302 - J302) * (0.00664805 / 12) * 1.0</f>
        <v/>
      </c>
      <c r="L302" s="19" t="n">
        <v>0</v>
      </c>
      <c r="M302" s="24">
        <f>(I302 - J302) - K302 + L302</f>
        <v/>
      </c>
      <c r="N302" s="24">
        <f>M302 * (0.00400000 / 12) * 1.0</f>
        <v/>
      </c>
      <c r="O302" s="24">
        <f>M302 * (0.00500000 / 12) * 1.0</f>
        <v/>
      </c>
      <c r="P302" s="24">
        <f>Y302</f>
        <v/>
      </c>
      <c r="Q302" s="24">
        <f>MAX(0, M302 - N302 - O302 - P302)</f>
        <v/>
      </c>
      <c r="R302" s="24" t="n">
        <v>0</v>
      </c>
      <c r="S302" s="24" t="n">
        <v>0</v>
      </c>
      <c r="T302" s="24" t="n">
        <v>0</v>
      </c>
      <c r="U302" s="24" t="n">
        <v>0</v>
      </c>
      <c r="V302" s="24" t="n">
        <v>0</v>
      </c>
      <c r="W302" s="24" t="n">
        <v>0</v>
      </c>
      <c r="X302" s="24" t="n">
        <v>0</v>
      </c>
      <c r="Y302" s="24">
        <f>X302 / 12</f>
        <v/>
      </c>
      <c r="Z302" s="15" t="n">
        <v>-120</v>
      </c>
      <c r="AA302" s="24">
        <f>I302</f>
        <v/>
      </c>
      <c r="AB302" s="24">
        <f>Q302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 t="n">
        <v>0</v>
      </c>
      <c r="J303" s="21">
        <f>I303 * (0.01000000 / 12)</f>
        <v/>
      </c>
      <c r="K303" s="21">
        <f>(I303 - J303) * (0.00664805 / 12) * 1.0</f>
        <v/>
      </c>
      <c r="L303" s="21" t="n">
        <v>0</v>
      </c>
      <c r="M303" s="25">
        <f>(I303 - J303) - K303 + L303</f>
        <v/>
      </c>
      <c r="N303" s="25">
        <f>M303 * (0.00400000 / 12) * 1.0</f>
        <v/>
      </c>
      <c r="O303" s="25">
        <f>M303 * (0.00500000 / 12) * 1.0</f>
        <v/>
      </c>
      <c r="P303" s="25">
        <f>Y303</f>
        <v/>
      </c>
      <c r="Q303" s="25">
        <f>MAX(0, M303 - N303 - O303 - P303)</f>
        <v/>
      </c>
      <c r="R303" s="25" t="n">
        <v>0</v>
      </c>
      <c r="S303" s="25" t="n">
        <v>0</v>
      </c>
      <c r="T303" s="25" t="n">
        <v>0</v>
      </c>
      <c r="U303" s="25" t="n">
        <v>0</v>
      </c>
      <c r="V303" s="25" t="n">
        <v>0</v>
      </c>
      <c r="W303" s="25" t="n">
        <v>0</v>
      </c>
      <c r="X303" s="25" t="n">
        <v>0</v>
      </c>
      <c r="Y303" s="25">
        <f>X303 / 12</f>
        <v/>
      </c>
      <c r="Z303" s="17" t="n">
        <v>-121</v>
      </c>
      <c r="AA303" s="25">
        <f>I303</f>
        <v/>
      </c>
      <c r="AB303" s="25">
        <f>Q303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 t="n">
        <v>0</v>
      </c>
      <c r="J304" s="19">
        <f>I304 * (0.01000000 / 12)</f>
        <v/>
      </c>
      <c r="K304" s="19">
        <f>(I304 - J304) * (0.00664805 / 12) * 1.0</f>
        <v/>
      </c>
      <c r="L304" s="19" t="n">
        <v>0</v>
      </c>
      <c r="M304" s="24">
        <f>(I304 - J304) - K304 + L304</f>
        <v/>
      </c>
      <c r="N304" s="24">
        <f>M304 * (0.00400000 / 12) * 1.0</f>
        <v/>
      </c>
      <c r="O304" s="24">
        <f>M304 * (0.00500000 / 12) * 1.0</f>
        <v/>
      </c>
      <c r="P304" s="24">
        <f>Y304</f>
        <v/>
      </c>
      <c r="Q304" s="24">
        <f>MAX(0, M304 - N304 - O304 - P304)</f>
        <v/>
      </c>
      <c r="R304" s="24" t="n">
        <v>0</v>
      </c>
      <c r="S304" s="24" t="n">
        <v>0</v>
      </c>
      <c r="T304" s="24" t="n">
        <v>0</v>
      </c>
      <c r="U304" s="24" t="n">
        <v>0</v>
      </c>
      <c r="V304" s="24" t="n">
        <v>0</v>
      </c>
      <c r="W304" s="24" t="n">
        <v>0</v>
      </c>
      <c r="X304" s="24" t="n">
        <v>0</v>
      </c>
      <c r="Y304" s="24">
        <f>X304 / 12</f>
        <v/>
      </c>
      <c r="Z304" s="15" t="n">
        <v>-122</v>
      </c>
      <c r="AA304" s="24">
        <f>I304</f>
        <v/>
      </c>
      <c r="AB304" s="24">
        <f>Q304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 t="n">
        <v>0</v>
      </c>
      <c r="J305" s="21">
        <f>I305 * (0.01000000 / 12)</f>
        <v/>
      </c>
      <c r="K305" s="21">
        <f>(I305 - J305) * (0.00664805 / 12) * 1.0</f>
        <v/>
      </c>
      <c r="L305" s="21" t="n">
        <v>0</v>
      </c>
      <c r="M305" s="25">
        <f>(I305 - J305) - K305 + L305</f>
        <v/>
      </c>
      <c r="N305" s="25">
        <f>M305 * (0.00400000 / 12) * 1.0</f>
        <v/>
      </c>
      <c r="O305" s="25">
        <f>M305 * (0.00500000 / 12) * 1.0</f>
        <v/>
      </c>
      <c r="P305" s="25">
        <f>Y305</f>
        <v/>
      </c>
      <c r="Q305" s="25">
        <f>MAX(0, M305 - N305 - O305 - P305)</f>
        <v/>
      </c>
      <c r="R305" s="25" t="n">
        <v>0</v>
      </c>
      <c r="S305" s="25" t="n">
        <v>0</v>
      </c>
      <c r="T305" s="25" t="n">
        <v>0</v>
      </c>
      <c r="U305" s="25" t="n">
        <v>0</v>
      </c>
      <c r="V305" s="25" t="n">
        <v>0</v>
      </c>
      <c r="W305" s="25" t="n">
        <v>0</v>
      </c>
      <c r="X305" s="25" t="n">
        <v>0</v>
      </c>
      <c r="Y305" s="25">
        <f>X305 / 12</f>
        <v/>
      </c>
      <c r="Z305" s="17" t="n">
        <v>-123</v>
      </c>
      <c r="AA305" s="25">
        <f>I305</f>
        <v/>
      </c>
      <c r="AB305" s="25">
        <f>Q305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 t="n">
        <v>0</v>
      </c>
      <c r="J306" s="19">
        <f>I306 * (0.01000000 / 12)</f>
        <v/>
      </c>
      <c r="K306" s="19">
        <f>(I306 - J306) * (0.00664805 / 12) * 1.0</f>
        <v/>
      </c>
      <c r="L306" s="19" t="n">
        <v>0</v>
      </c>
      <c r="M306" s="24">
        <f>(I306 - J306) - K306 + L306</f>
        <v/>
      </c>
      <c r="N306" s="24">
        <f>M306 * (0.00400000 / 12) * 1.0</f>
        <v/>
      </c>
      <c r="O306" s="24">
        <f>M306 * (0.00500000 / 12) * 1.0</f>
        <v/>
      </c>
      <c r="P306" s="24">
        <f>Y306</f>
        <v/>
      </c>
      <c r="Q306" s="24">
        <f>MAX(0, M306 - N306 - O306 - P306)</f>
        <v/>
      </c>
      <c r="R306" s="24" t="n">
        <v>0</v>
      </c>
      <c r="S306" s="24" t="n">
        <v>0</v>
      </c>
      <c r="T306" s="24" t="n">
        <v>0</v>
      </c>
      <c r="U306" s="24" t="n">
        <v>0</v>
      </c>
      <c r="V306" s="24" t="n">
        <v>0</v>
      </c>
      <c r="W306" s="24" t="n">
        <v>0</v>
      </c>
      <c r="X306" s="24" t="n">
        <v>0</v>
      </c>
      <c r="Y306" s="24">
        <f>X306 / 12</f>
        <v/>
      </c>
      <c r="Z306" s="15" t="n">
        <v>-124</v>
      </c>
      <c r="AA306" s="24">
        <f>I306</f>
        <v/>
      </c>
      <c r="AB306" s="24">
        <f>Q306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 t="n">
        <v>0</v>
      </c>
      <c r="J307" s="21">
        <f>I307 * (0.01000000 / 12)</f>
        <v/>
      </c>
      <c r="K307" s="21">
        <f>(I307 - J307) * (0.00664805 / 12) * 1.0</f>
        <v/>
      </c>
      <c r="L307" s="21" t="n">
        <v>0</v>
      </c>
      <c r="M307" s="25">
        <f>(I307 - J307) - K307 + L307</f>
        <v/>
      </c>
      <c r="N307" s="25">
        <f>M307 * (0.00400000 / 12) * 1.0</f>
        <v/>
      </c>
      <c r="O307" s="25">
        <f>M307 * (0.00500000 / 12) * 1.0</f>
        <v/>
      </c>
      <c r="P307" s="25">
        <f>Y307</f>
        <v/>
      </c>
      <c r="Q307" s="25">
        <f>MAX(0, M307 - N307 - O307 - P307)</f>
        <v/>
      </c>
      <c r="R307" s="25" t="n">
        <v>0</v>
      </c>
      <c r="S307" s="25" t="n">
        <v>0</v>
      </c>
      <c r="T307" s="25" t="n">
        <v>0</v>
      </c>
      <c r="U307" s="25" t="n">
        <v>0</v>
      </c>
      <c r="V307" s="25" t="n">
        <v>0</v>
      </c>
      <c r="W307" s="25" t="n">
        <v>0</v>
      </c>
      <c r="X307" s="25" t="n">
        <v>0</v>
      </c>
      <c r="Y307" s="25">
        <f>X307 / 12</f>
        <v/>
      </c>
      <c r="Z307" s="17" t="n">
        <v>-125</v>
      </c>
      <c r="AA307" s="25">
        <f>I307</f>
        <v/>
      </c>
      <c r="AB307" s="25">
        <f>Q307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 t="n">
        <v>0</v>
      </c>
      <c r="J308" s="19">
        <f>I308 * (0.01000000 / 12)</f>
        <v/>
      </c>
      <c r="K308" s="19">
        <f>(I308 - J308) * (0.00664805 / 12) * 1.0</f>
        <v/>
      </c>
      <c r="L308" s="19" t="n">
        <v>0</v>
      </c>
      <c r="M308" s="24">
        <f>(I308 - J308) - K308 + L308</f>
        <v/>
      </c>
      <c r="N308" s="24">
        <f>M308 * (0.00400000 / 12) * 1.0</f>
        <v/>
      </c>
      <c r="O308" s="24">
        <f>M308 * (0.00500000 / 12) * 1.0</f>
        <v/>
      </c>
      <c r="P308" s="24">
        <f>Y308</f>
        <v/>
      </c>
      <c r="Q308" s="24">
        <f>MAX(0, M308 - N308 - O308 - P308)</f>
        <v/>
      </c>
      <c r="R308" s="24" t="n">
        <v>0</v>
      </c>
      <c r="S308" s="24" t="n">
        <v>0</v>
      </c>
      <c r="T308" s="24" t="n">
        <v>0</v>
      </c>
      <c r="U308" s="24" t="n">
        <v>0</v>
      </c>
      <c r="V308" s="24" t="n">
        <v>0</v>
      </c>
      <c r="W308" s="24" t="n">
        <v>0</v>
      </c>
      <c r="X308" s="24" t="n">
        <v>0</v>
      </c>
      <c r="Y308" s="24">
        <f>X308 / 12</f>
        <v/>
      </c>
      <c r="Z308" s="15" t="n">
        <v>-126</v>
      </c>
      <c r="AA308" s="24">
        <f>I308</f>
        <v/>
      </c>
      <c r="AB308" s="24">
        <f>Q308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 t="n">
        <v>0</v>
      </c>
      <c r="J309" s="21">
        <f>I309 * (0.01000000 / 12)</f>
        <v/>
      </c>
      <c r="K309" s="21">
        <f>(I309 - J309) * (0.00664805 / 12) * 1.0</f>
        <v/>
      </c>
      <c r="L309" s="21" t="n">
        <v>0</v>
      </c>
      <c r="M309" s="25">
        <f>(I309 - J309) - K309 + L309</f>
        <v/>
      </c>
      <c r="N309" s="25">
        <f>M309 * (0.00400000 / 12) * 1.0</f>
        <v/>
      </c>
      <c r="O309" s="25">
        <f>M309 * (0.00500000 / 12) * 1.0</f>
        <v/>
      </c>
      <c r="P309" s="25">
        <f>Y309</f>
        <v/>
      </c>
      <c r="Q309" s="25">
        <f>MAX(0, M309 - N309 - O309 - P309)</f>
        <v/>
      </c>
      <c r="R309" s="25" t="n">
        <v>0</v>
      </c>
      <c r="S309" s="25" t="n">
        <v>0</v>
      </c>
      <c r="T309" s="25" t="n">
        <v>0</v>
      </c>
      <c r="U309" s="25" t="n">
        <v>0</v>
      </c>
      <c r="V309" s="25" t="n">
        <v>0</v>
      </c>
      <c r="W309" s="25" t="n">
        <v>0</v>
      </c>
      <c r="X309" s="25" t="n">
        <v>0</v>
      </c>
      <c r="Y309" s="25">
        <f>X309 / 12</f>
        <v/>
      </c>
      <c r="Z309" s="17" t="n">
        <v>-127</v>
      </c>
      <c r="AA309" s="25">
        <f>I309</f>
        <v/>
      </c>
      <c r="AB309" s="25">
        <f>Q309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 t="n">
        <v>0</v>
      </c>
      <c r="J310" s="19">
        <f>I310 * (0.01000000 / 12)</f>
        <v/>
      </c>
      <c r="K310" s="19">
        <f>(I310 - J310) * (0.00664805 / 12) * 1.0</f>
        <v/>
      </c>
      <c r="L310" s="19" t="n">
        <v>0</v>
      </c>
      <c r="M310" s="24">
        <f>(I310 - J310) - K310 + L310</f>
        <v/>
      </c>
      <c r="N310" s="24">
        <f>M310 * (0.00400000 / 12) * 1.0</f>
        <v/>
      </c>
      <c r="O310" s="24">
        <f>M310 * (0.00500000 / 12) * 1.0</f>
        <v/>
      </c>
      <c r="P310" s="24">
        <f>Y310</f>
        <v/>
      </c>
      <c r="Q310" s="24">
        <f>MAX(0, M310 - N310 - O310 - P310)</f>
        <v/>
      </c>
      <c r="R310" s="24" t="n">
        <v>0</v>
      </c>
      <c r="S310" s="24" t="n">
        <v>0</v>
      </c>
      <c r="T310" s="24" t="n">
        <v>0</v>
      </c>
      <c r="U310" s="24" t="n">
        <v>0</v>
      </c>
      <c r="V310" s="24" t="n">
        <v>0</v>
      </c>
      <c r="W310" s="24" t="n">
        <v>0</v>
      </c>
      <c r="X310" s="24" t="n">
        <v>0</v>
      </c>
      <c r="Y310" s="24">
        <f>X310 / 12</f>
        <v/>
      </c>
      <c r="Z310" s="15" t="n">
        <v>-128</v>
      </c>
      <c r="AA310" s="24">
        <f>I310</f>
        <v/>
      </c>
      <c r="AB310" s="24">
        <f>Q310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 t="n">
        <v>0</v>
      </c>
      <c r="J311" s="21">
        <f>I311 * (0.01000000 / 12)</f>
        <v/>
      </c>
      <c r="K311" s="21">
        <f>(I311 - J311) * (0.00664805 / 12) * 1.0</f>
        <v/>
      </c>
      <c r="L311" s="21" t="n">
        <v>0</v>
      </c>
      <c r="M311" s="25">
        <f>(I311 - J311) - K311 + L311</f>
        <v/>
      </c>
      <c r="N311" s="25">
        <f>M311 * (0.00400000 / 12) * 1.0</f>
        <v/>
      </c>
      <c r="O311" s="25">
        <f>M311 * (0.00500000 / 12) * 1.0</f>
        <v/>
      </c>
      <c r="P311" s="25">
        <f>Y311</f>
        <v/>
      </c>
      <c r="Q311" s="25">
        <f>MAX(0, M311 - N311 - O311 - P311)</f>
        <v/>
      </c>
      <c r="R311" s="25" t="n">
        <v>0</v>
      </c>
      <c r="S311" s="25" t="n">
        <v>0</v>
      </c>
      <c r="T311" s="25" t="n">
        <v>0</v>
      </c>
      <c r="U311" s="25" t="n">
        <v>0</v>
      </c>
      <c r="V311" s="25" t="n">
        <v>0</v>
      </c>
      <c r="W311" s="25" t="n">
        <v>0</v>
      </c>
      <c r="X311" s="25" t="n">
        <v>0</v>
      </c>
      <c r="Y311" s="25">
        <f>X311 / 12</f>
        <v/>
      </c>
      <c r="Z311" s="17" t="n">
        <v>-129</v>
      </c>
      <c r="AA311" s="25">
        <f>I311</f>
        <v/>
      </c>
      <c r="AB311" s="25">
        <f>Q311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 t="n">
        <v>0</v>
      </c>
      <c r="J312" s="19">
        <f>I312 * (0.01000000 / 12)</f>
        <v/>
      </c>
      <c r="K312" s="19">
        <f>(I312 - J312) * (0.00664805 / 12) * 1.0</f>
        <v/>
      </c>
      <c r="L312" s="19" t="n">
        <v>0</v>
      </c>
      <c r="M312" s="24">
        <f>(I312 - J312) - K312 + L312</f>
        <v/>
      </c>
      <c r="N312" s="24">
        <f>M312 * (0.00400000 / 12) * 1.0</f>
        <v/>
      </c>
      <c r="O312" s="24">
        <f>M312 * (0.00500000 / 12) * 1.0</f>
        <v/>
      </c>
      <c r="P312" s="24">
        <f>Y312</f>
        <v/>
      </c>
      <c r="Q312" s="24">
        <f>MAX(0, M312 - N312 - O312 - P312)</f>
        <v/>
      </c>
      <c r="R312" s="24" t="n">
        <v>0</v>
      </c>
      <c r="S312" s="24" t="n">
        <v>0</v>
      </c>
      <c r="T312" s="24" t="n">
        <v>0</v>
      </c>
      <c r="U312" s="24" t="n">
        <v>0</v>
      </c>
      <c r="V312" s="24" t="n">
        <v>0</v>
      </c>
      <c r="W312" s="24" t="n">
        <v>0</v>
      </c>
      <c r="X312" s="24" t="n">
        <v>0</v>
      </c>
      <c r="Y312" s="24">
        <f>X312 / 12</f>
        <v/>
      </c>
      <c r="Z312" s="15" t="n">
        <v>-130</v>
      </c>
      <c r="AA312" s="24">
        <f>I312</f>
        <v/>
      </c>
      <c r="AB312" s="24">
        <f>Q312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 t="n">
        <v>0</v>
      </c>
      <c r="J313" s="21">
        <f>I313 * (0.01000000 / 12)</f>
        <v/>
      </c>
      <c r="K313" s="21">
        <f>(I313 - J313) * (0.00664805 / 12) * 1.0</f>
        <v/>
      </c>
      <c r="L313" s="21" t="n">
        <v>0</v>
      </c>
      <c r="M313" s="25">
        <f>(I313 - J313) - K313 + L313</f>
        <v/>
      </c>
      <c r="N313" s="25">
        <f>M313 * (0.00400000 / 12) * 1.0</f>
        <v/>
      </c>
      <c r="O313" s="25">
        <f>M313 * (0.00500000 / 12) * 1.0</f>
        <v/>
      </c>
      <c r="P313" s="25">
        <f>Y313</f>
        <v/>
      </c>
      <c r="Q313" s="25">
        <f>MAX(0, M313 - N313 - O313 - P313)</f>
        <v/>
      </c>
      <c r="R313" s="25" t="n">
        <v>0</v>
      </c>
      <c r="S313" s="25" t="n">
        <v>0</v>
      </c>
      <c r="T313" s="25" t="n">
        <v>0</v>
      </c>
      <c r="U313" s="25" t="n">
        <v>0</v>
      </c>
      <c r="V313" s="25" t="n">
        <v>0</v>
      </c>
      <c r="W313" s="25" t="n">
        <v>0</v>
      </c>
      <c r="X313" s="25" t="n">
        <v>0</v>
      </c>
      <c r="Y313" s="25">
        <f>X313 / 12</f>
        <v/>
      </c>
      <c r="Z313" s="17" t="n">
        <v>-131</v>
      </c>
      <c r="AA313" s="25">
        <f>I313</f>
        <v/>
      </c>
      <c r="AB313" s="25">
        <f>Q313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 t="n">
        <v>0</v>
      </c>
      <c r="J314" s="19">
        <f>I314 * (0.01000000 / 12)</f>
        <v/>
      </c>
      <c r="K314" s="19">
        <f>(I314 - J314) * (0.00664805 / 12) * 1.0</f>
        <v/>
      </c>
      <c r="L314" s="19" t="n">
        <v>0</v>
      </c>
      <c r="M314" s="24">
        <f>(I314 - J314) - K314 + L314</f>
        <v/>
      </c>
      <c r="N314" s="24">
        <f>M314 * (0.00400000 / 12) * 1.0</f>
        <v/>
      </c>
      <c r="O314" s="24">
        <f>M314 * (0.00500000 / 12) * 1.0</f>
        <v/>
      </c>
      <c r="P314" s="24">
        <f>Y314</f>
        <v/>
      </c>
      <c r="Q314" s="24">
        <f>MAX(0, M314 - N314 - O314 - P314)</f>
        <v/>
      </c>
      <c r="R314" s="24" t="n">
        <v>0</v>
      </c>
      <c r="S314" s="24" t="n">
        <v>0</v>
      </c>
      <c r="T314" s="24" t="n">
        <v>0</v>
      </c>
      <c r="U314" s="24" t="n">
        <v>0</v>
      </c>
      <c r="V314" s="24" t="n">
        <v>0</v>
      </c>
      <c r="W314" s="24" t="n">
        <v>0</v>
      </c>
      <c r="X314" s="24" t="n">
        <v>0</v>
      </c>
      <c r="Y314" s="24">
        <f>X314 / 12</f>
        <v/>
      </c>
      <c r="Z314" s="15" t="n">
        <v>-132</v>
      </c>
      <c r="AA314" s="24">
        <f>I314</f>
        <v/>
      </c>
      <c r="AB314" s="24">
        <f>Q314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 t="n">
        <v>0</v>
      </c>
      <c r="J315" s="21">
        <f>I315 * (0.01000000 / 12)</f>
        <v/>
      </c>
      <c r="K315" s="21">
        <f>(I315 - J315) * (0.00664805 / 12) * 1.0</f>
        <v/>
      </c>
      <c r="L315" s="21" t="n">
        <v>0</v>
      </c>
      <c r="M315" s="25">
        <f>(I315 - J315) - K315 + L315</f>
        <v/>
      </c>
      <c r="N315" s="25">
        <f>M315 * (0.00400000 / 12) * 1.0</f>
        <v/>
      </c>
      <c r="O315" s="25">
        <f>M315 * (0.00500000 / 12) * 1.0</f>
        <v/>
      </c>
      <c r="P315" s="25">
        <f>Y315</f>
        <v/>
      </c>
      <c r="Q315" s="25">
        <f>MAX(0, M315 - N315 - O315 - P315)</f>
        <v/>
      </c>
      <c r="R315" s="25" t="n">
        <v>0</v>
      </c>
      <c r="S315" s="25" t="n">
        <v>0</v>
      </c>
      <c r="T315" s="25" t="n">
        <v>0</v>
      </c>
      <c r="U315" s="25" t="n">
        <v>0</v>
      </c>
      <c r="V315" s="25" t="n">
        <v>0</v>
      </c>
      <c r="W315" s="25" t="n">
        <v>0</v>
      </c>
      <c r="X315" s="25" t="n">
        <v>0</v>
      </c>
      <c r="Y315" s="25">
        <f>X315 / 12</f>
        <v/>
      </c>
      <c r="Z315" s="17" t="n">
        <v>-133</v>
      </c>
      <c r="AA315" s="25">
        <f>I315</f>
        <v/>
      </c>
      <c r="AB315" s="25">
        <f>Q315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 t="n">
        <v>0</v>
      </c>
      <c r="J316" s="19">
        <f>I316 * (0.01000000 / 12)</f>
        <v/>
      </c>
      <c r="K316" s="19">
        <f>(I316 - J316) * (0.00664805 / 12) * 1.0</f>
        <v/>
      </c>
      <c r="L316" s="19" t="n">
        <v>0</v>
      </c>
      <c r="M316" s="24">
        <f>(I316 - J316) - K316 + L316</f>
        <v/>
      </c>
      <c r="N316" s="24">
        <f>M316 * (0.00400000 / 12) * 1.0</f>
        <v/>
      </c>
      <c r="O316" s="24">
        <f>M316 * (0.00500000 / 12) * 1.0</f>
        <v/>
      </c>
      <c r="P316" s="24">
        <f>Y316</f>
        <v/>
      </c>
      <c r="Q316" s="24">
        <f>MAX(0, M316 - N316 - O316 - P316)</f>
        <v/>
      </c>
      <c r="R316" s="24" t="n">
        <v>0</v>
      </c>
      <c r="S316" s="24" t="n">
        <v>0</v>
      </c>
      <c r="T316" s="24" t="n">
        <v>0</v>
      </c>
      <c r="U316" s="24" t="n">
        <v>0</v>
      </c>
      <c r="V316" s="24" t="n">
        <v>0</v>
      </c>
      <c r="W316" s="24" t="n">
        <v>0</v>
      </c>
      <c r="X316" s="24" t="n">
        <v>0</v>
      </c>
      <c r="Y316" s="24">
        <f>X316 / 12</f>
        <v/>
      </c>
      <c r="Z316" s="15" t="n">
        <v>-134</v>
      </c>
      <c r="AA316" s="24">
        <f>I316</f>
        <v/>
      </c>
      <c r="AB316" s="24">
        <f>Q316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 t="n">
        <v>0</v>
      </c>
      <c r="J317" s="21">
        <f>I317 * (0.01000000 / 12)</f>
        <v/>
      </c>
      <c r="K317" s="21">
        <f>(I317 - J317) * (0.00664805 / 12) * 1.0</f>
        <v/>
      </c>
      <c r="L317" s="21" t="n">
        <v>0</v>
      </c>
      <c r="M317" s="25">
        <f>(I317 - J317) - K317 + L317</f>
        <v/>
      </c>
      <c r="N317" s="25">
        <f>M317 * (0.00400000 / 12) * 1.0</f>
        <v/>
      </c>
      <c r="O317" s="25">
        <f>M317 * (0.00500000 / 12) * 1.0</f>
        <v/>
      </c>
      <c r="P317" s="25">
        <f>Y317</f>
        <v/>
      </c>
      <c r="Q317" s="25">
        <f>MAX(0, M317 - N317 - O317 - P317)</f>
        <v/>
      </c>
      <c r="R317" s="25" t="n">
        <v>0</v>
      </c>
      <c r="S317" s="25" t="n">
        <v>0</v>
      </c>
      <c r="T317" s="25" t="n">
        <v>0</v>
      </c>
      <c r="U317" s="25" t="n">
        <v>0</v>
      </c>
      <c r="V317" s="25" t="n">
        <v>0</v>
      </c>
      <c r="W317" s="25" t="n">
        <v>0</v>
      </c>
      <c r="X317" s="25" t="n">
        <v>0</v>
      </c>
      <c r="Y317" s="25">
        <f>X317 / 12</f>
        <v/>
      </c>
      <c r="Z317" s="17" t="n">
        <v>-135</v>
      </c>
      <c r="AA317" s="25">
        <f>I317</f>
        <v/>
      </c>
      <c r="AB317" s="25">
        <f>Q317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 t="n">
        <v>0</v>
      </c>
      <c r="J318" s="19">
        <f>I318 * (0.01000000 / 12)</f>
        <v/>
      </c>
      <c r="K318" s="19">
        <f>(I318 - J318) * (0.00664805 / 12) * 1.0</f>
        <v/>
      </c>
      <c r="L318" s="19" t="n">
        <v>0</v>
      </c>
      <c r="M318" s="24">
        <f>(I318 - J318) - K318 + L318</f>
        <v/>
      </c>
      <c r="N318" s="24">
        <f>M318 * (0.00400000 / 12) * 1.0</f>
        <v/>
      </c>
      <c r="O318" s="24">
        <f>M318 * (0.00500000 / 12) * 1.0</f>
        <v/>
      </c>
      <c r="P318" s="24">
        <f>Y318</f>
        <v/>
      </c>
      <c r="Q318" s="24">
        <f>MAX(0, M318 - N318 - O318 - P318)</f>
        <v/>
      </c>
      <c r="R318" s="24" t="n">
        <v>0</v>
      </c>
      <c r="S318" s="24" t="n">
        <v>0</v>
      </c>
      <c r="T318" s="24" t="n">
        <v>0</v>
      </c>
      <c r="U318" s="24" t="n">
        <v>0</v>
      </c>
      <c r="V318" s="24" t="n">
        <v>0</v>
      </c>
      <c r="W318" s="24" t="n">
        <v>0</v>
      </c>
      <c r="X318" s="24" t="n">
        <v>0</v>
      </c>
      <c r="Y318" s="24">
        <f>X318 / 12</f>
        <v/>
      </c>
      <c r="Z318" s="15" t="n">
        <v>-136</v>
      </c>
      <c r="AA318" s="24">
        <f>I318</f>
        <v/>
      </c>
      <c r="AB318" s="24">
        <f>Q318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 t="n">
        <v>0</v>
      </c>
      <c r="J319" s="21">
        <f>I319 * (0.01000000 / 12)</f>
        <v/>
      </c>
      <c r="K319" s="21">
        <f>(I319 - J319) * (0.00664805 / 12) * 1.0</f>
        <v/>
      </c>
      <c r="L319" s="21" t="n">
        <v>0</v>
      </c>
      <c r="M319" s="25">
        <f>(I319 - J319) - K319 + L319</f>
        <v/>
      </c>
      <c r="N319" s="25">
        <f>M319 * (0.00400000 / 12) * 1.0</f>
        <v/>
      </c>
      <c r="O319" s="25">
        <f>M319 * (0.00500000 / 12) * 1.0</f>
        <v/>
      </c>
      <c r="P319" s="25">
        <f>Y319</f>
        <v/>
      </c>
      <c r="Q319" s="25">
        <f>MAX(0, M319 - N319 - O319 - P319)</f>
        <v/>
      </c>
      <c r="R319" s="25" t="n">
        <v>0</v>
      </c>
      <c r="S319" s="25" t="n">
        <v>0</v>
      </c>
      <c r="T319" s="25" t="n">
        <v>0</v>
      </c>
      <c r="U319" s="25" t="n">
        <v>0</v>
      </c>
      <c r="V319" s="25" t="n">
        <v>0</v>
      </c>
      <c r="W319" s="25" t="n">
        <v>0</v>
      </c>
      <c r="X319" s="25" t="n">
        <v>0</v>
      </c>
      <c r="Y319" s="25">
        <f>X319 / 12</f>
        <v/>
      </c>
      <c r="Z319" s="17" t="n">
        <v>-137</v>
      </c>
      <c r="AA319" s="25">
        <f>I319</f>
        <v/>
      </c>
      <c r="AB319" s="25">
        <f>Q319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 t="n">
        <v>0</v>
      </c>
      <c r="J320" s="19">
        <f>I320 * (0.01000000 / 12)</f>
        <v/>
      </c>
      <c r="K320" s="19">
        <f>(I320 - J320) * (0.00664805 / 12) * 1.0</f>
        <v/>
      </c>
      <c r="L320" s="19" t="n">
        <v>0</v>
      </c>
      <c r="M320" s="24">
        <f>(I320 - J320) - K320 + L320</f>
        <v/>
      </c>
      <c r="N320" s="24">
        <f>M320 * (0.00400000 / 12) * 1.0</f>
        <v/>
      </c>
      <c r="O320" s="24">
        <f>M320 * (0.00500000 / 12) * 1.0</f>
        <v/>
      </c>
      <c r="P320" s="24">
        <f>Y320</f>
        <v/>
      </c>
      <c r="Q320" s="24">
        <f>MAX(0, M320 - N320 - O320 - P320)</f>
        <v/>
      </c>
      <c r="R320" s="24" t="n">
        <v>0</v>
      </c>
      <c r="S320" s="24" t="n">
        <v>0</v>
      </c>
      <c r="T320" s="24" t="n">
        <v>0</v>
      </c>
      <c r="U320" s="24" t="n">
        <v>0</v>
      </c>
      <c r="V320" s="24" t="n">
        <v>0</v>
      </c>
      <c r="W320" s="24" t="n">
        <v>0</v>
      </c>
      <c r="X320" s="24" t="n">
        <v>0</v>
      </c>
      <c r="Y320" s="24">
        <f>X320 / 12</f>
        <v/>
      </c>
      <c r="Z320" s="15" t="n">
        <v>-138</v>
      </c>
      <c r="AA320" s="24">
        <f>I320</f>
        <v/>
      </c>
      <c r="AB320" s="24">
        <f>Q320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 t="n">
        <v>0</v>
      </c>
      <c r="J321" s="21">
        <f>I321 * (0.01000000 / 12)</f>
        <v/>
      </c>
      <c r="K321" s="21">
        <f>(I321 - J321) * (0.00664805 / 12) * 1.0</f>
        <v/>
      </c>
      <c r="L321" s="21" t="n">
        <v>0</v>
      </c>
      <c r="M321" s="25">
        <f>(I321 - J321) - K321 + L321</f>
        <v/>
      </c>
      <c r="N321" s="25">
        <f>M321 * (0.00400000 / 12) * 1.0</f>
        <v/>
      </c>
      <c r="O321" s="25">
        <f>M321 * (0.00500000 / 12) * 1.0</f>
        <v/>
      </c>
      <c r="P321" s="25">
        <f>Y321</f>
        <v/>
      </c>
      <c r="Q321" s="25">
        <f>MAX(0, M321 - N321 - O321 - P321)</f>
        <v/>
      </c>
      <c r="R321" s="25" t="n">
        <v>0</v>
      </c>
      <c r="S321" s="25" t="n">
        <v>0</v>
      </c>
      <c r="T321" s="25" t="n">
        <v>0</v>
      </c>
      <c r="U321" s="25" t="n">
        <v>0</v>
      </c>
      <c r="V321" s="25" t="n">
        <v>0</v>
      </c>
      <c r="W321" s="25" t="n">
        <v>0</v>
      </c>
      <c r="X321" s="25" t="n">
        <v>0</v>
      </c>
      <c r="Y321" s="25">
        <f>X321 / 12</f>
        <v/>
      </c>
      <c r="Z321" s="17" t="n">
        <v>-139</v>
      </c>
      <c r="AA321" s="25">
        <f>I321</f>
        <v/>
      </c>
      <c r="AB321" s="25">
        <f>Q321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 t="n">
        <v>0</v>
      </c>
      <c r="J322" s="19">
        <f>I322 * (0.01000000 / 12)</f>
        <v/>
      </c>
      <c r="K322" s="19">
        <f>(I322 - J322) * (0.00664805 / 12) * 1.0</f>
        <v/>
      </c>
      <c r="L322" s="19" t="n">
        <v>0</v>
      </c>
      <c r="M322" s="24">
        <f>(I322 - J322) - K322 + L322</f>
        <v/>
      </c>
      <c r="N322" s="24">
        <f>M322 * (0.00400000 / 12) * 1.0</f>
        <v/>
      </c>
      <c r="O322" s="24">
        <f>M322 * (0.00500000 / 12) * 1.0</f>
        <v/>
      </c>
      <c r="P322" s="24">
        <f>Y322</f>
        <v/>
      </c>
      <c r="Q322" s="24">
        <f>MAX(0, M322 - N322 - O322 - P322)</f>
        <v/>
      </c>
      <c r="R322" s="24" t="n">
        <v>0</v>
      </c>
      <c r="S322" s="24" t="n">
        <v>0</v>
      </c>
      <c r="T322" s="24" t="n">
        <v>0</v>
      </c>
      <c r="U322" s="24" t="n">
        <v>0</v>
      </c>
      <c r="V322" s="24" t="n">
        <v>0</v>
      </c>
      <c r="W322" s="24" t="n">
        <v>0</v>
      </c>
      <c r="X322" s="24" t="n">
        <v>0</v>
      </c>
      <c r="Y322" s="24">
        <f>X322 / 12</f>
        <v/>
      </c>
      <c r="Z322" s="15" t="n">
        <v>-140</v>
      </c>
      <c r="AA322" s="24">
        <f>I322</f>
        <v/>
      </c>
      <c r="AB322" s="24">
        <f>Q322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 t="n">
        <v>0</v>
      </c>
      <c r="J323" s="21">
        <f>I323 * (0.01000000 / 12)</f>
        <v/>
      </c>
      <c r="K323" s="21">
        <f>(I323 - J323) * (0.00664805 / 12) * 1.0</f>
        <v/>
      </c>
      <c r="L323" s="21" t="n">
        <v>0</v>
      </c>
      <c r="M323" s="25">
        <f>(I323 - J323) - K323 + L323</f>
        <v/>
      </c>
      <c r="N323" s="25">
        <f>M323 * (0.00400000 / 12) * 1.0</f>
        <v/>
      </c>
      <c r="O323" s="25">
        <f>M323 * (0.00500000 / 12) * 1.0</f>
        <v/>
      </c>
      <c r="P323" s="25">
        <f>Y323</f>
        <v/>
      </c>
      <c r="Q323" s="25">
        <f>MAX(0, M323 - N323 - O323 - P323)</f>
        <v/>
      </c>
      <c r="R323" s="25" t="n">
        <v>0</v>
      </c>
      <c r="S323" s="25" t="n">
        <v>0</v>
      </c>
      <c r="T323" s="25" t="n">
        <v>0</v>
      </c>
      <c r="U323" s="25" t="n">
        <v>0</v>
      </c>
      <c r="V323" s="25" t="n">
        <v>0</v>
      </c>
      <c r="W323" s="25" t="n">
        <v>0</v>
      </c>
      <c r="X323" s="25" t="n">
        <v>0</v>
      </c>
      <c r="Y323" s="25">
        <f>X323 / 12</f>
        <v/>
      </c>
      <c r="Z323" s="17" t="n">
        <v>-141</v>
      </c>
      <c r="AA323" s="25">
        <f>I323</f>
        <v/>
      </c>
      <c r="AB323" s="25">
        <f>Q323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 t="n">
        <v>0</v>
      </c>
      <c r="J324" s="19">
        <f>I324 * (0.01000000 / 12)</f>
        <v/>
      </c>
      <c r="K324" s="19">
        <f>(I324 - J324) * (0.00664805 / 12) * 1.0</f>
        <v/>
      </c>
      <c r="L324" s="19" t="n">
        <v>0</v>
      </c>
      <c r="M324" s="24">
        <f>(I324 - J324) - K324 + L324</f>
        <v/>
      </c>
      <c r="N324" s="24">
        <f>M324 * (0.00400000 / 12) * 1.0</f>
        <v/>
      </c>
      <c r="O324" s="24">
        <f>M324 * (0.00500000 / 12) * 1.0</f>
        <v/>
      </c>
      <c r="P324" s="24">
        <f>Y324</f>
        <v/>
      </c>
      <c r="Q324" s="24">
        <f>MAX(0, M324 - N324 - O324 - P324)</f>
        <v/>
      </c>
      <c r="R324" s="24" t="n">
        <v>0</v>
      </c>
      <c r="S324" s="24" t="n">
        <v>0</v>
      </c>
      <c r="T324" s="24" t="n">
        <v>0</v>
      </c>
      <c r="U324" s="24" t="n">
        <v>0</v>
      </c>
      <c r="V324" s="24" t="n">
        <v>0</v>
      </c>
      <c r="W324" s="24" t="n">
        <v>0</v>
      </c>
      <c r="X324" s="24" t="n">
        <v>0</v>
      </c>
      <c r="Y324" s="24">
        <f>X324 / 12</f>
        <v/>
      </c>
      <c r="Z324" s="15" t="n">
        <v>-142</v>
      </c>
      <c r="AA324" s="24">
        <f>I324</f>
        <v/>
      </c>
      <c r="AB324" s="24">
        <f>Q324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 t="n">
        <v>0</v>
      </c>
      <c r="J325" s="21">
        <f>I325 * (0.01000000 / 12)</f>
        <v/>
      </c>
      <c r="K325" s="21">
        <f>(I325 - J325) * (0.00664805 / 12) * 1.0</f>
        <v/>
      </c>
      <c r="L325" s="21" t="n">
        <v>0</v>
      </c>
      <c r="M325" s="25">
        <f>(I325 - J325) - K325 + L325</f>
        <v/>
      </c>
      <c r="N325" s="25">
        <f>M325 * (0.00400000 / 12) * 1.0</f>
        <v/>
      </c>
      <c r="O325" s="25">
        <f>M325 * (0.00500000 / 12) * 1.0</f>
        <v/>
      </c>
      <c r="P325" s="25">
        <f>Y325</f>
        <v/>
      </c>
      <c r="Q325" s="25">
        <f>MAX(0, M325 - N325 - O325 - P325)</f>
        <v/>
      </c>
      <c r="R325" s="25" t="n">
        <v>0</v>
      </c>
      <c r="S325" s="25" t="n">
        <v>0</v>
      </c>
      <c r="T325" s="25" t="n">
        <v>0</v>
      </c>
      <c r="U325" s="25" t="n">
        <v>0</v>
      </c>
      <c r="V325" s="25" t="n">
        <v>0</v>
      </c>
      <c r="W325" s="25" t="n">
        <v>0</v>
      </c>
      <c r="X325" s="25" t="n">
        <v>0</v>
      </c>
      <c r="Y325" s="25">
        <f>X325 / 12</f>
        <v/>
      </c>
      <c r="Z325" s="17" t="n">
        <v>-143</v>
      </c>
      <c r="AA325" s="25">
        <f>I325</f>
        <v/>
      </c>
      <c r="AB325" s="25">
        <f>Q325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 t="n">
        <v>0</v>
      </c>
      <c r="J326" s="19">
        <f>I326 * (0.01000000 / 12)</f>
        <v/>
      </c>
      <c r="K326" s="19">
        <f>(I326 - J326) * (0.00664805 / 12) * 1.0</f>
        <v/>
      </c>
      <c r="L326" s="19" t="n">
        <v>0</v>
      </c>
      <c r="M326" s="24">
        <f>(I326 - J326) - K326 + L326</f>
        <v/>
      </c>
      <c r="N326" s="24">
        <f>M326 * (0.00400000 / 12) * 1.0</f>
        <v/>
      </c>
      <c r="O326" s="24">
        <f>M326 * (0.00500000 / 12) * 1.0</f>
        <v/>
      </c>
      <c r="P326" s="24">
        <f>Y326</f>
        <v/>
      </c>
      <c r="Q326" s="24">
        <f>MAX(0, M326 - N326 - O326 - P326)</f>
        <v/>
      </c>
      <c r="R326" s="24" t="n">
        <v>0</v>
      </c>
      <c r="S326" s="24" t="n">
        <v>0</v>
      </c>
      <c r="T326" s="24" t="n">
        <v>0</v>
      </c>
      <c r="U326" s="24" t="n">
        <v>0</v>
      </c>
      <c r="V326" s="24" t="n">
        <v>0</v>
      </c>
      <c r="W326" s="24" t="n">
        <v>0</v>
      </c>
      <c r="X326" s="24" t="n">
        <v>0</v>
      </c>
      <c r="Y326" s="24">
        <f>X326 / 12</f>
        <v/>
      </c>
      <c r="Z326" s="15" t="n">
        <v>-144</v>
      </c>
      <c r="AA326" s="24">
        <f>I326</f>
        <v/>
      </c>
      <c r="AB326" s="24">
        <f>Q326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 t="n">
        <v>0</v>
      </c>
      <c r="J327" s="21">
        <f>I327 * (0.01000000 / 12)</f>
        <v/>
      </c>
      <c r="K327" s="21">
        <f>(I327 - J327) * (0.00664805 / 12) * 1.0</f>
        <v/>
      </c>
      <c r="L327" s="21" t="n">
        <v>0</v>
      </c>
      <c r="M327" s="25">
        <f>(I327 - J327) - K327 + L327</f>
        <v/>
      </c>
      <c r="N327" s="25">
        <f>M327 * (0.00400000 / 12) * 1.0</f>
        <v/>
      </c>
      <c r="O327" s="25">
        <f>M327 * (0.00500000 / 12) * 1.0</f>
        <v/>
      </c>
      <c r="P327" s="25">
        <f>Y327</f>
        <v/>
      </c>
      <c r="Q327" s="25">
        <f>MAX(0, M327 - N327 - O327 - P327)</f>
        <v/>
      </c>
      <c r="R327" s="25" t="n">
        <v>0</v>
      </c>
      <c r="S327" s="25" t="n">
        <v>0</v>
      </c>
      <c r="T327" s="25" t="n">
        <v>0</v>
      </c>
      <c r="U327" s="25" t="n">
        <v>0</v>
      </c>
      <c r="V327" s="25" t="n">
        <v>0</v>
      </c>
      <c r="W327" s="25" t="n">
        <v>0</v>
      </c>
      <c r="X327" s="25" t="n">
        <v>0</v>
      </c>
      <c r="Y327" s="25">
        <f>X327 / 12</f>
        <v/>
      </c>
      <c r="Z327" s="17" t="n">
        <v>-145</v>
      </c>
      <c r="AA327" s="25">
        <f>I327</f>
        <v/>
      </c>
      <c r="AB327" s="25">
        <f>Q327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 t="n">
        <v>0</v>
      </c>
      <c r="J328" s="19">
        <f>I328 * (0.01000000 / 12)</f>
        <v/>
      </c>
      <c r="K328" s="19">
        <f>(I328 - J328) * (0.00664805 / 12) * 1.0</f>
        <v/>
      </c>
      <c r="L328" s="19" t="n">
        <v>0</v>
      </c>
      <c r="M328" s="24">
        <f>(I328 - J328) - K328 + L328</f>
        <v/>
      </c>
      <c r="N328" s="24">
        <f>M328 * (0.00400000 / 12) * 1.0</f>
        <v/>
      </c>
      <c r="O328" s="24">
        <f>M328 * (0.00500000 / 12) * 1.0</f>
        <v/>
      </c>
      <c r="P328" s="24">
        <f>Y328</f>
        <v/>
      </c>
      <c r="Q328" s="24">
        <f>MAX(0, M328 - N328 - O328 - P328)</f>
        <v/>
      </c>
      <c r="R328" s="24" t="n">
        <v>0</v>
      </c>
      <c r="S328" s="24" t="n">
        <v>0</v>
      </c>
      <c r="T328" s="24" t="n">
        <v>0</v>
      </c>
      <c r="U328" s="24" t="n">
        <v>0</v>
      </c>
      <c r="V328" s="24" t="n">
        <v>0</v>
      </c>
      <c r="W328" s="24" t="n">
        <v>0</v>
      </c>
      <c r="X328" s="24" t="n">
        <v>0</v>
      </c>
      <c r="Y328" s="24">
        <f>X328 / 12</f>
        <v/>
      </c>
      <c r="Z328" s="15" t="n">
        <v>-146</v>
      </c>
      <c r="AA328" s="24">
        <f>I328</f>
        <v/>
      </c>
      <c r="AB328" s="24">
        <f>Q328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 t="n">
        <v>0</v>
      </c>
      <c r="J329" s="21">
        <f>I329 * (0.01000000 / 12)</f>
        <v/>
      </c>
      <c r="K329" s="21">
        <f>(I329 - J329) * (0.00664805 / 12) * 1.0</f>
        <v/>
      </c>
      <c r="L329" s="21" t="n">
        <v>0</v>
      </c>
      <c r="M329" s="25">
        <f>(I329 - J329) - K329 + L329</f>
        <v/>
      </c>
      <c r="N329" s="25">
        <f>M329 * (0.00400000 / 12) * 1.0</f>
        <v/>
      </c>
      <c r="O329" s="25">
        <f>M329 * (0.00500000 / 12) * 1.0</f>
        <v/>
      </c>
      <c r="P329" s="25">
        <f>Y329</f>
        <v/>
      </c>
      <c r="Q329" s="25">
        <f>MAX(0, M329 - N329 - O329 - P329)</f>
        <v/>
      </c>
      <c r="R329" s="25" t="n">
        <v>0</v>
      </c>
      <c r="S329" s="25" t="n">
        <v>0</v>
      </c>
      <c r="T329" s="25" t="n">
        <v>0</v>
      </c>
      <c r="U329" s="25" t="n">
        <v>0</v>
      </c>
      <c r="V329" s="25" t="n">
        <v>0</v>
      </c>
      <c r="W329" s="25" t="n">
        <v>0</v>
      </c>
      <c r="X329" s="25" t="n">
        <v>0</v>
      </c>
      <c r="Y329" s="25">
        <f>X329 / 12</f>
        <v/>
      </c>
      <c r="Z329" s="17" t="n">
        <v>-147</v>
      </c>
      <c r="AA329" s="25">
        <f>I329</f>
        <v/>
      </c>
      <c r="AB329" s="25">
        <f>Q329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 t="n">
        <v>0</v>
      </c>
      <c r="J330" s="19">
        <f>I330 * (0.01000000 / 12)</f>
        <v/>
      </c>
      <c r="K330" s="19">
        <f>(I330 - J330) * (0.00664805 / 12) * 1.0</f>
        <v/>
      </c>
      <c r="L330" s="19" t="n">
        <v>0</v>
      </c>
      <c r="M330" s="24">
        <f>(I330 - J330) - K330 + L330</f>
        <v/>
      </c>
      <c r="N330" s="24">
        <f>M330 * (0.00400000 / 12) * 1.0</f>
        <v/>
      </c>
      <c r="O330" s="24">
        <f>M330 * (0.00500000 / 12) * 1.0</f>
        <v/>
      </c>
      <c r="P330" s="24">
        <f>Y330</f>
        <v/>
      </c>
      <c r="Q330" s="24">
        <f>MAX(0, M330 - N330 - O330 - P330)</f>
        <v/>
      </c>
      <c r="R330" s="24" t="n">
        <v>0</v>
      </c>
      <c r="S330" s="24" t="n">
        <v>0</v>
      </c>
      <c r="T330" s="24" t="n">
        <v>0</v>
      </c>
      <c r="U330" s="24" t="n">
        <v>0</v>
      </c>
      <c r="V330" s="24" t="n">
        <v>0</v>
      </c>
      <c r="W330" s="24" t="n">
        <v>0</v>
      </c>
      <c r="X330" s="24" t="n">
        <v>0</v>
      </c>
      <c r="Y330" s="24">
        <f>X330 / 12</f>
        <v/>
      </c>
      <c r="Z330" s="15" t="n">
        <v>-148</v>
      </c>
      <c r="AA330" s="24">
        <f>I330</f>
        <v/>
      </c>
      <c r="AB330" s="24">
        <f>Q330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 t="n">
        <v>0</v>
      </c>
      <c r="J331" s="21">
        <f>I331 * (0.01000000 / 12)</f>
        <v/>
      </c>
      <c r="K331" s="21">
        <f>(I331 - J331) * (0.00664805 / 12) * 1.0</f>
        <v/>
      </c>
      <c r="L331" s="21" t="n">
        <v>0</v>
      </c>
      <c r="M331" s="25">
        <f>(I331 - J331) - K331 + L331</f>
        <v/>
      </c>
      <c r="N331" s="25">
        <f>M331 * (0.00400000 / 12) * 1.0</f>
        <v/>
      </c>
      <c r="O331" s="25">
        <f>M331 * (0.00500000 / 12) * 1.0</f>
        <v/>
      </c>
      <c r="P331" s="25">
        <f>Y331</f>
        <v/>
      </c>
      <c r="Q331" s="25">
        <f>MAX(0, M331 - N331 - O331 - P331)</f>
        <v/>
      </c>
      <c r="R331" s="25" t="n">
        <v>0</v>
      </c>
      <c r="S331" s="25" t="n">
        <v>0</v>
      </c>
      <c r="T331" s="25" t="n">
        <v>0</v>
      </c>
      <c r="U331" s="25" t="n">
        <v>0</v>
      </c>
      <c r="V331" s="25" t="n">
        <v>0</v>
      </c>
      <c r="W331" s="25" t="n">
        <v>0</v>
      </c>
      <c r="X331" s="25" t="n">
        <v>0</v>
      </c>
      <c r="Y331" s="25">
        <f>X331 / 12</f>
        <v/>
      </c>
      <c r="Z331" s="17" t="n">
        <v>-149</v>
      </c>
      <c r="AA331" s="25">
        <f>I331</f>
        <v/>
      </c>
      <c r="AB331" s="25">
        <f>Q331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 t="n">
        <v>0</v>
      </c>
      <c r="J332" s="19">
        <f>I332 * (0.01000000 / 12)</f>
        <v/>
      </c>
      <c r="K332" s="19">
        <f>(I332 - J332) * (0.00664805 / 12) * 1.0</f>
        <v/>
      </c>
      <c r="L332" s="19" t="n">
        <v>0</v>
      </c>
      <c r="M332" s="24">
        <f>(I332 - J332) - K332 + L332</f>
        <v/>
      </c>
      <c r="N332" s="24">
        <f>M332 * (0.00400000 / 12) * 1.0</f>
        <v/>
      </c>
      <c r="O332" s="24">
        <f>M332 * (0.00500000 / 12) * 1.0</f>
        <v/>
      </c>
      <c r="P332" s="24">
        <f>Y332</f>
        <v/>
      </c>
      <c r="Q332" s="24">
        <f>MAX(0, M332 - N332 - O332 - P332)</f>
        <v/>
      </c>
      <c r="R332" s="24" t="n">
        <v>0</v>
      </c>
      <c r="S332" s="24" t="n">
        <v>0</v>
      </c>
      <c r="T332" s="24" t="n">
        <v>0</v>
      </c>
      <c r="U332" s="24" t="n">
        <v>0</v>
      </c>
      <c r="V332" s="24" t="n">
        <v>0</v>
      </c>
      <c r="W332" s="24" t="n">
        <v>0</v>
      </c>
      <c r="X332" s="24" t="n">
        <v>0</v>
      </c>
      <c r="Y332" s="24">
        <f>X332 / 12</f>
        <v/>
      </c>
      <c r="Z332" s="15" t="n">
        <v>-150</v>
      </c>
      <c r="AA332" s="24">
        <f>I332</f>
        <v/>
      </c>
      <c r="AB332" s="24">
        <f>Q332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 t="n">
        <v>0</v>
      </c>
      <c r="J333" s="21">
        <f>I333 * (0.01000000 / 12)</f>
        <v/>
      </c>
      <c r="K333" s="21">
        <f>(I333 - J333) * (0.00664805 / 12) * 1.0</f>
        <v/>
      </c>
      <c r="L333" s="21" t="n">
        <v>0</v>
      </c>
      <c r="M333" s="25">
        <f>(I333 - J333) - K333 + L333</f>
        <v/>
      </c>
      <c r="N333" s="25">
        <f>M333 * (0.00400000 / 12) * 1.0</f>
        <v/>
      </c>
      <c r="O333" s="25">
        <f>M333 * (0.00500000 / 12) * 1.0</f>
        <v/>
      </c>
      <c r="P333" s="25">
        <f>Y333</f>
        <v/>
      </c>
      <c r="Q333" s="25">
        <f>MAX(0, M333 - N333 - O333 - P333)</f>
        <v/>
      </c>
      <c r="R333" s="25" t="n">
        <v>0</v>
      </c>
      <c r="S333" s="25" t="n">
        <v>0</v>
      </c>
      <c r="T333" s="25" t="n">
        <v>0</v>
      </c>
      <c r="U333" s="25" t="n">
        <v>0</v>
      </c>
      <c r="V333" s="25" t="n">
        <v>0</v>
      </c>
      <c r="W333" s="25" t="n">
        <v>0</v>
      </c>
      <c r="X333" s="25" t="n">
        <v>0</v>
      </c>
      <c r="Y333" s="25">
        <f>X333 / 12</f>
        <v/>
      </c>
      <c r="Z333" s="17" t="n">
        <v>-151</v>
      </c>
      <c r="AA333" s="25">
        <f>I333</f>
        <v/>
      </c>
      <c r="AB333" s="25">
        <f>Q333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 t="n">
        <v>0</v>
      </c>
      <c r="J334" s="19">
        <f>I334 * (0.01000000 / 12)</f>
        <v/>
      </c>
      <c r="K334" s="19">
        <f>(I334 - J334) * (0.00664805 / 12) * 1.0</f>
        <v/>
      </c>
      <c r="L334" s="19" t="n">
        <v>0</v>
      </c>
      <c r="M334" s="24">
        <f>(I334 - J334) - K334 + L334</f>
        <v/>
      </c>
      <c r="N334" s="24">
        <f>M334 * (0.00400000 / 12) * 1.0</f>
        <v/>
      </c>
      <c r="O334" s="24">
        <f>M334 * (0.00500000 / 12) * 1.0</f>
        <v/>
      </c>
      <c r="P334" s="24">
        <f>Y334</f>
        <v/>
      </c>
      <c r="Q334" s="24">
        <f>MAX(0, M334 - N334 - O334 - P334)</f>
        <v/>
      </c>
      <c r="R334" s="24" t="n">
        <v>0</v>
      </c>
      <c r="S334" s="24" t="n">
        <v>0</v>
      </c>
      <c r="T334" s="24" t="n">
        <v>0</v>
      </c>
      <c r="U334" s="24" t="n">
        <v>0</v>
      </c>
      <c r="V334" s="24" t="n">
        <v>0</v>
      </c>
      <c r="W334" s="24" t="n">
        <v>0</v>
      </c>
      <c r="X334" s="24" t="n">
        <v>0</v>
      </c>
      <c r="Y334" s="24">
        <f>X334 / 12</f>
        <v/>
      </c>
      <c r="Z334" s="15" t="n">
        <v>-152</v>
      </c>
      <c r="AA334" s="24">
        <f>I334</f>
        <v/>
      </c>
      <c r="AB334" s="24">
        <f>Q334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 t="n">
        <v>0</v>
      </c>
      <c r="J335" s="21">
        <f>I335 * (0.01000000 / 12)</f>
        <v/>
      </c>
      <c r="K335" s="21">
        <f>(I335 - J335) * (0.00664805 / 12) * 1.0</f>
        <v/>
      </c>
      <c r="L335" s="21" t="n">
        <v>0</v>
      </c>
      <c r="M335" s="25">
        <f>(I335 - J335) - K335 + L335</f>
        <v/>
      </c>
      <c r="N335" s="25">
        <f>M335 * (0.00400000 / 12) * 1.0</f>
        <v/>
      </c>
      <c r="O335" s="25">
        <f>M335 * (0.00500000 / 12) * 1.0</f>
        <v/>
      </c>
      <c r="P335" s="25">
        <f>Y335</f>
        <v/>
      </c>
      <c r="Q335" s="25">
        <f>MAX(0, M335 - N335 - O335 - P335)</f>
        <v/>
      </c>
      <c r="R335" s="25" t="n">
        <v>0</v>
      </c>
      <c r="S335" s="25" t="n">
        <v>0</v>
      </c>
      <c r="T335" s="25" t="n">
        <v>0</v>
      </c>
      <c r="U335" s="25" t="n">
        <v>0</v>
      </c>
      <c r="V335" s="25" t="n">
        <v>0</v>
      </c>
      <c r="W335" s="25" t="n">
        <v>0</v>
      </c>
      <c r="X335" s="25" t="n">
        <v>0</v>
      </c>
      <c r="Y335" s="25">
        <f>X335 / 12</f>
        <v/>
      </c>
      <c r="Z335" s="17" t="n">
        <v>-153</v>
      </c>
      <c r="AA335" s="25">
        <f>I335</f>
        <v/>
      </c>
      <c r="AB335" s="25">
        <f>Q335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 t="n">
        <v>0</v>
      </c>
      <c r="J336" s="19">
        <f>I336 * (0.01000000 / 12)</f>
        <v/>
      </c>
      <c r="K336" s="19">
        <f>(I336 - J336) * (0.00664805 / 12) * 1.0</f>
        <v/>
      </c>
      <c r="L336" s="19" t="n">
        <v>0</v>
      </c>
      <c r="M336" s="24">
        <f>(I336 - J336) - K336 + L336</f>
        <v/>
      </c>
      <c r="N336" s="24">
        <f>M336 * (0.00400000 / 12) * 1.0</f>
        <v/>
      </c>
      <c r="O336" s="24">
        <f>M336 * (0.00500000 / 12) * 1.0</f>
        <v/>
      </c>
      <c r="P336" s="24">
        <f>Y336</f>
        <v/>
      </c>
      <c r="Q336" s="24">
        <f>MAX(0, M336 - N336 - O336 - P336)</f>
        <v/>
      </c>
      <c r="R336" s="24" t="n">
        <v>0</v>
      </c>
      <c r="S336" s="24" t="n">
        <v>0</v>
      </c>
      <c r="T336" s="24" t="n">
        <v>0</v>
      </c>
      <c r="U336" s="24" t="n">
        <v>0</v>
      </c>
      <c r="V336" s="24" t="n">
        <v>0</v>
      </c>
      <c r="W336" s="24" t="n">
        <v>0</v>
      </c>
      <c r="X336" s="24" t="n">
        <v>0</v>
      </c>
      <c r="Y336" s="24">
        <f>X336 / 12</f>
        <v/>
      </c>
      <c r="Z336" s="15" t="n">
        <v>-154</v>
      </c>
      <c r="AA336" s="24">
        <f>I336</f>
        <v/>
      </c>
      <c r="AB336" s="24">
        <f>Q336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 t="n">
        <v>0</v>
      </c>
      <c r="J337" s="21">
        <f>I337 * (0.01000000 / 12)</f>
        <v/>
      </c>
      <c r="K337" s="21">
        <f>(I337 - J337) * (0.00664805 / 12) * 1.0</f>
        <v/>
      </c>
      <c r="L337" s="21" t="n">
        <v>0</v>
      </c>
      <c r="M337" s="25">
        <f>(I337 - J337) - K337 + L337</f>
        <v/>
      </c>
      <c r="N337" s="25">
        <f>M337 * (0.00400000 / 12) * 1.0</f>
        <v/>
      </c>
      <c r="O337" s="25">
        <f>M337 * (0.00500000 / 12) * 1.0</f>
        <v/>
      </c>
      <c r="P337" s="25">
        <f>Y337</f>
        <v/>
      </c>
      <c r="Q337" s="25">
        <f>MAX(0, M337 - N337 - O337 - P337)</f>
        <v/>
      </c>
      <c r="R337" s="25" t="n">
        <v>0</v>
      </c>
      <c r="S337" s="25" t="n">
        <v>0</v>
      </c>
      <c r="T337" s="25" t="n">
        <v>0</v>
      </c>
      <c r="U337" s="25" t="n">
        <v>0</v>
      </c>
      <c r="V337" s="25" t="n">
        <v>0</v>
      </c>
      <c r="W337" s="25" t="n">
        <v>0</v>
      </c>
      <c r="X337" s="25" t="n">
        <v>0</v>
      </c>
      <c r="Y337" s="25">
        <f>X337 / 12</f>
        <v/>
      </c>
      <c r="Z337" s="17" t="n">
        <v>-155</v>
      </c>
      <c r="AA337" s="25">
        <f>I337</f>
        <v/>
      </c>
      <c r="AB337" s="25">
        <f>Q337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 t="n">
        <v>0</v>
      </c>
      <c r="J338" s="19">
        <f>I338 * (0.01000000 / 12)</f>
        <v/>
      </c>
      <c r="K338" s="19">
        <f>(I338 - J338) * (0.00664805 / 12) * 1.0</f>
        <v/>
      </c>
      <c r="L338" s="19" t="n">
        <v>0</v>
      </c>
      <c r="M338" s="24">
        <f>(I338 - J338) - K338 + L338</f>
        <v/>
      </c>
      <c r="N338" s="24">
        <f>M338 * (0.00400000 / 12) * 1.0</f>
        <v/>
      </c>
      <c r="O338" s="24">
        <f>M338 * (0.00500000 / 12) * 1.0</f>
        <v/>
      </c>
      <c r="P338" s="24">
        <f>Y338</f>
        <v/>
      </c>
      <c r="Q338" s="24">
        <f>MAX(0, M338 - N338 - O338 - P338)</f>
        <v/>
      </c>
      <c r="R338" s="24" t="n">
        <v>0</v>
      </c>
      <c r="S338" s="24" t="n">
        <v>0</v>
      </c>
      <c r="T338" s="24" t="n">
        <v>0</v>
      </c>
      <c r="U338" s="24" t="n">
        <v>0</v>
      </c>
      <c r="V338" s="24" t="n">
        <v>0</v>
      </c>
      <c r="W338" s="24" t="n">
        <v>0</v>
      </c>
      <c r="X338" s="24" t="n">
        <v>0</v>
      </c>
      <c r="Y338" s="24">
        <f>X338 / 12</f>
        <v/>
      </c>
      <c r="Z338" s="15" t="n">
        <v>-156</v>
      </c>
      <c r="AA338" s="24">
        <f>I338</f>
        <v/>
      </c>
      <c r="AB338" s="24">
        <f>Q338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 t="n">
        <v>0</v>
      </c>
      <c r="J339" s="21">
        <f>I339 * (0.01000000 / 12)</f>
        <v/>
      </c>
      <c r="K339" s="21">
        <f>(I339 - J339) * (0.00664805 / 12) * 1.0</f>
        <v/>
      </c>
      <c r="L339" s="21" t="n">
        <v>0</v>
      </c>
      <c r="M339" s="25">
        <f>(I339 - J339) - K339 + L339</f>
        <v/>
      </c>
      <c r="N339" s="25">
        <f>M339 * (0.00400000 / 12) * 1.0</f>
        <v/>
      </c>
      <c r="O339" s="25">
        <f>M339 * (0.00500000 / 12) * 1.0</f>
        <v/>
      </c>
      <c r="P339" s="25">
        <f>Y339</f>
        <v/>
      </c>
      <c r="Q339" s="25">
        <f>MAX(0, M339 - N339 - O339 - P339)</f>
        <v/>
      </c>
      <c r="R339" s="25" t="n">
        <v>0</v>
      </c>
      <c r="S339" s="25" t="n">
        <v>0</v>
      </c>
      <c r="T339" s="25" t="n">
        <v>0</v>
      </c>
      <c r="U339" s="25" t="n">
        <v>0</v>
      </c>
      <c r="V339" s="25" t="n">
        <v>0</v>
      </c>
      <c r="W339" s="25" t="n">
        <v>0</v>
      </c>
      <c r="X339" s="25" t="n">
        <v>0</v>
      </c>
      <c r="Y339" s="25">
        <f>X339 / 12</f>
        <v/>
      </c>
      <c r="Z339" s="17" t="n">
        <v>-157</v>
      </c>
      <c r="AA339" s="25">
        <f>I339</f>
        <v/>
      </c>
      <c r="AB339" s="25">
        <f>Q339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 t="n">
        <v>0</v>
      </c>
      <c r="J340" s="19">
        <f>I340 * (0.01000000 / 12)</f>
        <v/>
      </c>
      <c r="K340" s="19">
        <f>(I340 - J340) * (0.00664805 / 12) * 1.0</f>
        <v/>
      </c>
      <c r="L340" s="19" t="n">
        <v>0</v>
      </c>
      <c r="M340" s="24">
        <f>(I340 - J340) - K340 + L340</f>
        <v/>
      </c>
      <c r="N340" s="24">
        <f>M340 * (0.00400000 / 12) * 1.0</f>
        <v/>
      </c>
      <c r="O340" s="24">
        <f>M340 * (0.00500000 / 12) * 1.0</f>
        <v/>
      </c>
      <c r="P340" s="24">
        <f>Y340</f>
        <v/>
      </c>
      <c r="Q340" s="24">
        <f>MAX(0, M340 - N340 - O340 - P340)</f>
        <v/>
      </c>
      <c r="R340" s="24" t="n">
        <v>0</v>
      </c>
      <c r="S340" s="24" t="n">
        <v>0</v>
      </c>
      <c r="T340" s="24" t="n">
        <v>0</v>
      </c>
      <c r="U340" s="24" t="n">
        <v>0</v>
      </c>
      <c r="V340" s="24" t="n">
        <v>0</v>
      </c>
      <c r="W340" s="24" t="n">
        <v>0</v>
      </c>
      <c r="X340" s="24" t="n">
        <v>0</v>
      </c>
      <c r="Y340" s="24">
        <f>X340 / 12</f>
        <v/>
      </c>
      <c r="Z340" s="15" t="n">
        <v>-158</v>
      </c>
      <c r="AA340" s="24">
        <f>I340</f>
        <v/>
      </c>
      <c r="AB340" s="24">
        <f>Q340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 t="n">
        <v>0</v>
      </c>
      <c r="J341" s="21">
        <f>I341 * (0.01000000 / 12)</f>
        <v/>
      </c>
      <c r="K341" s="21">
        <f>(I341 - J341) * (0.00664805 / 12) * 1.0</f>
        <v/>
      </c>
      <c r="L341" s="21" t="n">
        <v>0</v>
      </c>
      <c r="M341" s="25">
        <f>(I341 - J341) - K341 + L341</f>
        <v/>
      </c>
      <c r="N341" s="25">
        <f>M341 * (0.00400000 / 12) * 1.0</f>
        <v/>
      </c>
      <c r="O341" s="25">
        <f>M341 * (0.00500000 / 12) * 1.0</f>
        <v/>
      </c>
      <c r="P341" s="25">
        <f>Y341</f>
        <v/>
      </c>
      <c r="Q341" s="25">
        <f>MAX(0, M341 - N341 - O341 - P341)</f>
        <v/>
      </c>
      <c r="R341" s="25" t="n">
        <v>0</v>
      </c>
      <c r="S341" s="25" t="n">
        <v>0</v>
      </c>
      <c r="T341" s="25" t="n">
        <v>0</v>
      </c>
      <c r="U341" s="25" t="n">
        <v>0</v>
      </c>
      <c r="V341" s="25" t="n">
        <v>0</v>
      </c>
      <c r="W341" s="25" t="n">
        <v>0</v>
      </c>
      <c r="X341" s="25" t="n">
        <v>0</v>
      </c>
      <c r="Y341" s="25">
        <f>X341 / 12</f>
        <v/>
      </c>
      <c r="Z341" s="17" t="n">
        <v>-159</v>
      </c>
      <c r="AA341" s="25">
        <f>I341</f>
        <v/>
      </c>
      <c r="AB341" s="25">
        <f>Q341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 t="n">
        <v>0</v>
      </c>
      <c r="J342" s="19">
        <f>I342 * (0.01000000 / 12)</f>
        <v/>
      </c>
      <c r="K342" s="19">
        <f>(I342 - J342) * (0.00664805 / 12) * 1.0</f>
        <v/>
      </c>
      <c r="L342" s="19" t="n">
        <v>0</v>
      </c>
      <c r="M342" s="24">
        <f>(I342 - J342) - K342 + L342</f>
        <v/>
      </c>
      <c r="N342" s="24">
        <f>M342 * (0.00400000 / 12) * 1.0</f>
        <v/>
      </c>
      <c r="O342" s="24">
        <f>M342 * (0.00500000 / 12) * 1.0</f>
        <v/>
      </c>
      <c r="P342" s="24">
        <f>Y342</f>
        <v/>
      </c>
      <c r="Q342" s="24">
        <f>MAX(0, M342 - N342 - O342 - P342)</f>
        <v/>
      </c>
      <c r="R342" s="24" t="n">
        <v>0</v>
      </c>
      <c r="S342" s="24" t="n">
        <v>0</v>
      </c>
      <c r="T342" s="24" t="n">
        <v>0</v>
      </c>
      <c r="U342" s="24" t="n">
        <v>0</v>
      </c>
      <c r="V342" s="24" t="n">
        <v>0</v>
      </c>
      <c r="W342" s="24" t="n">
        <v>0</v>
      </c>
      <c r="X342" s="24" t="n">
        <v>0</v>
      </c>
      <c r="Y342" s="24">
        <f>X342 / 12</f>
        <v/>
      </c>
      <c r="Z342" s="15" t="n">
        <v>-160</v>
      </c>
      <c r="AA342" s="24">
        <f>I342</f>
        <v/>
      </c>
      <c r="AB342" s="24">
        <f>Q342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 t="n">
        <v>0</v>
      </c>
      <c r="J343" s="21">
        <f>I343 * (0.01000000 / 12)</f>
        <v/>
      </c>
      <c r="K343" s="21">
        <f>(I343 - J343) * (0.00664805 / 12) * 1.0</f>
        <v/>
      </c>
      <c r="L343" s="21" t="n">
        <v>0</v>
      </c>
      <c r="M343" s="25">
        <f>(I343 - J343) - K343 + L343</f>
        <v/>
      </c>
      <c r="N343" s="25">
        <f>M343 * (0.00400000 / 12) * 1.0</f>
        <v/>
      </c>
      <c r="O343" s="25">
        <f>M343 * (0.00500000 / 12) * 1.0</f>
        <v/>
      </c>
      <c r="P343" s="25">
        <f>Y343</f>
        <v/>
      </c>
      <c r="Q343" s="25">
        <f>MAX(0, M343 - N343 - O343 - P343)</f>
        <v/>
      </c>
      <c r="R343" s="25" t="n">
        <v>0</v>
      </c>
      <c r="S343" s="25" t="n">
        <v>0</v>
      </c>
      <c r="T343" s="25" t="n">
        <v>0</v>
      </c>
      <c r="U343" s="25" t="n">
        <v>0</v>
      </c>
      <c r="V343" s="25" t="n">
        <v>0</v>
      </c>
      <c r="W343" s="25" t="n">
        <v>0</v>
      </c>
      <c r="X343" s="25" t="n">
        <v>0</v>
      </c>
      <c r="Y343" s="25">
        <f>X343 / 12</f>
        <v/>
      </c>
      <c r="Z343" s="17" t="n">
        <v>-161</v>
      </c>
      <c r="AA343" s="25">
        <f>I343</f>
        <v/>
      </c>
      <c r="AB343" s="25">
        <f>Q343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 t="n">
        <v>0</v>
      </c>
      <c r="J344" s="19">
        <f>I344 * (0.01000000 / 12)</f>
        <v/>
      </c>
      <c r="K344" s="19">
        <f>(I344 - J344) * (0.00664805 / 12) * 1.0</f>
        <v/>
      </c>
      <c r="L344" s="19" t="n">
        <v>0</v>
      </c>
      <c r="M344" s="24">
        <f>(I344 - J344) - K344 + L344</f>
        <v/>
      </c>
      <c r="N344" s="24">
        <f>M344 * (0.00400000 / 12) * 1.0</f>
        <v/>
      </c>
      <c r="O344" s="24">
        <f>M344 * (0.00500000 / 12) * 1.0</f>
        <v/>
      </c>
      <c r="P344" s="24">
        <f>Y344</f>
        <v/>
      </c>
      <c r="Q344" s="24">
        <f>MAX(0, M344 - N344 - O344 - P344)</f>
        <v/>
      </c>
      <c r="R344" s="24" t="n">
        <v>0</v>
      </c>
      <c r="S344" s="24" t="n">
        <v>0</v>
      </c>
      <c r="T344" s="24" t="n">
        <v>0</v>
      </c>
      <c r="U344" s="24" t="n">
        <v>0</v>
      </c>
      <c r="V344" s="24" t="n">
        <v>0</v>
      </c>
      <c r="W344" s="24" t="n">
        <v>0</v>
      </c>
      <c r="X344" s="24" t="n">
        <v>0</v>
      </c>
      <c r="Y344" s="24">
        <f>X344 / 12</f>
        <v/>
      </c>
      <c r="Z344" s="15" t="n">
        <v>-162</v>
      </c>
      <c r="AA344" s="24">
        <f>I344</f>
        <v/>
      </c>
      <c r="AB344" s="24">
        <f>Q344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 t="n">
        <v>0</v>
      </c>
      <c r="J345" s="21">
        <f>I345 * (0.01000000 / 12)</f>
        <v/>
      </c>
      <c r="K345" s="21">
        <f>(I345 - J345) * (0.00664805 / 12) * 1.0</f>
        <v/>
      </c>
      <c r="L345" s="21" t="n">
        <v>0</v>
      </c>
      <c r="M345" s="25">
        <f>(I345 - J345) - K345 + L345</f>
        <v/>
      </c>
      <c r="N345" s="25">
        <f>M345 * (0.00400000 / 12) * 1.0</f>
        <v/>
      </c>
      <c r="O345" s="25">
        <f>M345 * (0.00500000 / 12) * 1.0</f>
        <v/>
      </c>
      <c r="P345" s="25">
        <f>Y345</f>
        <v/>
      </c>
      <c r="Q345" s="25">
        <f>MAX(0, M345 - N345 - O345 - P345)</f>
        <v/>
      </c>
      <c r="R345" s="25" t="n">
        <v>0</v>
      </c>
      <c r="S345" s="25" t="n">
        <v>0</v>
      </c>
      <c r="T345" s="25" t="n">
        <v>0</v>
      </c>
      <c r="U345" s="25" t="n">
        <v>0</v>
      </c>
      <c r="V345" s="25" t="n">
        <v>0</v>
      </c>
      <c r="W345" s="25" t="n">
        <v>0</v>
      </c>
      <c r="X345" s="25" t="n">
        <v>0</v>
      </c>
      <c r="Y345" s="25">
        <f>X345 / 12</f>
        <v/>
      </c>
      <c r="Z345" s="17" t="n">
        <v>-163</v>
      </c>
      <c r="AA345" s="25">
        <f>I345</f>
        <v/>
      </c>
      <c r="AB345" s="25">
        <f>Q345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 t="n">
        <v>0</v>
      </c>
      <c r="J346" s="19">
        <f>I346 * (0.01000000 / 12)</f>
        <v/>
      </c>
      <c r="K346" s="19">
        <f>(I346 - J346) * (0.00664805 / 12) * 1.0</f>
        <v/>
      </c>
      <c r="L346" s="19" t="n">
        <v>0</v>
      </c>
      <c r="M346" s="24">
        <f>(I346 - J346) - K346 + L346</f>
        <v/>
      </c>
      <c r="N346" s="24">
        <f>M346 * (0.00400000 / 12) * 1.0</f>
        <v/>
      </c>
      <c r="O346" s="24">
        <f>M346 * (0.00500000 / 12) * 1.0</f>
        <v/>
      </c>
      <c r="P346" s="24">
        <f>Y346</f>
        <v/>
      </c>
      <c r="Q346" s="24">
        <f>MAX(0, M346 - N346 - O346 - P346)</f>
        <v/>
      </c>
      <c r="R346" s="24" t="n">
        <v>0</v>
      </c>
      <c r="S346" s="24" t="n">
        <v>0</v>
      </c>
      <c r="T346" s="24" t="n">
        <v>0</v>
      </c>
      <c r="U346" s="24" t="n">
        <v>0</v>
      </c>
      <c r="V346" s="24" t="n">
        <v>0</v>
      </c>
      <c r="W346" s="24" t="n">
        <v>0</v>
      </c>
      <c r="X346" s="24" t="n">
        <v>0</v>
      </c>
      <c r="Y346" s="24">
        <f>X346 / 12</f>
        <v/>
      </c>
      <c r="Z346" s="15" t="n">
        <v>-164</v>
      </c>
      <c r="AA346" s="24">
        <f>I346</f>
        <v/>
      </c>
      <c r="AB346" s="24">
        <f>Q346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 t="n">
        <v>0</v>
      </c>
      <c r="J347" s="21">
        <f>I347 * (0.01000000 / 12)</f>
        <v/>
      </c>
      <c r="K347" s="21">
        <f>(I347 - J347) * (0.00664805 / 12) * 1.0</f>
        <v/>
      </c>
      <c r="L347" s="21" t="n">
        <v>0</v>
      </c>
      <c r="M347" s="25">
        <f>(I347 - J347) - K347 + L347</f>
        <v/>
      </c>
      <c r="N347" s="25">
        <f>M347 * (0.00400000 / 12) * 1.0</f>
        <v/>
      </c>
      <c r="O347" s="25">
        <f>M347 * (0.00500000 / 12) * 1.0</f>
        <v/>
      </c>
      <c r="P347" s="25">
        <f>Y347</f>
        <v/>
      </c>
      <c r="Q347" s="25">
        <f>MAX(0, M347 - N347 - O347 - P347)</f>
        <v/>
      </c>
      <c r="R347" s="25" t="n">
        <v>0</v>
      </c>
      <c r="S347" s="25" t="n">
        <v>0</v>
      </c>
      <c r="T347" s="25" t="n">
        <v>0</v>
      </c>
      <c r="U347" s="25" t="n">
        <v>0</v>
      </c>
      <c r="V347" s="25" t="n">
        <v>0</v>
      </c>
      <c r="W347" s="25" t="n">
        <v>0</v>
      </c>
      <c r="X347" s="25" t="n">
        <v>0</v>
      </c>
      <c r="Y347" s="25">
        <f>X347 / 12</f>
        <v/>
      </c>
      <c r="Z347" s="17" t="n">
        <v>-165</v>
      </c>
      <c r="AA347" s="25">
        <f>I347</f>
        <v/>
      </c>
      <c r="AB347" s="25">
        <f>Q347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 t="n">
        <v>0</v>
      </c>
      <c r="J348" s="19">
        <f>I348 * (0.01000000 / 12)</f>
        <v/>
      </c>
      <c r="K348" s="19">
        <f>(I348 - J348) * (0.00664805 / 12) * 1.0</f>
        <v/>
      </c>
      <c r="L348" s="19" t="n">
        <v>0</v>
      </c>
      <c r="M348" s="24">
        <f>(I348 - J348) - K348 + L348</f>
        <v/>
      </c>
      <c r="N348" s="24">
        <f>M348 * (0.00400000 / 12) * 1.0</f>
        <v/>
      </c>
      <c r="O348" s="24">
        <f>M348 * (0.00500000 / 12) * 1.0</f>
        <v/>
      </c>
      <c r="P348" s="24">
        <f>Y348</f>
        <v/>
      </c>
      <c r="Q348" s="24">
        <f>MAX(0, M348 - N348 - O348 - P348)</f>
        <v/>
      </c>
      <c r="R348" s="24" t="n">
        <v>0</v>
      </c>
      <c r="S348" s="24" t="n">
        <v>0</v>
      </c>
      <c r="T348" s="24" t="n">
        <v>0</v>
      </c>
      <c r="U348" s="24" t="n">
        <v>0</v>
      </c>
      <c r="V348" s="24" t="n">
        <v>0</v>
      </c>
      <c r="W348" s="24" t="n">
        <v>0</v>
      </c>
      <c r="X348" s="24" t="n">
        <v>0</v>
      </c>
      <c r="Y348" s="24">
        <f>X348 / 12</f>
        <v/>
      </c>
      <c r="Z348" s="15" t="n">
        <v>-166</v>
      </c>
      <c r="AA348" s="24">
        <f>I348</f>
        <v/>
      </c>
      <c r="AB348" s="24">
        <f>Q348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 t="n">
        <v>0</v>
      </c>
      <c r="J349" s="21">
        <f>I349 * (0.01000000 / 12)</f>
        <v/>
      </c>
      <c r="K349" s="21">
        <f>(I349 - J349) * (0.00664805 / 12) * 1.0</f>
        <v/>
      </c>
      <c r="L349" s="21" t="n">
        <v>0</v>
      </c>
      <c r="M349" s="25">
        <f>(I349 - J349) - K349 + L349</f>
        <v/>
      </c>
      <c r="N349" s="25">
        <f>M349 * (0.00400000 / 12) * 1.0</f>
        <v/>
      </c>
      <c r="O349" s="25">
        <f>M349 * (0.00500000 / 12) * 1.0</f>
        <v/>
      </c>
      <c r="P349" s="25">
        <f>Y349</f>
        <v/>
      </c>
      <c r="Q349" s="25">
        <f>MAX(0, M349 - N349 - O349 - P349)</f>
        <v/>
      </c>
      <c r="R349" s="25" t="n">
        <v>0</v>
      </c>
      <c r="S349" s="25" t="n">
        <v>0</v>
      </c>
      <c r="T349" s="25" t="n">
        <v>0</v>
      </c>
      <c r="U349" s="25" t="n">
        <v>0</v>
      </c>
      <c r="V349" s="25" t="n">
        <v>0</v>
      </c>
      <c r="W349" s="25" t="n">
        <v>0</v>
      </c>
      <c r="X349" s="25" t="n">
        <v>0</v>
      </c>
      <c r="Y349" s="25">
        <f>X349 / 12</f>
        <v/>
      </c>
      <c r="Z349" s="17" t="n">
        <v>-167</v>
      </c>
      <c r="AA349" s="25">
        <f>I349</f>
        <v/>
      </c>
      <c r="AB349" s="25">
        <f>Q349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 t="n">
        <v>0</v>
      </c>
      <c r="J350" s="19">
        <f>I350 * (0.01000000 / 12)</f>
        <v/>
      </c>
      <c r="K350" s="19">
        <f>(I350 - J350) * (0.00664805 / 12) * 1.0</f>
        <v/>
      </c>
      <c r="L350" s="19" t="n">
        <v>0</v>
      </c>
      <c r="M350" s="24">
        <f>(I350 - J350) - K350 + L350</f>
        <v/>
      </c>
      <c r="N350" s="24">
        <f>M350 * (0.00400000 / 12) * 1.0</f>
        <v/>
      </c>
      <c r="O350" s="24">
        <f>M350 * (0.00500000 / 12) * 1.0</f>
        <v/>
      </c>
      <c r="P350" s="24">
        <f>Y350</f>
        <v/>
      </c>
      <c r="Q350" s="24">
        <f>MAX(0, M350 - N350 - O350 - P350)</f>
        <v/>
      </c>
      <c r="R350" s="24" t="n">
        <v>0</v>
      </c>
      <c r="S350" s="24" t="n">
        <v>0</v>
      </c>
      <c r="T350" s="24" t="n">
        <v>0</v>
      </c>
      <c r="U350" s="24" t="n">
        <v>0</v>
      </c>
      <c r="V350" s="24" t="n">
        <v>0</v>
      </c>
      <c r="W350" s="24" t="n">
        <v>0</v>
      </c>
      <c r="X350" s="24" t="n">
        <v>0</v>
      </c>
      <c r="Y350" s="24">
        <f>X350 / 12</f>
        <v/>
      </c>
      <c r="Z350" s="15" t="n">
        <v>-168</v>
      </c>
      <c r="AA350" s="24">
        <f>I350</f>
        <v/>
      </c>
      <c r="AB350" s="24">
        <f>Q350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 t="n">
        <v>0</v>
      </c>
      <c r="J351" s="21">
        <f>I351 * (0.01000000 / 12)</f>
        <v/>
      </c>
      <c r="K351" s="21">
        <f>(I351 - J351) * (0.00664805 / 12) * 1.0</f>
        <v/>
      </c>
      <c r="L351" s="21" t="n">
        <v>0</v>
      </c>
      <c r="M351" s="25">
        <f>(I351 - J351) - K351 + L351</f>
        <v/>
      </c>
      <c r="N351" s="25">
        <f>M351 * (0.00400000 / 12) * 1.0</f>
        <v/>
      </c>
      <c r="O351" s="25">
        <f>M351 * (0.00500000 / 12) * 1.0</f>
        <v/>
      </c>
      <c r="P351" s="25">
        <f>Y351</f>
        <v/>
      </c>
      <c r="Q351" s="25">
        <f>MAX(0, M351 - N351 - O351 - P351)</f>
        <v/>
      </c>
      <c r="R351" s="25" t="n">
        <v>0</v>
      </c>
      <c r="S351" s="25" t="n">
        <v>0</v>
      </c>
      <c r="T351" s="25" t="n">
        <v>0</v>
      </c>
      <c r="U351" s="25" t="n">
        <v>0</v>
      </c>
      <c r="V351" s="25" t="n">
        <v>0</v>
      </c>
      <c r="W351" s="25" t="n">
        <v>0</v>
      </c>
      <c r="X351" s="25" t="n">
        <v>0</v>
      </c>
      <c r="Y351" s="25">
        <f>X351 / 12</f>
        <v/>
      </c>
      <c r="Z351" s="17" t="n">
        <v>-169</v>
      </c>
      <c r="AA351" s="25">
        <f>I351</f>
        <v/>
      </c>
      <c r="AB351" s="25">
        <f>Q351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 t="n">
        <v>0</v>
      </c>
      <c r="J352" s="19">
        <f>I352 * (0.01000000 / 12)</f>
        <v/>
      </c>
      <c r="K352" s="19">
        <f>(I352 - J352) * (0.00664805 / 12) * 1.0</f>
        <v/>
      </c>
      <c r="L352" s="19" t="n">
        <v>0</v>
      </c>
      <c r="M352" s="24">
        <f>(I352 - J352) - K352 + L352</f>
        <v/>
      </c>
      <c r="N352" s="24">
        <f>M352 * (0.00400000 / 12) * 1.0</f>
        <v/>
      </c>
      <c r="O352" s="24">
        <f>M352 * (0.00500000 / 12) * 1.0</f>
        <v/>
      </c>
      <c r="P352" s="24">
        <f>Y352</f>
        <v/>
      </c>
      <c r="Q352" s="24">
        <f>MAX(0, M352 - N352 - O352 - P352)</f>
        <v/>
      </c>
      <c r="R352" s="24" t="n">
        <v>0</v>
      </c>
      <c r="S352" s="24" t="n">
        <v>0</v>
      </c>
      <c r="T352" s="24" t="n">
        <v>0</v>
      </c>
      <c r="U352" s="24" t="n">
        <v>0</v>
      </c>
      <c r="V352" s="24" t="n">
        <v>0</v>
      </c>
      <c r="W352" s="24" t="n">
        <v>0</v>
      </c>
      <c r="X352" s="24" t="n">
        <v>0</v>
      </c>
      <c r="Y352" s="24">
        <f>X352 / 12</f>
        <v/>
      </c>
      <c r="Z352" s="15" t="n">
        <v>-170</v>
      </c>
      <c r="AA352" s="24">
        <f>I352</f>
        <v/>
      </c>
      <c r="AB352" s="24">
        <f>Q352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 t="n">
        <v>0</v>
      </c>
      <c r="J353" s="21">
        <f>I353 * (0.01000000 / 12)</f>
        <v/>
      </c>
      <c r="K353" s="21">
        <f>(I353 - J353) * (0.00664805 / 12) * 1.0</f>
        <v/>
      </c>
      <c r="L353" s="21" t="n">
        <v>0</v>
      </c>
      <c r="M353" s="25">
        <f>(I353 - J353) - K353 + L353</f>
        <v/>
      </c>
      <c r="N353" s="25">
        <f>M353 * (0.00400000 / 12) * 1.0</f>
        <v/>
      </c>
      <c r="O353" s="25">
        <f>M353 * (0.00500000 / 12) * 1.0</f>
        <v/>
      </c>
      <c r="P353" s="25">
        <f>Y353</f>
        <v/>
      </c>
      <c r="Q353" s="25">
        <f>MAX(0, M353 - N353 - O353 - P353)</f>
        <v/>
      </c>
      <c r="R353" s="25" t="n">
        <v>0</v>
      </c>
      <c r="S353" s="25" t="n">
        <v>0</v>
      </c>
      <c r="T353" s="25" t="n">
        <v>0</v>
      </c>
      <c r="U353" s="25" t="n">
        <v>0</v>
      </c>
      <c r="V353" s="25" t="n">
        <v>0</v>
      </c>
      <c r="W353" s="25" t="n">
        <v>0</v>
      </c>
      <c r="X353" s="25" t="n">
        <v>0</v>
      </c>
      <c r="Y353" s="25">
        <f>X353 / 12</f>
        <v/>
      </c>
      <c r="Z353" s="17" t="n">
        <v>-171</v>
      </c>
      <c r="AA353" s="25">
        <f>I353</f>
        <v/>
      </c>
      <c r="AB353" s="25">
        <f>Q353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 t="n">
        <v>0</v>
      </c>
      <c r="J354" s="19">
        <f>I354 * (0.01000000 / 12)</f>
        <v/>
      </c>
      <c r="K354" s="19">
        <f>(I354 - J354) * (0.00664805 / 12) * 1.0</f>
        <v/>
      </c>
      <c r="L354" s="19" t="n">
        <v>0</v>
      </c>
      <c r="M354" s="24">
        <f>(I354 - J354) - K354 + L354</f>
        <v/>
      </c>
      <c r="N354" s="24">
        <f>M354 * (0.00400000 / 12) * 1.0</f>
        <v/>
      </c>
      <c r="O354" s="24">
        <f>M354 * (0.00500000 / 12) * 1.0</f>
        <v/>
      </c>
      <c r="P354" s="24">
        <f>Y354</f>
        <v/>
      </c>
      <c r="Q354" s="24">
        <f>MAX(0, M354 - N354 - O354 - P354)</f>
        <v/>
      </c>
      <c r="R354" s="24" t="n">
        <v>0</v>
      </c>
      <c r="S354" s="24" t="n">
        <v>0</v>
      </c>
      <c r="T354" s="24" t="n">
        <v>0</v>
      </c>
      <c r="U354" s="24" t="n">
        <v>0</v>
      </c>
      <c r="V354" s="24" t="n">
        <v>0</v>
      </c>
      <c r="W354" s="24" t="n">
        <v>0</v>
      </c>
      <c r="X354" s="24" t="n">
        <v>0</v>
      </c>
      <c r="Y354" s="24">
        <f>X354 / 12</f>
        <v/>
      </c>
      <c r="Z354" s="15" t="n">
        <v>-172</v>
      </c>
      <c r="AA354" s="24">
        <f>I354</f>
        <v/>
      </c>
      <c r="AB354" s="24">
        <f>Q354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 t="n">
        <v>0</v>
      </c>
      <c r="J355" s="21">
        <f>I355 * (0.01000000 / 12)</f>
        <v/>
      </c>
      <c r="K355" s="21">
        <f>(I355 - J355) * (0.00664805 / 12) * 1.0</f>
        <v/>
      </c>
      <c r="L355" s="21" t="n">
        <v>0</v>
      </c>
      <c r="M355" s="25">
        <f>(I355 - J355) - K355 + L355</f>
        <v/>
      </c>
      <c r="N355" s="25">
        <f>M355 * (0.00400000 / 12) * 1.0</f>
        <v/>
      </c>
      <c r="O355" s="25">
        <f>M355 * (0.00500000 / 12) * 1.0</f>
        <v/>
      </c>
      <c r="P355" s="25">
        <f>Y355</f>
        <v/>
      </c>
      <c r="Q355" s="25">
        <f>MAX(0, M355 - N355 - O355 - P355)</f>
        <v/>
      </c>
      <c r="R355" s="25" t="n">
        <v>0</v>
      </c>
      <c r="S355" s="25" t="n">
        <v>0</v>
      </c>
      <c r="T355" s="25" t="n">
        <v>0</v>
      </c>
      <c r="U355" s="25" t="n">
        <v>0</v>
      </c>
      <c r="V355" s="25" t="n">
        <v>0</v>
      </c>
      <c r="W355" s="25" t="n">
        <v>0</v>
      </c>
      <c r="X355" s="25" t="n">
        <v>0</v>
      </c>
      <c r="Y355" s="25">
        <f>X355 / 12</f>
        <v/>
      </c>
      <c r="Z355" s="17" t="n">
        <v>-173</v>
      </c>
      <c r="AA355" s="25">
        <f>I355</f>
        <v/>
      </c>
      <c r="AB355" s="25">
        <f>Q355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 t="n">
        <v>0</v>
      </c>
      <c r="J356" s="19">
        <f>I356 * (0.01000000 / 12)</f>
        <v/>
      </c>
      <c r="K356" s="19">
        <f>(I356 - J356) * (0.00664805 / 12) * 1.0</f>
        <v/>
      </c>
      <c r="L356" s="19" t="n">
        <v>0</v>
      </c>
      <c r="M356" s="24">
        <f>(I356 - J356) - K356 + L356</f>
        <v/>
      </c>
      <c r="N356" s="24">
        <f>M356 * (0.00400000 / 12) * 1.0</f>
        <v/>
      </c>
      <c r="O356" s="24">
        <f>M356 * (0.00500000 / 12) * 1.0</f>
        <v/>
      </c>
      <c r="P356" s="24">
        <f>Y356</f>
        <v/>
      </c>
      <c r="Q356" s="24">
        <f>MAX(0, M356 - N356 - O356 - P356)</f>
        <v/>
      </c>
      <c r="R356" s="24" t="n">
        <v>0</v>
      </c>
      <c r="S356" s="24" t="n">
        <v>0</v>
      </c>
      <c r="T356" s="24" t="n">
        <v>0</v>
      </c>
      <c r="U356" s="24" t="n">
        <v>0</v>
      </c>
      <c r="V356" s="24" t="n">
        <v>0</v>
      </c>
      <c r="W356" s="24" t="n">
        <v>0</v>
      </c>
      <c r="X356" s="24" t="n">
        <v>0</v>
      </c>
      <c r="Y356" s="24">
        <f>X356 / 12</f>
        <v/>
      </c>
      <c r="Z356" s="15" t="n">
        <v>-174</v>
      </c>
      <c r="AA356" s="24">
        <f>I356</f>
        <v/>
      </c>
      <c r="AB356" s="24">
        <f>Q356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 t="n">
        <v>0</v>
      </c>
      <c r="J357" s="21">
        <f>I357 * (0.01000000 / 12)</f>
        <v/>
      </c>
      <c r="K357" s="21">
        <f>(I357 - J357) * (0.00664805 / 12) * 1.0</f>
        <v/>
      </c>
      <c r="L357" s="21" t="n">
        <v>0</v>
      </c>
      <c r="M357" s="25">
        <f>(I357 - J357) - K357 + L357</f>
        <v/>
      </c>
      <c r="N357" s="25">
        <f>M357 * (0.00400000 / 12) * 1.0</f>
        <v/>
      </c>
      <c r="O357" s="25">
        <f>M357 * (0.00500000 / 12) * 1.0</f>
        <v/>
      </c>
      <c r="P357" s="25">
        <f>Y357</f>
        <v/>
      </c>
      <c r="Q357" s="25">
        <f>MAX(0, M357 - N357 - O357 - P357)</f>
        <v/>
      </c>
      <c r="R357" s="25" t="n">
        <v>0</v>
      </c>
      <c r="S357" s="25" t="n">
        <v>0</v>
      </c>
      <c r="T357" s="25" t="n">
        <v>0</v>
      </c>
      <c r="U357" s="25" t="n">
        <v>0</v>
      </c>
      <c r="V357" s="25" t="n">
        <v>0</v>
      </c>
      <c r="W357" s="25" t="n">
        <v>0</v>
      </c>
      <c r="X357" s="25" t="n">
        <v>0</v>
      </c>
      <c r="Y357" s="25">
        <f>X357 / 12</f>
        <v/>
      </c>
      <c r="Z357" s="17" t="n">
        <v>-175</v>
      </c>
      <c r="AA357" s="25">
        <f>I357</f>
        <v/>
      </c>
      <c r="AB357" s="25">
        <f>Q357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 t="n">
        <v>0</v>
      </c>
      <c r="J358" s="19">
        <f>I358 * (0.01000000 / 12)</f>
        <v/>
      </c>
      <c r="K358" s="19">
        <f>(I358 - J358) * (0.00664805 / 12) * 1.0</f>
        <v/>
      </c>
      <c r="L358" s="19" t="n">
        <v>0</v>
      </c>
      <c r="M358" s="24">
        <f>(I358 - J358) - K358 + L358</f>
        <v/>
      </c>
      <c r="N358" s="24">
        <f>M358 * (0.00400000 / 12) * 1.0</f>
        <v/>
      </c>
      <c r="O358" s="24">
        <f>M358 * (0.00500000 / 12) * 1.0</f>
        <v/>
      </c>
      <c r="P358" s="24">
        <f>Y358</f>
        <v/>
      </c>
      <c r="Q358" s="24">
        <f>MAX(0, M358 - N358 - O358 - P358)</f>
        <v/>
      </c>
      <c r="R358" s="24" t="n">
        <v>0</v>
      </c>
      <c r="S358" s="24" t="n">
        <v>0</v>
      </c>
      <c r="T358" s="24" t="n">
        <v>0</v>
      </c>
      <c r="U358" s="24" t="n">
        <v>0</v>
      </c>
      <c r="V358" s="24" t="n">
        <v>0</v>
      </c>
      <c r="W358" s="24" t="n">
        <v>0</v>
      </c>
      <c r="X358" s="24" t="n">
        <v>0</v>
      </c>
      <c r="Y358" s="24">
        <f>X358 / 12</f>
        <v/>
      </c>
      <c r="Z358" s="15" t="n">
        <v>-176</v>
      </c>
      <c r="AA358" s="24">
        <f>I358</f>
        <v/>
      </c>
      <c r="AB358" s="24">
        <f>Q358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 t="n">
        <v>0</v>
      </c>
      <c r="J359" s="21">
        <f>I359 * (0.01000000 / 12)</f>
        <v/>
      </c>
      <c r="K359" s="21">
        <f>(I359 - J359) * (0.00664805 / 12) * 1.0</f>
        <v/>
      </c>
      <c r="L359" s="21" t="n">
        <v>0</v>
      </c>
      <c r="M359" s="25">
        <f>(I359 - J359) - K359 + L359</f>
        <v/>
      </c>
      <c r="N359" s="25">
        <f>M359 * (0.00400000 / 12) * 1.0</f>
        <v/>
      </c>
      <c r="O359" s="25">
        <f>M359 * (0.00500000 / 12) * 1.0</f>
        <v/>
      </c>
      <c r="P359" s="25">
        <f>Y359</f>
        <v/>
      </c>
      <c r="Q359" s="25">
        <f>MAX(0, M359 - N359 - O359 - P359)</f>
        <v/>
      </c>
      <c r="R359" s="25" t="n">
        <v>0</v>
      </c>
      <c r="S359" s="25" t="n">
        <v>0</v>
      </c>
      <c r="T359" s="25" t="n">
        <v>0</v>
      </c>
      <c r="U359" s="25" t="n">
        <v>0</v>
      </c>
      <c r="V359" s="25" t="n">
        <v>0</v>
      </c>
      <c r="W359" s="25" t="n">
        <v>0</v>
      </c>
      <c r="X359" s="25" t="n">
        <v>0</v>
      </c>
      <c r="Y359" s="25">
        <f>X359 / 12</f>
        <v/>
      </c>
      <c r="Z359" s="17" t="n">
        <v>-177</v>
      </c>
      <c r="AA359" s="25">
        <f>I359</f>
        <v/>
      </c>
      <c r="AB359" s="25">
        <f>Q359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 t="n">
        <v>0</v>
      </c>
      <c r="J360" s="19">
        <f>I360 * (0.01000000 / 12)</f>
        <v/>
      </c>
      <c r="K360" s="19">
        <f>(I360 - J360) * (0.00664805 / 12) * 1.0</f>
        <v/>
      </c>
      <c r="L360" s="19" t="n">
        <v>0</v>
      </c>
      <c r="M360" s="24">
        <f>(I360 - J360) - K360 + L360</f>
        <v/>
      </c>
      <c r="N360" s="24">
        <f>M360 * (0.00400000 / 12) * 1.0</f>
        <v/>
      </c>
      <c r="O360" s="24">
        <f>M360 * (0.00500000 / 12) * 1.0</f>
        <v/>
      </c>
      <c r="P360" s="24">
        <f>Y360</f>
        <v/>
      </c>
      <c r="Q360" s="24">
        <f>MAX(0, M360 - N360 - O360 - P360)</f>
        <v/>
      </c>
      <c r="R360" s="24" t="n">
        <v>0</v>
      </c>
      <c r="S360" s="24" t="n">
        <v>0</v>
      </c>
      <c r="T360" s="24" t="n">
        <v>0</v>
      </c>
      <c r="U360" s="24" t="n">
        <v>0</v>
      </c>
      <c r="V360" s="24" t="n">
        <v>0</v>
      </c>
      <c r="W360" s="24" t="n">
        <v>0</v>
      </c>
      <c r="X360" s="24" t="n">
        <v>0</v>
      </c>
      <c r="Y360" s="24">
        <f>X360 / 12</f>
        <v/>
      </c>
      <c r="Z360" s="15" t="n">
        <v>-178</v>
      </c>
      <c r="AA360" s="24">
        <f>I360</f>
        <v/>
      </c>
      <c r="AB360" s="24">
        <f>Q360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 t="n">
        <v>0</v>
      </c>
      <c r="J361" s="21">
        <f>I361 * (0.01000000 / 12)</f>
        <v/>
      </c>
      <c r="K361" s="21">
        <f>(I361 - J361) * (0.00664805 / 12) * 1.0</f>
        <v/>
      </c>
      <c r="L361" s="21" t="n">
        <v>0</v>
      </c>
      <c r="M361" s="25">
        <f>(I361 - J361) - K361 + L361</f>
        <v/>
      </c>
      <c r="N361" s="25">
        <f>M361 * (0.00400000 / 12) * 1.0</f>
        <v/>
      </c>
      <c r="O361" s="25">
        <f>M361 * (0.00500000 / 12) * 1.0</f>
        <v/>
      </c>
      <c r="P361" s="25">
        <f>Y361</f>
        <v/>
      </c>
      <c r="Q361" s="25">
        <f>MAX(0, M361 - N361 - O361 - P361)</f>
        <v/>
      </c>
      <c r="R361" s="25" t="n">
        <v>0</v>
      </c>
      <c r="S361" s="25" t="n">
        <v>0</v>
      </c>
      <c r="T361" s="25" t="n">
        <v>0</v>
      </c>
      <c r="U361" s="25" t="n">
        <v>0</v>
      </c>
      <c r="V361" s="25" t="n">
        <v>0</v>
      </c>
      <c r="W361" s="25" t="n">
        <v>0</v>
      </c>
      <c r="X361" s="25" t="n">
        <v>0</v>
      </c>
      <c r="Y361" s="25">
        <f>X361 / 12</f>
        <v/>
      </c>
      <c r="Z361" s="17" t="n">
        <v>-179</v>
      </c>
      <c r="AA361" s="25">
        <f>I361</f>
        <v/>
      </c>
      <c r="AB361" s="25">
        <f>Q361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 t="n">
        <v>0</v>
      </c>
      <c r="J362" s="19">
        <f>I362 * (0.01000000 / 12)</f>
        <v/>
      </c>
      <c r="K362" s="19">
        <f>(I362 - J362) * (0.00664805 / 12) * 1.0</f>
        <v/>
      </c>
      <c r="L362" s="19" t="n">
        <v>0</v>
      </c>
      <c r="M362" s="24">
        <f>(I362 - J362) - K362 + L362</f>
        <v/>
      </c>
      <c r="N362" s="24">
        <f>M362 * (0.00400000 / 12) * 1.0</f>
        <v/>
      </c>
      <c r="O362" s="24">
        <f>M362 * (0.00500000 / 12) * 1.0</f>
        <v/>
      </c>
      <c r="P362" s="24">
        <f>Y362</f>
        <v/>
      </c>
      <c r="Q362" s="24">
        <f>MAX(0, M362 - N362 - O362 - P362)</f>
        <v/>
      </c>
      <c r="R362" s="24" t="n">
        <v>0</v>
      </c>
      <c r="S362" s="24" t="n">
        <v>0</v>
      </c>
      <c r="T362" s="24" t="n">
        <v>0</v>
      </c>
      <c r="U362" s="24" t="n">
        <v>0</v>
      </c>
      <c r="V362" s="24" t="n">
        <v>0</v>
      </c>
      <c r="W362" s="24" t="n">
        <v>0</v>
      </c>
      <c r="X362" s="24" t="n">
        <v>0</v>
      </c>
      <c r="Y362" s="24">
        <f>X362 / 12</f>
        <v/>
      </c>
      <c r="Z362" s="15" t="n">
        <v>-180</v>
      </c>
      <c r="AA362" s="24">
        <f>I362</f>
        <v/>
      </c>
      <c r="AB362" s="24">
        <f>Q362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 t="n">
        <v>0</v>
      </c>
      <c r="J363" s="21">
        <f>I363 * (0.01000000 / 12)</f>
        <v/>
      </c>
      <c r="K363" s="21">
        <f>(I363 - J363) * (0.00664805 / 12) * 1.0</f>
        <v/>
      </c>
      <c r="L363" s="21" t="n">
        <v>0</v>
      </c>
      <c r="M363" s="25">
        <f>(I363 - J363) - K363 + L363</f>
        <v/>
      </c>
      <c r="N363" s="25">
        <f>M363 * (0.00400000 / 12) * 1.0</f>
        <v/>
      </c>
      <c r="O363" s="25">
        <f>M363 * (0.00500000 / 12) * 1.0</f>
        <v/>
      </c>
      <c r="P363" s="25">
        <f>Y363</f>
        <v/>
      </c>
      <c r="Q363" s="25">
        <f>MAX(0, M363 - N363 - O363 - P363)</f>
        <v/>
      </c>
      <c r="R363" s="25" t="n">
        <v>0</v>
      </c>
      <c r="S363" s="25" t="n">
        <v>0</v>
      </c>
      <c r="T363" s="25" t="n">
        <v>0</v>
      </c>
      <c r="U363" s="25" t="n">
        <v>0</v>
      </c>
      <c r="V363" s="25" t="n">
        <v>0</v>
      </c>
      <c r="W363" s="25" t="n">
        <v>0</v>
      </c>
      <c r="X363" s="25" t="n">
        <v>0</v>
      </c>
      <c r="Y363" s="25">
        <f>X363 / 12</f>
        <v/>
      </c>
      <c r="Z363" s="17" t="n">
        <v>-181</v>
      </c>
      <c r="AA363" s="25">
        <f>I363</f>
        <v/>
      </c>
      <c r="AB363" s="25">
        <f>Q363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 t="n">
        <v>0</v>
      </c>
      <c r="J364" s="19">
        <f>I364 * (0.01000000 / 12)</f>
        <v/>
      </c>
      <c r="K364" s="19">
        <f>(I364 - J364) * (0.00664805 / 12) * 1.0</f>
        <v/>
      </c>
      <c r="L364" s="19" t="n">
        <v>0</v>
      </c>
      <c r="M364" s="24">
        <f>(I364 - J364) - K364 + L364</f>
        <v/>
      </c>
      <c r="N364" s="24">
        <f>M364 * (0.00400000 / 12) * 1.0</f>
        <v/>
      </c>
      <c r="O364" s="24">
        <f>M364 * (0.00500000 / 12) * 1.0</f>
        <v/>
      </c>
      <c r="P364" s="24">
        <f>Y364</f>
        <v/>
      </c>
      <c r="Q364" s="24">
        <f>MAX(0, M364 - N364 - O364 - P364)</f>
        <v/>
      </c>
      <c r="R364" s="24" t="n">
        <v>0</v>
      </c>
      <c r="S364" s="24" t="n">
        <v>0</v>
      </c>
      <c r="T364" s="24" t="n">
        <v>0</v>
      </c>
      <c r="U364" s="24" t="n">
        <v>0</v>
      </c>
      <c r="V364" s="24" t="n">
        <v>0</v>
      </c>
      <c r="W364" s="24" t="n">
        <v>0</v>
      </c>
      <c r="X364" s="24" t="n">
        <v>0</v>
      </c>
      <c r="Y364" s="24">
        <f>X364 / 12</f>
        <v/>
      </c>
      <c r="Z364" s="15" t="n">
        <v>-182</v>
      </c>
      <c r="AA364" s="24">
        <f>I364</f>
        <v/>
      </c>
      <c r="AB364" s="24">
        <f>Q364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 t="n">
        <v>0</v>
      </c>
      <c r="J365" s="21">
        <f>I365 * (0.01000000 / 12)</f>
        <v/>
      </c>
      <c r="K365" s="21">
        <f>(I365 - J365) * (0.00664805 / 12) * 1.0</f>
        <v/>
      </c>
      <c r="L365" s="21" t="n">
        <v>0</v>
      </c>
      <c r="M365" s="25">
        <f>(I365 - J365) - K365 + L365</f>
        <v/>
      </c>
      <c r="N365" s="25">
        <f>M365 * (0.00400000 / 12) * 1.0</f>
        <v/>
      </c>
      <c r="O365" s="25">
        <f>M365 * (0.00500000 / 12) * 1.0</f>
        <v/>
      </c>
      <c r="P365" s="25">
        <f>Y365</f>
        <v/>
      </c>
      <c r="Q365" s="25">
        <f>MAX(0, M365 - N365 - O365 - P365)</f>
        <v/>
      </c>
      <c r="R365" s="25" t="n">
        <v>0</v>
      </c>
      <c r="S365" s="25" t="n">
        <v>0</v>
      </c>
      <c r="T365" s="25" t="n">
        <v>0</v>
      </c>
      <c r="U365" s="25" t="n">
        <v>0</v>
      </c>
      <c r="V365" s="25" t="n">
        <v>0</v>
      </c>
      <c r="W365" s="25" t="n">
        <v>0</v>
      </c>
      <c r="X365" s="25" t="n">
        <v>0</v>
      </c>
      <c r="Y365" s="25">
        <f>X365 / 12</f>
        <v/>
      </c>
      <c r="Z365" s="17" t="n">
        <v>-183</v>
      </c>
      <c r="AA365" s="25">
        <f>I365</f>
        <v/>
      </c>
      <c r="AB365" s="25">
        <f>Q365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 t="n">
        <v>0</v>
      </c>
      <c r="J366" s="19">
        <f>I366 * (0.01000000 / 12)</f>
        <v/>
      </c>
      <c r="K366" s="19">
        <f>(I366 - J366) * (0.00664805 / 12) * 1.0</f>
        <v/>
      </c>
      <c r="L366" s="19" t="n">
        <v>0</v>
      </c>
      <c r="M366" s="24">
        <f>(I366 - J366) - K366 + L366</f>
        <v/>
      </c>
      <c r="N366" s="24">
        <f>M366 * (0.00400000 / 12) * 1.0</f>
        <v/>
      </c>
      <c r="O366" s="24">
        <f>M366 * (0.00500000 / 12) * 1.0</f>
        <v/>
      </c>
      <c r="P366" s="24">
        <f>Y366</f>
        <v/>
      </c>
      <c r="Q366" s="24">
        <f>MAX(0, M366 - N366 - O366 - P366)</f>
        <v/>
      </c>
      <c r="R366" s="24" t="n">
        <v>0</v>
      </c>
      <c r="S366" s="24" t="n">
        <v>0</v>
      </c>
      <c r="T366" s="24" t="n">
        <v>0</v>
      </c>
      <c r="U366" s="24" t="n">
        <v>0</v>
      </c>
      <c r="V366" s="24" t="n">
        <v>0</v>
      </c>
      <c r="W366" s="24" t="n">
        <v>0</v>
      </c>
      <c r="X366" s="24" t="n">
        <v>0</v>
      </c>
      <c r="Y366" s="24">
        <f>X366 / 12</f>
        <v/>
      </c>
      <c r="Z366" s="15" t="n">
        <v>-184</v>
      </c>
      <c r="AA366" s="24">
        <f>I366</f>
        <v/>
      </c>
      <c r="AB366" s="24">
        <f>Q366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 t="n">
        <v>0</v>
      </c>
      <c r="J367" s="21">
        <f>I367 * (0.01000000 / 12)</f>
        <v/>
      </c>
      <c r="K367" s="21">
        <f>(I367 - J367) * (0.00664805 / 12) * 1.0</f>
        <v/>
      </c>
      <c r="L367" s="21" t="n">
        <v>0</v>
      </c>
      <c r="M367" s="25">
        <f>(I367 - J367) - K367 + L367</f>
        <v/>
      </c>
      <c r="N367" s="25">
        <f>M367 * (0.00400000 / 12) * 1.0</f>
        <v/>
      </c>
      <c r="O367" s="25">
        <f>M367 * (0.00500000 / 12) * 1.0</f>
        <v/>
      </c>
      <c r="P367" s="25">
        <f>Y367</f>
        <v/>
      </c>
      <c r="Q367" s="25">
        <f>MAX(0, M367 - N367 - O367 - P367)</f>
        <v/>
      </c>
      <c r="R367" s="25" t="n">
        <v>0</v>
      </c>
      <c r="S367" s="25" t="n">
        <v>0</v>
      </c>
      <c r="T367" s="25" t="n">
        <v>0</v>
      </c>
      <c r="U367" s="25" t="n">
        <v>0</v>
      </c>
      <c r="V367" s="25" t="n">
        <v>0</v>
      </c>
      <c r="W367" s="25" t="n">
        <v>0</v>
      </c>
      <c r="X367" s="25" t="n">
        <v>0</v>
      </c>
      <c r="Y367" s="25">
        <f>X367 / 12</f>
        <v/>
      </c>
      <c r="Z367" s="17" t="n">
        <v>-185</v>
      </c>
      <c r="AA367" s="25">
        <f>I367</f>
        <v/>
      </c>
      <c r="AB367" s="25">
        <f>Q367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 t="n">
        <v>0</v>
      </c>
      <c r="J368" s="19">
        <f>I368 * (0.01000000 / 12)</f>
        <v/>
      </c>
      <c r="K368" s="19">
        <f>(I368 - J368) * (0.00664805 / 12) * 1.0</f>
        <v/>
      </c>
      <c r="L368" s="19" t="n">
        <v>0</v>
      </c>
      <c r="M368" s="24">
        <f>(I368 - J368) - K368 + L368</f>
        <v/>
      </c>
      <c r="N368" s="24">
        <f>M368 * (0.00400000 / 12) * 1.0</f>
        <v/>
      </c>
      <c r="O368" s="24">
        <f>M368 * (0.00500000 / 12) * 1.0</f>
        <v/>
      </c>
      <c r="P368" s="24">
        <f>Y368</f>
        <v/>
      </c>
      <c r="Q368" s="24">
        <f>MAX(0, M368 - N368 - O368 - P368)</f>
        <v/>
      </c>
      <c r="R368" s="24" t="n">
        <v>0</v>
      </c>
      <c r="S368" s="24" t="n">
        <v>0</v>
      </c>
      <c r="T368" s="24" t="n">
        <v>0</v>
      </c>
      <c r="U368" s="24" t="n">
        <v>0</v>
      </c>
      <c r="V368" s="24" t="n">
        <v>0</v>
      </c>
      <c r="W368" s="24" t="n">
        <v>0</v>
      </c>
      <c r="X368" s="24" t="n">
        <v>0</v>
      </c>
      <c r="Y368" s="24">
        <f>X368 / 12</f>
        <v/>
      </c>
      <c r="Z368" s="15" t="n">
        <v>-186</v>
      </c>
      <c r="AA368" s="24">
        <f>I368</f>
        <v/>
      </c>
      <c r="AB368" s="24">
        <f>Q368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 t="n">
        <v>0</v>
      </c>
      <c r="J369" s="21">
        <f>I369 * (0.01000000 / 12)</f>
        <v/>
      </c>
      <c r="K369" s="21">
        <f>(I369 - J369) * (0.00664805 / 12) * 1.0</f>
        <v/>
      </c>
      <c r="L369" s="21" t="n">
        <v>0</v>
      </c>
      <c r="M369" s="25">
        <f>(I369 - J369) - K369 + L369</f>
        <v/>
      </c>
      <c r="N369" s="25">
        <f>M369 * (0.00400000 / 12) * 1.0</f>
        <v/>
      </c>
      <c r="O369" s="25">
        <f>M369 * (0.00500000 / 12) * 1.0</f>
        <v/>
      </c>
      <c r="P369" s="25">
        <f>Y369</f>
        <v/>
      </c>
      <c r="Q369" s="25">
        <f>MAX(0, M369 - N369 - O369 - P369)</f>
        <v/>
      </c>
      <c r="R369" s="25" t="n">
        <v>0</v>
      </c>
      <c r="S369" s="25" t="n">
        <v>0</v>
      </c>
      <c r="T369" s="25" t="n">
        <v>0</v>
      </c>
      <c r="U369" s="25" t="n">
        <v>0</v>
      </c>
      <c r="V369" s="25" t="n">
        <v>0</v>
      </c>
      <c r="W369" s="25" t="n">
        <v>0</v>
      </c>
      <c r="X369" s="25" t="n">
        <v>0</v>
      </c>
      <c r="Y369" s="25">
        <f>X369 / 12</f>
        <v/>
      </c>
      <c r="Z369" s="17" t="n">
        <v>-187</v>
      </c>
      <c r="AA369" s="25">
        <f>I369</f>
        <v/>
      </c>
      <c r="AB369" s="25">
        <f>Q369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 t="n">
        <v>0</v>
      </c>
      <c r="J370" s="19">
        <f>I370 * (0.01000000 / 12)</f>
        <v/>
      </c>
      <c r="K370" s="19">
        <f>(I370 - J370) * (0.00664805 / 12) * 1.0</f>
        <v/>
      </c>
      <c r="L370" s="19" t="n">
        <v>0</v>
      </c>
      <c r="M370" s="24">
        <f>(I370 - J370) - K370 + L370</f>
        <v/>
      </c>
      <c r="N370" s="24">
        <f>M370 * (0.00400000 / 12) * 1.0</f>
        <v/>
      </c>
      <c r="O370" s="24">
        <f>M370 * (0.00500000 / 12) * 1.0</f>
        <v/>
      </c>
      <c r="P370" s="24">
        <f>Y370</f>
        <v/>
      </c>
      <c r="Q370" s="24">
        <f>MAX(0, M370 - N370 - O370 - P370)</f>
        <v/>
      </c>
      <c r="R370" s="24" t="n">
        <v>0</v>
      </c>
      <c r="S370" s="24" t="n">
        <v>0</v>
      </c>
      <c r="T370" s="24" t="n">
        <v>0</v>
      </c>
      <c r="U370" s="24" t="n">
        <v>0</v>
      </c>
      <c r="V370" s="24" t="n">
        <v>0</v>
      </c>
      <c r="W370" s="24" t="n">
        <v>0</v>
      </c>
      <c r="X370" s="24" t="n">
        <v>0</v>
      </c>
      <c r="Y370" s="24">
        <f>X370 / 12</f>
        <v/>
      </c>
      <c r="Z370" s="15" t="n">
        <v>-188</v>
      </c>
      <c r="AA370" s="24">
        <f>I370</f>
        <v/>
      </c>
      <c r="AB370" s="24">
        <f>Q370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 t="n">
        <v>0</v>
      </c>
      <c r="J371" s="21">
        <f>I371 * (0.01000000 / 12)</f>
        <v/>
      </c>
      <c r="K371" s="21">
        <f>(I371 - J371) * (0.00664805 / 12) * 1.0</f>
        <v/>
      </c>
      <c r="L371" s="21" t="n">
        <v>0</v>
      </c>
      <c r="M371" s="25">
        <f>(I371 - J371) - K371 + L371</f>
        <v/>
      </c>
      <c r="N371" s="25">
        <f>M371 * (0.00400000 / 12) * 1.0</f>
        <v/>
      </c>
      <c r="O371" s="25">
        <f>M371 * (0.00500000 / 12) * 1.0</f>
        <v/>
      </c>
      <c r="P371" s="25">
        <f>Y371</f>
        <v/>
      </c>
      <c r="Q371" s="25">
        <f>MAX(0, M371 - N371 - O371 - P371)</f>
        <v/>
      </c>
      <c r="R371" s="25" t="n">
        <v>0</v>
      </c>
      <c r="S371" s="25" t="n">
        <v>0</v>
      </c>
      <c r="T371" s="25" t="n">
        <v>0</v>
      </c>
      <c r="U371" s="25" t="n">
        <v>0</v>
      </c>
      <c r="V371" s="25" t="n">
        <v>0</v>
      </c>
      <c r="W371" s="25" t="n">
        <v>0</v>
      </c>
      <c r="X371" s="25" t="n">
        <v>0</v>
      </c>
      <c r="Y371" s="25">
        <f>X371 / 12</f>
        <v/>
      </c>
      <c r="Z371" s="17" t="n">
        <v>-189</v>
      </c>
      <c r="AA371" s="25">
        <f>I371</f>
        <v/>
      </c>
      <c r="AB371" s="25">
        <f>Q371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 t="n">
        <v>0</v>
      </c>
      <c r="J372" s="19">
        <f>I372 * (0.01000000 / 12)</f>
        <v/>
      </c>
      <c r="K372" s="19">
        <f>(I372 - J372) * (0.00664805 / 12) * 1.0</f>
        <v/>
      </c>
      <c r="L372" s="19" t="n">
        <v>0</v>
      </c>
      <c r="M372" s="24">
        <f>(I372 - J372) - K372 + L372</f>
        <v/>
      </c>
      <c r="N372" s="24">
        <f>M372 * (0.00400000 / 12) * 1.0</f>
        <v/>
      </c>
      <c r="O372" s="24">
        <f>M372 * (0.00500000 / 12) * 1.0</f>
        <v/>
      </c>
      <c r="P372" s="24">
        <f>Y372</f>
        <v/>
      </c>
      <c r="Q372" s="24">
        <f>MAX(0, M372 - N372 - O372 - P372)</f>
        <v/>
      </c>
      <c r="R372" s="24" t="n">
        <v>0</v>
      </c>
      <c r="S372" s="24" t="n">
        <v>0</v>
      </c>
      <c r="T372" s="24" t="n">
        <v>0</v>
      </c>
      <c r="U372" s="24" t="n">
        <v>0</v>
      </c>
      <c r="V372" s="24" t="n">
        <v>0</v>
      </c>
      <c r="W372" s="24" t="n">
        <v>0</v>
      </c>
      <c r="X372" s="24" t="n">
        <v>0</v>
      </c>
      <c r="Y372" s="24">
        <f>X372 / 12</f>
        <v/>
      </c>
      <c r="Z372" s="15" t="n">
        <v>-190</v>
      </c>
      <c r="AA372" s="24">
        <f>I372</f>
        <v/>
      </c>
      <c r="AB372" s="24">
        <f>Q372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 t="n">
        <v>0</v>
      </c>
      <c r="J373" s="21">
        <f>I373 * (0.01000000 / 12)</f>
        <v/>
      </c>
      <c r="K373" s="21">
        <f>(I373 - J373) * (0.00664805 / 12) * 1.0</f>
        <v/>
      </c>
      <c r="L373" s="21" t="n">
        <v>0</v>
      </c>
      <c r="M373" s="25">
        <f>(I373 - J373) - K373 + L373</f>
        <v/>
      </c>
      <c r="N373" s="25">
        <f>M373 * (0.00400000 / 12) * 1.0</f>
        <v/>
      </c>
      <c r="O373" s="25">
        <f>M373 * (0.00500000 / 12) * 1.0</f>
        <v/>
      </c>
      <c r="P373" s="25">
        <f>Y373</f>
        <v/>
      </c>
      <c r="Q373" s="25">
        <f>MAX(0, M373 - N373 - O373 - P373)</f>
        <v/>
      </c>
      <c r="R373" s="25" t="n">
        <v>0</v>
      </c>
      <c r="S373" s="25" t="n">
        <v>0</v>
      </c>
      <c r="T373" s="25" t="n">
        <v>0</v>
      </c>
      <c r="U373" s="25" t="n">
        <v>0</v>
      </c>
      <c r="V373" s="25" t="n">
        <v>0</v>
      </c>
      <c r="W373" s="25" t="n">
        <v>0</v>
      </c>
      <c r="X373" s="25" t="n">
        <v>0</v>
      </c>
      <c r="Y373" s="25">
        <f>X373 / 12</f>
        <v/>
      </c>
      <c r="Z373" s="17" t="n">
        <v>-191</v>
      </c>
      <c r="AA373" s="25">
        <f>I373</f>
        <v/>
      </c>
      <c r="AB373" s="25">
        <f>Q373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 t="n">
        <v>0</v>
      </c>
      <c r="J374" s="19">
        <f>I374 * (0.01000000 / 12)</f>
        <v/>
      </c>
      <c r="K374" s="19">
        <f>(I374 - J374) * (0.00664805 / 12) * 1.0</f>
        <v/>
      </c>
      <c r="L374" s="19" t="n">
        <v>0</v>
      </c>
      <c r="M374" s="24">
        <f>(I374 - J374) - K374 + L374</f>
        <v/>
      </c>
      <c r="N374" s="24">
        <f>M374 * (0.00400000 / 12) * 1.0</f>
        <v/>
      </c>
      <c r="O374" s="24">
        <f>M374 * (0.00500000 / 12) * 1.0</f>
        <v/>
      </c>
      <c r="P374" s="24">
        <f>Y374</f>
        <v/>
      </c>
      <c r="Q374" s="24">
        <f>MAX(0, M374 - N374 - O374 - P374)</f>
        <v/>
      </c>
      <c r="R374" s="24" t="n">
        <v>0</v>
      </c>
      <c r="S374" s="24" t="n">
        <v>0</v>
      </c>
      <c r="T374" s="24" t="n">
        <v>0</v>
      </c>
      <c r="U374" s="24" t="n">
        <v>0</v>
      </c>
      <c r="V374" s="24" t="n">
        <v>0</v>
      </c>
      <c r="W374" s="24" t="n">
        <v>0</v>
      </c>
      <c r="X374" s="24" t="n">
        <v>0</v>
      </c>
      <c r="Y374" s="24">
        <f>X374 / 12</f>
        <v/>
      </c>
      <c r="Z374" s="15" t="n">
        <v>-192</v>
      </c>
      <c r="AA374" s="24">
        <f>I374</f>
        <v/>
      </c>
      <c r="AB374" s="24">
        <f>Q374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 t="n">
        <v>0</v>
      </c>
      <c r="J375" s="21">
        <f>I375 * (0.01000000 / 12)</f>
        <v/>
      </c>
      <c r="K375" s="21">
        <f>(I375 - J375) * (0.00664805 / 12) * 1.0</f>
        <v/>
      </c>
      <c r="L375" s="21" t="n">
        <v>0</v>
      </c>
      <c r="M375" s="25">
        <f>(I375 - J375) - K375 + L375</f>
        <v/>
      </c>
      <c r="N375" s="25">
        <f>M375 * (0.00400000 / 12) * 1.0</f>
        <v/>
      </c>
      <c r="O375" s="25">
        <f>M375 * (0.00500000 / 12) * 1.0</f>
        <v/>
      </c>
      <c r="P375" s="25">
        <f>Y375</f>
        <v/>
      </c>
      <c r="Q375" s="25">
        <f>MAX(0, M375 - N375 - O375 - P375)</f>
        <v/>
      </c>
      <c r="R375" s="25" t="n">
        <v>0</v>
      </c>
      <c r="S375" s="25" t="n">
        <v>0</v>
      </c>
      <c r="T375" s="25" t="n">
        <v>0</v>
      </c>
      <c r="U375" s="25" t="n">
        <v>0</v>
      </c>
      <c r="V375" s="25" t="n">
        <v>0</v>
      </c>
      <c r="W375" s="25" t="n">
        <v>0</v>
      </c>
      <c r="X375" s="25" t="n">
        <v>0</v>
      </c>
      <c r="Y375" s="25">
        <f>X375 / 12</f>
        <v/>
      </c>
      <c r="Z375" s="17" t="n">
        <v>-193</v>
      </c>
      <c r="AA375" s="25">
        <f>I375</f>
        <v/>
      </c>
      <c r="AB375" s="25">
        <f>Q375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 t="n">
        <v>0</v>
      </c>
      <c r="J376" s="19">
        <f>I376 * (0.01000000 / 12)</f>
        <v/>
      </c>
      <c r="K376" s="19">
        <f>(I376 - J376) * (0.00664805 / 12) * 1.0</f>
        <v/>
      </c>
      <c r="L376" s="19" t="n">
        <v>0</v>
      </c>
      <c r="M376" s="24">
        <f>(I376 - J376) - K376 + L376</f>
        <v/>
      </c>
      <c r="N376" s="24">
        <f>M376 * (0.00400000 / 12) * 1.0</f>
        <v/>
      </c>
      <c r="O376" s="24">
        <f>M376 * (0.00500000 / 12) * 1.0</f>
        <v/>
      </c>
      <c r="P376" s="24">
        <f>Y376</f>
        <v/>
      </c>
      <c r="Q376" s="24">
        <f>MAX(0, M376 - N376 - O376 - P376)</f>
        <v/>
      </c>
      <c r="R376" s="24" t="n">
        <v>0</v>
      </c>
      <c r="S376" s="24" t="n">
        <v>0</v>
      </c>
      <c r="T376" s="24" t="n">
        <v>0</v>
      </c>
      <c r="U376" s="24" t="n">
        <v>0</v>
      </c>
      <c r="V376" s="24" t="n">
        <v>0</v>
      </c>
      <c r="W376" s="24" t="n">
        <v>0</v>
      </c>
      <c r="X376" s="24" t="n">
        <v>0</v>
      </c>
      <c r="Y376" s="24">
        <f>X376 / 12</f>
        <v/>
      </c>
      <c r="Z376" s="15" t="n">
        <v>-194</v>
      </c>
      <c r="AA376" s="24">
        <f>I376</f>
        <v/>
      </c>
      <c r="AB376" s="24">
        <f>Q376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 t="n">
        <v>0</v>
      </c>
      <c r="J377" s="21">
        <f>I377 * (0.01000000 / 12)</f>
        <v/>
      </c>
      <c r="K377" s="21">
        <f>(I377 - J377) * (0.00664805 / 12) * 1.0</f>
        <v/>
      </c>
      <c r="L377" s="21" t="n">
        <v>0</v>
      </c>
      <c r="M377" s="25">
        <f>(I377 - J377) - K377 + L377</f>
        <v/>
      </c>
      <c r="N377" s="25">
        <f>M377 * (0.00400000 / 12) * 1.0</f>
        <v/>
      </c>
      <c r="O377" s="25">
        <f>M377 * (0.00500000 / 12) * 1.0</f>
        <v/>
      </c>
      <c r="P377" s="25">
        <f>Y377</f>
        <v/>
      </c>
      <c r="Q377" s="25">
        <f>MAX(0, M377 - N377 - O377 - P377)</f>
        <v/>
      </c>
      <c r="R377" s="25" t="n">
        <v>0</v>
      </c>
      <c r="S377" s="25" t="n">
        <v>0</v>
      </c>
      <c r="T377" s="25" t="n">
        <v>0</v>
      </c>
      <c r="U377" s="25" t="n">
        <v>0</v>
      </c>
      <c r="V377" s="25" t="n">
        <v>0</v>
      </c>
      <c r="W377" s="25" t="n">
        <v>0</v>
      </c>
      <c r="X377" s="25" t="n">
        <v>0</v>
      </c>
      <c r="Y377" s="25">
        <f>X377 / 12</f>
        <v/>
      </c>
      <c r="Z377" s="17" t="n">
        <v>-195</v>
      </c>
      <c r="AA377" s="25">
        <f>I377</f>
        <v/>
      </c>
      <c r="AB377" s="25">
        <f>Q377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 t="n">
        <v>0</v>
      </c>
      <c r="J378" s="19">
        <f>I378 * (0.01000000 / 12)</f>
        <v/>
      </c>
      <c r="K378" s="19">
        <f>(I378 - J378) * (0.00664805 / 12) * 1.0</f>
        <v/>
      </c>
      <c r="L378" s="19" t="n">
        <v>0</v>
      </c>
      <c r="M378" s="24">
        <f>(I378 - J378) - K378 + L378</f>
        <v/>
      </c>
      <c r="N378" s="24">
        <f>M378 * (0.00400000 / 12) * 1.0</f>
        <v/>
      </c>
      <c r="O378" s="24">
        <f>M378 * (0.00500000 / 12) * 1.0</f>
        <v/>
      </c>
      <c r="P378" s="24">
        <f>Y378</f>
        <v/>
      </c>
      <c r="Q378" s="24">
        <f>MAX(0, M378 - N378 - O378 - P378)</f>
        <v/>
      </c>
      <c r="R378" s="24" t="n">
        <v>0</v>
      </c>
      <c r="S378" s="24" t="n">
        <v>0</v>
      </c>
      <c r="T378" s="24" t="n">
        <v>0</v>
      </c>
      <c r="U378" s="24" t="n">
        <v>0</v>
      </c>
      <c r="V378" s="24" t="n">
        <v>0</v>
      </c>
      <c r="W378" s="24" t="n">
        <v>0</v>
      </c>
      <c r="X378" s="24" t="n">
        <v>0</v>
      </c>
      <c r="Y378" s="24">
        <f>X378 / 12</f>
        <v/>
      </c>
      <c r="Z378" s="15" t="n">
        <v>-196</v>
      </c>
      <c r="AA378" s="24">
        <f>I378</f>
        <v/>
      </c>
      <c r="AB378" s="24">
        <f>Q378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 t="n">
        <v>0</v>
      </c>
      <c r="J379" s="21">
        <f>I379 * (0.01000000 / 12)</f>
        <v/>
      </c>
      <c r="K379" s="21">
        <f>(I379 - J379) * (0.00664805 / 12) * 1.0</f>
        <v/>
      </c>
      <c r="L379" s="21" t="n">
        <v>0</v>
      </c>
      <c r="M379" s="25">
        <f>(I379 - J379) - K379 + L379</f>
        <v/>
      </c>
      <c r="N379" s="25">
        <f>M379 * (0.00400000 / 12) * 1.0</f>
        <v/>
      </c>
      <c r="O379" s="25">
        <f>M379 * (0.00500000 / 12) * 1.0</f>
        <v/>
      </c>
      <c r="P379" s="25">
        <f>Y379</f>
        <v/>
      </c>
      <c r="Q379" s="25">
        <f>MAX(0, M379 - N379 - O379 - P379)</f>
        <v/>
      </c>
      <c r="R379" s="25" t="n">
        <v>0</v>
      </c>
      <c r="S379" s="25" t="n">
        <v>0</v>
      </c>
      <c r="T379" s="25" t="n">
        <v>0</v>
      </c>
      <c r="U379" s="25" t="n">
        <v>0</v>
      </c>
      <c r="V379" s="25" t="n">
        <v>0</v>
      </c>
      <c r="W379" s="25" t="n">
        <v>0</v>
      </c>
      <c r="X379" s="25" t="n">
        <v>0</v>
      </c>
      <c r="Y379" s="25">
        <f>X379 / 12</f>
        <v/>
      </c>
      <c r="Z379" s="17" t="n">
        <v>-197</v>
      </c>
      <c r="AA379" s="25">
        <f>I379</f>
        <v/>
      </c>
      <c r="AB379" s="25">
        <f>Q379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 t="n">
        <v>0</v>
      </c>
      <c r="J380" s="19">
        <f>I380 * (0.01000000 / 12)</f>
        <v/>
      </c>
      <c r="K380" s="19">
        <f>(I380 - J380) * (0.00664805 / 12) * 1.0</f>
        <v/>
      </c>
      <c r="L380" s="19" t="n">
        <v>0</v>
      </c>
      <c r="M380" s="24">
        <f>(I380 - J380) - K380 + L380</f>
        <v/>
      </c>
      <c r="N380" s="24">
        <f>M380 * (0.00400000 / 12) * 1.0</f>
        <v/>
      </c>
      <c r="O380" s="24">
        <f>M380 * (0.00500000 / 12) * 1.0</f>
        <v/>
      </c>
      <c r="P380" s="24">
        <f>Y380</f>
        <v/>
      </c>
      <c r="Q380" s="24">
        <f>MAX(0, M380 - N380 - O380 - P380)</f>
        <v/>
      </c>
      <c r="R380" s="24" t="n">
        <v>0</v>
      </c>
      <c r="S380" s="24" t="n">
        <v>0</v>
      </c>
      <c r="T380" s="24" t="n">
        <v>0</v>
      </c>
      <c r="U380" s="24" t="n">
        <v>0</v>
      </c>
      <c r="V380" s="24" t="n">
        <v>0</v>
      </c>
      <c r="W380" s="24" t="n">
        <v>0</v>
      </c>
      <c r="X380" s="24" t="n">
        <v>0</v>
      </c>
      <c r="Y380" s="24">
        <f>X380 / 12</f>
        <v/>
      </c>
      <c r="Z380" s="15" t="n">
        <v>-198</v>
      </c>
      <c r="AA380" s="24">
        <f>I380</f>
        <v/>
      </c>
      <c r="AB380" s="24">
        <f>Q380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 t="n">
        <v>0</v>
      </c>
      <c r="J381" s="21">
        <f>I381 * (0.01000000 / 12)</f>
        <v/>
      </c>
      <c r="K381" s="21">
        <f>(I381 - J381) * (0.00664805 / 12) * 1.0</f>
        <v/>
      </c>
      <c r="L381" s="21" t="n">
        <v>0</v>
      </c>
      <c r="M381" s="25">
        <f>(I381 - J381) - K381 + L381</f>
        <v/>
      </c>
      <c r="N381" s="25">
        <f>M381 * (0.00400000 / 12) * 1.0</f>
        <v/>
      </c>
      <c r="O381" s="25">
        <f>M381 * (0.00500000 / 12) * 1.0</f>
        <v/>
      </c>
      <c r="P381" s="25">
        <f>Y381</f>
        <v/>
      </c>
      <c r="Q381" s="25">
        <f>MAX(0, M381 - N381 - O381 - P381)</f>
        <v/>
      </c>
      <c r="R381" s="25" t="n">
        <v>0</v>
      </c>
      <c r="S381" s="25" t="n">
        <v>0</v>
      </c>
      <c r="T381" s="25" t="n">
        <v>0</v>
      </c>
      <c r="U381" s="25" t="n">
        <v>0</v>
      </c>
      <c r="V381" s="25" t="n">
        <v>0</v>
      </c>
      <c r="W381" s="25" t="n">
        <v>0</v>
      </c>
      <c r="X381" s="25" t="n">
        <v>0</v>
      </c>
      <c r="Y381" s="25">
        <f>X381 / 12</f>
        <v/>
      </c>
      <c r="Z381" s="17" t="n">
        <v>-199</v>
      </c>
      <c r="AA381" s="25">
        <f>I381</f>
        <v/>
      </c>
      <c r="AB381" s="25">
        <f>Q381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 t="n">
        <v>0</v>
      </c>
      <c r="J382" s="19">
        <f>I382 * (0.01000000 / 12)</f>
        <v/>
      </c>
      <c r="K382" s="19">
        <f>(I382 - J382) * (0.00664805 / 12) * 1.0</f>
        <v/>
      </c>
      <c r="L382" s="19" t="n">
        <v>0</v>
      </c>
      <c r="M382" s="24">
        <f>(I382 - J382) - K382 + L382</f>
        <v/>
      </c>
      <c r="N382" s="24">
        <f>M382 * (0.00400000 / 12) * 1.0</f>
        <v/>
      </c>
      <c r="O382" s="24">
        <f>M382 * (0.00500000 / 12) * 1.0</f>
        <v/>
      </c>
      <c r="P382" s="24">
        <f>Y382</f>
        <v/>
      </c>
      <c r="Q382" s="24">
        <f>MAX(0, M382 - N382 - O382 - P382)</f>
        <v/>
      </c>
      <c r="R382" s="24" t="n">
        <v>0</v>
      </c>
      <c r="S382" s="24" t="n">
        <v>0</v>
      </c>
      <c r="T382" s="24" t="n">
        <v>0</v>
      </c>
      <c r="U382" s="24" t="n">
        <v>0</v>
      </c>
      <c r="V382" s="24" t="n">
        <v>0</v>
      </c>
      <c r="W382" s="24" t="n">
        <v>0</v>
      </c>
      <c r="X382" s="24" t="n">
        <v>0</v>
      </c>
      <c r="Y382" s="24">
        <f>X382 / 12</f>
        <v/>
      </c>
      <c r="Z382" s="15" t="n">
        <v>-200</v>
      </c>
      <c r="AA382" s="24">
        <f>I382</f>
        <v/>
      </c>
      <c r="AB382" s="24">
        <f>Q382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 t="n">
        <v>0</v>
      </c>
      <c r="J383" s="21">
        <f>I383 * (0.01000000 / 12)</f>
        <v/>
      </c>
      <c r="K383" s="21">
        <f>(I383 - J383) * (0.00664805 / 12) * 1.0</f>
        <v/>
      </c>
      <c r="L383" s="21" t="n">
        <v>0</v>
      </c>
      <c r="M383" s="25">
        <f>(I383 - J383) - K383 + L383</f>
        <v/>
      </c>
      <c r="N383" s="25">
        <f>M383 * (0.00400000 / 12) * 1.0</f>
        <v/>
      </c>
      <c r="O383" s="25">
        <f>M383 * (0.00500000 / 12) * 1.0</f>
        <v/>
      </c>
      <c r="P383" s="25">
        <f>Y383</f>
        <v/>
      </c>
      <c r="Q383" s="25">
        <f>MAX(0, M383 - N383 - O383 - P383)</f>
        <v/>
      </c>
      <c r="R383" s="25" t="n">
        <v>0</v>
      </c>
      <c r="S383" s="25" t="n">
        <v>0</v>
      </c>
      <c r="T383" s="25" t="n">
        <v>0</v>
      </c>
      <c r="U383" s="25" t="n">
        <v>0</v>
      </c>
      <c r="V383" s="25" t="n">
        <v>0</v>
      </c>
      <c r="W383" s="25" t="n">
        <v>0</v>
      </c>
      <c r="X383" s="25" t="n">
        <v>0</v>
      </c>
      <c r="Y383" s="25">
        <f>X383 / 12</f>
        <v/>
      </c>
      <c r="Z383" s="17" t="n">
        <v>-201</v>
      </c>
      <c r="AA383" s="25">
        <f>I383</f>
        <v/>
      </c>
      <c r="AB383" s="25">
        <f>Q383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 t="n">
        <v>0</v>
      </c>
      <c r="J384" s="19">
        <f>I384 * (0.01000000 / 12)</f>
        <v/>
      </c>
      <c r="K384" s="19">
        <f>(I384 - J384) * (0.00664805 / 12) * 1.0</f>
        <v/>
      </c>
      <c r="L384" s="19" t="n">
        <v>0</v>
      </c>
      <c r="M384" s="24">
        <f>(I384 - J384) - K384 + L384</f>
        <v/>
      </c>
      <c r="N384" s="24">
        <f>M384 * (0.00400000 / 12) * 1.0</f>
        <v/>
      </c>
      <c r="O384" s="24">
        <f>M384 * (0.00500000 / 12) * 1.0</f>
        <v/>
      </c>
      <c r="P384" s="24">
        <f>Y384</f>
        <v/>
      </c>
      <c r="Q384" s="24">
        <f>MAX(0, M384 - N384 - O384 - P384)</f>
        <v/>
      </c>
      <c r="R384" s="24" t="n">
        <v>0</v>
      </c>
      <c r="S384" s="24" t="n">
        <v>0</v>
      </c>
      <c r="T384" s="24" t="n">
        <v>0</v>
      </c>
      <c r="U384" s="24" t="n">
        <v>0</v>
      </c>
      <c r="V384" s="24" t="n">
        <v>0</v>
      </c>
      <c r="W384" s="24" t="n">
        <v>0</v>
      </c>
      <c r="X384" s="24" t="n">
        <v>0</v>
      </c>
      <c r="Y384" s="24">
        <f>X384 / 12</f>
        <v/>
      </c>
      <c r="Z384" s="15" t="n">
        <v>-202</v>
      </c>
      <c r="AA384" s="24">
        <f>I384</f>
        <v/>
      </c>
      <c r="AB384" s="24">
        <f>Q384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 t="n">
        <v>0</v>
      </c>
      <c r="J385" s="21">
        <f>I385 * (0.01000000 / 12)</f>
        <v/>
      </c>
      <c r="K385" s="21">
        <f>(I385 - J385) * (0.00664805 / 12) * 1.0</f>
        <v/>
      </c>
      <c r="L385" s="21" t="n">
        <v>0</v>
      </c>
      <c r="M385" s="25">
        <f>(I385 - J385) - K385 + L385</f>
        <v/>
      </c>
      <c r="N385" s="25">
        <f>M385 * (0.00400000 / 12) * 1.0</f>
        <v/>
      </c>
      <c r="O385" s="25">
        <f>M385 * (0.00500000 / 12) * 1.0</f>
        <v/>
      </c>
      <c r="P385" s="25">
        <f>Y385</f>
        <v/>
      </c>
      <c r="Q385" s="25">
        <f>MAX(0, M385 - N385 - O385 - P385)</f>
        <v/>
      </c>
      <c r="R385" s="25" t="n">
        <v>0</v>
      </c>
      <c r="S385" s="25" t="n">
        <v>0</v>
      </c>
      <c r="T385" s="25" t="n">
        <v>0</v>
      </c>
      <c r="U385" s="25" t="n">
        <v>0</v>
      </c>
      <c r="V385" s="25" t="n">
        <v>0</v>
      </c>
      <c r="W385" s="25" t="n">
        <v>0</v>
      </c>
      <c r="X385" s="25" t="n">
        <v>0</v>
      </c>
      <c r="Y385" s="25">
        <f>X385 / 12</f>
        <v/>
      </c>
      <c r="Z385" s="17" t="n">
        <v>-203</v>
      </c>
      <c r="AA385" s="25">
        <f>I385</f>
        <v/>
      </c>
      <c r="AB385" s="25">
        <f>Q385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 t="n">
        <v>0</v>
      </c>
      <c r="J386" s="19">
        <f>I386 * (0.01000000 / 12)</f>
        <v/>
      </c>
      <c r="K386" s="19">
        <f>(I386 - J386) * (0.00664805 / 12) * 1.0</f>
        <v/>
      </c>
      <c r="L386" s="19" t="n">
        <v>0</v>
      </c>
      <c r="M386" s="24">
        <f>(I386 - J386) - K386 + L386</f>
        <v/>
      </c>
      <c r="N386" s="24">
        <f>M386 * (0.00400000 / 12) * 1.0</f>
        <v/>
      </c>
      <c r="O386" s="24">
        <f>M386 * (0.00500000 / 12) * 1.0</f>
        <v/>
      </c>
      <c r="P386" s="24">
        <f>Y386</f>
        <v/>
      </c>
      <c r="Q386" s="24">
        <f>MAX(0, M386 - N386 - O386 - P386)</f>
        <v/>
      </c>
      <c r="R386" s="24" t="n">
        <v>0</v>
      </c>
      <c r="S386" s="24" t="n">
        <v>0</v>
      </c>
      <c r="T386" s="24" t="n">
        <v>0</v>
      </c>
      <c r="U386" s="24" t="n">
        <v>0</v>
      </c>
      <c r="V386" s="24" t="n">
        <v>0</v>
      </c>
      <c r="W386" s="24" t="n">
        <v>0</v>
      </c>
      <c r="X386" s="24" t="n">
        <v>0</v>
      </c>
      <c r="Y386" s="24">
        <f>X386 / 12</f>
        <v/>
      </c>
      <c r="Z386" s="15" t="n">
        <v>-204</v>
      </c>
      <c r="AA386" s="24">
        <f>I386</f>
        <v/>
      </c>
      <c r="AB386" s="24">
        <f>Q386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 t="n">
        <v>0</v>
      </c>
      <c r="J387" s="21">
        <f>I387 * (0.01000000 / 12)</f>
        <v/>
      </c>
      <c r="K387" s="21">
        <f>(I387 - J387) * (0.00664805 / 12) * 1.0</f>
        <v/>
      </c>
      <c r="L387" s="21" t="n">
        <v>0</v>
      </c>
      <c r="M387" s="25">
        <f>(I387 - J387) - K387 + L387</f>
        <v/>
      </c>
      <c r="N387" s="25">
        <f>M387 * (0.00400000 / 12) * 1.0</f>
        <v/>
      </c>
      <c r="O387" s="25">
        <f>M387 * (0.00500000 / 12) * 1.0</f>
        <v/>
      </c>
      <c r="P387" s="25">
        <f>Y387</f>
        <v/>
      </c>
      <c r="Q387" s="25">
        <f>MAX(0, M387 - N387 - O387 - P387)</f>
        <v/>
      </c>
      <c r="R387" s="25" t="n">
        <v>0</v>
      </c>
      <c r="S387" s="25" t="n">
        <v>0</v>
      </c>
      <c r="T387" s="25" t="n">
        <v>0</v>
      </c>
      <c r="U387" s="25" t="n">
        <v>0</v>
      </c>
      <c r="V387" s="25" t="n">
        <v>0</v>
      </c>
      <c r="W387" s="25" t="n">
        <v>0</v>
      </c>
      <c r="X387" s="25" t="n">
        <v>0</v>
      </c>
      <c r="Y387" s="25">
        <f>X387 / 12</f>
        <v/>
      </c>
      <c r="Z387" s="17" t="n">
        <v>-205</v>
      </c>
      <c r="AA387" s="25">
        <f>I387</f>
        <v/>
      </c>
      <c r="AB387" s="25">
        <f>Q387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 t="n">
        <v>0</v>
      </c>
      <c r="J388" s="19">
        <f>I388 * (0.01000000 / 12)</f>
        <v/>
      </c>
      <c r="K388" s="19">
        <f>(I388 - J388) * (0.00664805 / 12) * 1.0</f>
        <v/>
      </c>
      <c r="L388" s="19" t="n">
        <v>0</v>
      </c>
      <c r="M388" s="24">
        <f>(I388 - J388) - K388 + L388</f>
        <v/>
      </c>
      <c r="N388" s="24">
        <f>M388 * (0.00400000 / 12) * 1.0</f>
        <v/>
      </c>
      <c r="O388" s="24">
        <f>M388 * (0.00500000 / 12) * 1.0</f>
        <v/>
      </c>
      <c r="P388" s="24">
        <f>Y388</f>
        <v/>
      </c>
      <c r="Q388" s="24">
        <f>MAX(0, M388 - N388 - O388 - P388)</f>
        <v/>
      </c>
      <c r="R388" s="24" t="n">
        <v>0</v>
      </c>
      <c r="S388" s="24" t="n">
        <v>0</v>
      </c>
      <c r="T388" s="24" t="n">
        <v>0</v>
      </c>
      <c r="U388" s="24" t="n">
        <v>0</v>
      </c>
      <c r="V388" s="24" t="n">
        <v>0</v>
      </c>
      <c r="W388" s="24" t="n">
        <v>0</v>
      </c>
      <c r="X388" s="24" t="n">
        <v>0</v>
      </c>
      <c r="Y388" s="24">
        <f>X388 / 12</f>
        <v/>
      </c>
      <c r="Z388" s="15" t="n">
        <v>-206</v>
      </c>
      <c r="AA388" s="24">
        <f>I388</f>
        <v/>
      </c>
      <c r="AB388" s="24">
        <f>Q388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 t="n">
        <v>0</v>
      </c>
      <c r="J389" s="21">
        <f>I389 * (0.01000000 / 12)</f>
        <v/>
      </c>
      <c r="K389" s="21">
        <f>(I389 - J389) * (0.00664805 / 12) * 1.0</f>
        <v/>
      </c>
      <c r="L389" s="21" t="n">
        <v>0</v>
      </c>
      <c r="M389" s="25">
        <f>(I389 - J389) - K389 + L389</f>
        <v/>
      </c>
      <c r="N389" s="25">
        <f>M389 * (0.00400000 / 12) * 1.0</f>
        <v/>
      </c>
      <c r="O389" s="25">
        <f>M389 * (0.00500000 / 12) * 1.0</f>
        <v/>
      </c>
      <c r="P389" s="25">
        <f>Y389</f>
        <v/>
      </c>
      <c r="Q389" s="25">
        <f>MAX(0, M389 - N389 - O389 - P389)</f>
        <v/>
      </c>
      <c r="R389" s="25" t="n">
        <v>0</v>
      </c>
      <c r="S389" s="25" t="n">
        <v>0</v>
      </c>
      <c r="T389" s="25" t="n">
        <v>0</v>
      </c>
      <c r="U389" s="25" t="n">
        <v>0</v>
      </c>
      <c r="V389" s="25" t="n">
        <v>0</v>
      </c>
      <c r="W389" s="25" t="n">
        <v>0</v>
      </c>
      <c r="X389" s="25" t="n">
        <v>0</v>
      </c>
      <c r="Y389" s="25">
        <f>X389 / 12</f>
        <v/>
      </c>
      <c r="Z389" s="17" t="n">
        <v>-207</v>
      </c>
      <c r="AA389" s="25">
        <f>I389</f>
        <v/>
      </c>
      <c r="AB389" s="25">
        <f>Q389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 t="n">
        <v>0</v>
      </c>
      <c r="J390" s="19">
        <f>I390 * (0.01000000 / 12)</f>
        <v/>
      </c>
      <c r="K390" s="19">
        <f>(I390 - J390) * (0.00664805 / 12) * 1.0</f>
        <v/>
      </c>
      <c r="L390" s="19" t="n">
        <v>0</v>
      </c>
      <c r="M390" s="24">
        <f>(I390 - J390) - K390 + L390</f>
        <v/>
      </c>
      <c r="N390" s="24">
        <f>M390 * (0.00400000 / 12) * 1.0</f>
        <v/>
      </c>
      <c r="O390" s="24">
        <f>M390 * (0.00500000 / 12) * 1.0</f>
        <v/>
      </c>
      <c r="P390" s="24">
        <f>Y390</f>
        <v/>
      </c>
      <c r="Q390" s="24">
        <f>MAX(0, M390 - N390 - O390 - P390)</f>
        <v/>
      </c>
      <c r="R390" s="24" t="n">
        <v>0</v>
      </c>
      <c r="S390" s="24" t="n">
        <v>0</v>
      </c>
      <c r="T390" s="24" t="n">
        <v>0</v>
      </c>
      <c r="U390" s="24" t="n">
        <v>0</v>
      </c>
      <c r="V390" s="24" t="n">
        <v>0</v>
      </c>
      <c r="W390" s="24" t="n">
        <v>0</v>
      </c>
      <c r="X390" s="24" t="n">
        <v>0</v>
      </c>
      <c r="Y390" s="24">
        <f>X390 / 12</f>
        <v/>
      </c>
      <c r="Z390" s="15" t="n">
        <v>-208</v>
      </c>
      <c r="AA390" s="24">
        <f>I390</f>
        <v/>
      </c>
      <c r="AB390" s="24">
        <f>Q390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 t="n">
        <v>0</v>
      </c>
      <c r="J391" s="21">
        <f>I391 * (0.01000000 / 12)</f>
        <v/>
      </c>
      <c r="K391" s="21">
        <f>(I391 - J391) * (0.00664805 / 12) * 1.0</f>
        <v/>
      </c>
      <c r="L391" s="21" t="n">
        <v>0</v>
      </c>
      <c r="M391" s="25">
        <f>(I391 - J391) - K391 + L391</f>
        <v/>
      </c>
      <c r="N391" s="25">
        <f>M391 * (0.00400000 / 12) * 1.0</f>
        <v/>
      </c>
      <c r="O391" s="25">
        <f>M391 * (0.00500000 / 12) * 1.0</f>
        <v/>
      </c>
      <c r="P391" s="25">
        <f>Y391</f>
        <v/>
      </c>
      <c r="Q391" s="25">
        <f>MAX(0, M391 - N391 - O391 - P391)</f>
        <v/>
      </c>
      <c r="R391" s="25" t="n">
        <v>0</v>
      </c>
      <c r="S391" s="25" t="n">
        <v>0</v>
      </c>
      <c r="T391" s="25" t="n">
        <v>0</v>
      </c>
      <c r="U391" s="25" t="n">
        <v>0</v>
      </c>
      <c r="V391" s="25" t="n">
        <v>0</v>
      </c>
      <c r="W391" s="25" t="n">
        <v>0</v>
      </c>
      <c r="X391" s="25" t="n">
        <v>0</v>
      </c>
      <c r="Y391" s="25">
        <f>X391 / 12</f>
        <v/>
      </c>
      <c r="Z391" s="17" t="n">
        <v>-209</v>
      </c>
      <c r="AA391" s="25">
        <f>I391</f>
        <v/>
      </c>
      <c r="AB391" s="25">
        <f>Q391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 t="n">
        <v>0</v>
      </c>
      <c r="J392" s="19">
        <f>I392 * (0.01000000 / 12)</f>
        <v/>
      </c>
      <c r="K392" s="19">
        <f>(I392 - J392) * (0.00664805 / 12) * 1.0</f>
        <v/>
      </c>
      <c r="L392" s="19" t="n">
        <v>0</v>
      </c>
      <c r="M392" s="24">
        <f>(I392 - J392) - K392 + L392</f>
        <v/>
      </c>
      <c r="N392" s="24">
        <f>M392 * (0.00400000 / 12) * 1.0</f>
        <v/>
      </c>
      <c r="O392" s="24">
        <f>M392 * (0.00500000 / 12) * 1.0</f>
        <v/>
      </c>
      <c r="P392" s="24">
        <f>Y392</f>
        <v/>
      </c>
      <c r="Q392" s="24">
        <f>MAX(0, M392 - N392 - O392 - P392)</f>
        <v/>
      </c>
      <c r="R392" s="24" t="n">
        <v>0</v>
      </c>
      <c r="S392" s="24" t="n">
        <v>0</v>
      </c>
      <c r="T392" s="24" t="n">
        <v>0</v>
      </c>
      <c r="U392" s="24" t="n">
        <v>0</v>
      </c>
      <c r="V392" s="24" t="n">
        <v>0</v>
      </c>
      <c r="W392" s="24" t="n">
        <v>0</v>
      </c>
      <c r="X392" s="24" t="n">
        <v>0</v>
      </c>
      <c r="Y392" s="24">
        <f>X392 / 12</f>
        <v/>
      </c>
      <c r="Z392" s="15" t="n">
        <v>-210</v>
      </c>
      <c r="AA392" s="24">
        <f>I392</f>
        <v/>
      </c>
      <c r="AB392" s="24">
        <f>Q392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 t="n">
        <v>0</v>
      </c>
      <c r="J393" s="21">
        <f>I393 * (0.01000000 / 12)</f>
        <v/>
      </c>
      <c r="K393" s="21">
        <f>(I393 - J393) * (0.00664805 / 12) * 1.0</f>
        <v/>
      </c>
      <c r="L393" s="21" t="n">
        <v>0</v>
      </c>
      <c r="M393" s="25">
        <f>(I393 - J393) - K393 + L393</f>
        <v/>
      </c>
      <c r="N393" s="25">
        <f>M393 * (0.00400000 / 12) * 1.0</f>
        <v/>
      </c>
      <c r="O393" s="25">
        <f>M393 * (0.00500000 / 12) * 1.0</f>
        <v/>
      </c>
      <c r="P393" s="25">
        <f>Y393</f>
        <v/>
      </c>
      <c r="Q393" s="25">
        <f>MAX(0, M393 - N393 - O393 - P393)</f>
        <v/>
      </c>
      <c r="R393" s="25" t="n">
        <v>0</v>
      </c>
      <c r="S393" s="25" t="n">
        <v>0</v>
      </c>
      <c r="T393" s="25" t="n">
        <v>0</v>
      </c>
      <c r="U393" s="25" t="n">
        <v>0</v>
      </c>
      <c r="V393" s="25" t="n">
        <v>0</v>
      </c>
      <c r="W393" s="25" t="n">
        <v>0</v>
      </c>
      <c r="X393" s="25" t="n">
        <v>0</v>
      </c>
      <c r="Y393" s="25">
        <f>X393 / 12</f>
        <v/>
      </c>
      <c r="Z393" s="17" t="n">
        <v>-211</v>
      </c>
      <c r="AA393" s="25">
        <f>I393</f>
        <v/>
      </c>
      <c r="AB393" s="25">
        <f>Q393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 t="n">
        <v>0</v>
      </c>
      <c r="J394" s="19">
        <f>I394 * (0.01000000 / 12)</f>
        <v/>
      </c>
      <c r="K394" s="19">
        <f>(I394 - J394) * (0.00664805 / 12) * 1.0</f>
        <v/>
      </c>
      <c r="L394" s="19" t="n">
        <v>0</v>
      </c>
      <c r="M394" s="24">
        <f>(I394 - J394) - K394 + L394</f>
        <v/>
      </c>
      <c r="N394" s="24">
        <f>M394 * (0.00400000 / 12) * 1.0</f>
        <v/>
      </c>
      <c r="O394" s="24">
        <f>M394 * (0.00500000 / 12) * 1.0</f>
        <v/>
      </c>
      <c r="P394" s="24">
        <f>Y394</f>
        <v/>
      </c>
      <c r="Q394" s="24">
        <f>MAX(0, M394 - N394 - O394 - P394)</f>
        <v/>
      </c>
      <c r="R394" s="24" t="n">
        <v>0</v>
      </c>
      <c r="S394" s="24" t="n">
        <v>0</v>
      </c>
      <c r="T394" s="24" t="n">
        <v>0</v>
      </c>
      <c r="U394" s="24" t="n">
        <v>0</v>
      </c>
      <c r="V394" s="24" t="n">
        <v>0</v>
      </c>
      <c r="W394" s="24" t="n">
        <v>0</v>
      </c>
      <c r="X394" s="24" t="n">
        <v>0</v>
      </c>
      <c r="Y394" s="24">
        <f>X394 / 12</f>
        <v/>
      </c>
      <c r="Z394" s="15" t="n">
        <v>-212</v>
      </c>
      <c r="AA394" s="24">
        <f>I394</f>
        <v/>
      </c>
      <c r="AB394" s="24">
        <f>Q394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 t="n">
        <v>0</v>
      </c>
      <c r="J395" s="21">
        <f>I395 * (0.01000000 / 12)</f>
        <v/>
      </c>
      <c r="K395" s="21">
        <f>(I395 - J395) * (0.00664805 / 12) * 1.0</f>
        <v/>
      </c>
      <c r="L395" s="21" t="n">
        <v>0</v>
      </c>
      <c r="M395" s="25">
        <f>(I395 - J395) - K395 + L395</f>
        <v/>
      </c>
      <c r="N395" s="25">
        <f>M395 * (0.00400000 / 12) * 1.0</f>
        <v/>
      </c>
      <c r="O395" s="25">
        <f>M395 * (0.00500000 / 12) * 1.0</f>
        <v/>
      </c>
      <c r="P395" s="25">
        <f>Y395</f>
        <v/>
      </c>
      <c r="Q395" s="25">
        <f>MAX(0, M395 - N395 - O395 - P395)</f>
        <v/>
      </c>
      <c r="R395" s="25" t="n">
        <v>0</v>
      </c>
      <c r="S395" s="25" t="n">
        <v>0</v>
      </c>
      <c r="T395" s="25" t="n">
        <v>0</v>
      </c>
      <c r="U395" s="25" t="n">
        <v>0</v>
      </c>
      <c r="V395" s="25" t="n">
        <v>0</v>
      </c>
      <c r="W395" s="25" t="n">
        <v>0</v>
      </c>
      <c r="X395" s="25" t="n">
        <v>0</v>
      </c>
      <c r="Y395" s="25">
        <f>X395 / 12</f>
        <v/>
      </c>
      <c r="Z395" s="17" t="n">
        <v>-213</v>
      </c>
      <c r="AA395" s="25">
        <f>I395</f>
        <v/>
      </c>
      <c r="AB395" s="25">
        <f>Q395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 t="n">
        <v>0</v>
      </c>
      <c r="J396" s="19">
        <f>I396 * (0.01000000 / 12)</f>
        <v/>
      </c>
      <c r="K396" s="19">
        <f>(I396 - J396) * (0.00664805 / 12) * 1.0</f>
        <v/>
      </c>
      <c r="L396" s="19" t="n">
        <v>0</v>
      </c>
      <c r="M396" s="24">
        <f>(I396 - J396) - K396 + L396</f>
        <v/>
      </c>
      <c r="N396" s="24">
        <f>M396 * (0.00400000 / 12) * 1.0</f>
        <v/>
      </c>
      <c r="O396" s="24">
        <f>M396 * (0.00500000 / 12) * 1.0</f>
        <v/>
      </c>
      <c r="P396" s="24">
        <f>Y396</f>
        <v/>
      </c>
      <c r="Q396" s="24">
        <f>MAX(0, M396 - N396 - O396 - P396)</f>
        <v/>
      </c>
      <c r="R396" s="24" t="n">
        <v>0</v>
      </c>
      <c r="S396" s="24" t="n">
        <v>0</v>
      </c>
      <c r="T396" s="24" t="n">
        <v>0</v>
      </c>
      <c r="U396" s="24" t="n">
        <v>0</v>
      </c>
      <c r="V396" s="24" t="n">
        <v>0</v>
      </c>
      <c r="W396" s="24" t="n">
        <v>0</v>
      </c>
      <c r="X396" s="24" t="n">
        <v>0</v>
      </c>
      <c r="Y396" s="24">
        <f>X396 / 12</f>
        <v/>
      </c>
      <c r="Z396" s="15" t="n">
        <v>-214</v>
      </c>
      <c r="AA396" s="24">
        <f>I396</f>
        <v/>
      </c>
      <c r="AB396" s="24">
        <f>Q396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 t="n">
        <v>0</v>
      </c>
      <c r="J397" s="21">
        <f>I397 * (0.01000000 / 12)</f>
        <v/>
      </c>
      <c r="K397" s="21">
        <f>(I397 - J397) * (0.00664805 / 12) * 1.0</f>
        <v/>
      </c>
      <c r="L397" s="21" t="n">
        <v>0</v>
      </c>
      <c r="M397" s="25">
        <f>(I397 - J397) - K397 + L397</f>
        <v/>
      </c>
      <c r="N397" s="25">
        <f>M397 * (0.00400000 / 12) * 1.0</f>
        <v/>
      </c>
      <c r="O397" s="25">
        <f>M397 * (0.00500000 / 12) * 1.0</f>
        <v/>
      </c>
      <c r="P397" s="25">
        <f>Y397</f>
        <v/>
      </c>
      <c r="Q397" s="25">
        <f>MAX(0, M397 - N397 - O397 - P397)</f>
        <v/>
      </c>
      <c r="R397" s="25" t="n">
        <v>0</v>
      </c>
      <c r="S397" s="25" t="n">
        <v>0</v>
      </c>
      <c r="T397" s="25" t="n">
        <v>0</v>
      </c>
      <c r="U397" s="25" t="n">
        <v>0</v>
      </c>
      <c r="V397" s="25" t="n">
        <v>0</v>
      </c>
      <c r="W397" s="25" t="n">
        <v>0</v>
      </c>
      <c r="X397" s="25" t="n">
        <v>0</v>
      </c>
      <c r="Y397" s="25">
        <f>X397 / 12</f>
        <v/>
      </c>
      <c r="Z397" s="17" t="n">
        <v>-215</v>
      </c>
      <c r="AA397" s="25">
        <f>I397</f>
        <v/>
      </c>
      <c r="AB397" s="25">
        <f>Q397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 t="n">
        <v>0</v>
      </c>
      <c r="J398" s="19">
        <f>I398 * (0.01000000 / 12)</f>
        <v/>
      </c>
      <c r="K398" s="19">
        <f>(I398 - J398) * (0.00664805 / 12) * 1.0</f>
        <v/>
      </c>
      <c r="L398" s="19" t="n">
        <v>0</v>
      </c>
      <c r="M398" s="24">
        <f>(I398 - J398) - K398 + L398</f>
        <v/>
      </c>
      <c r="N398" s="24">
        <f>M398 * (0.00400000 / 12) * 1.0</f>
        <v/>
      </c>
      <c r="O398" s="24">
        <f>M398 * (0.00500000 / 12) * 1.0</f>
        <v/>
      </c>
      <c r="P398" s="24">
        <f>Y398</f>
        <v/>
      </c>
      <c r="Q398" s="24">
        <f>MAX(0, M398 - N398 - O398 - P398)</f>
        <v/>
      </c>
      <c r="R398" s="24" t="n">
        <v>0</v>
      </c>
      <c r="S398" s="24" t="n">
        <v>0</v>
      </c>
      <c r="T398" s="24" t="n">
        <v>0</v>
      </c>
      <c r="U398" s="24" t="n">
        <v>0</v>
      </c>
      <c r="V398" s="24" t="n">
        <v>0</v>
      </c>
      <c r="W398" s="24" t="n">
        <v>0</v>
      </c>
      <c r="X398" s="24" t="n">
        <v>0</v>
      </c>
      <c r="Y398" s="24">
        <f>X398 / 12</f>
        <v/>
      </c>
      <c r="Z398" s="15" t="n">
        <v>-216</v>
      </c>
      <c r="AA398" s="24">
        <f>I398</f>
        <v/>
      </c>
      <c r="AB398" s="24">
        <f>Q398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 t="n">
        <v>0</v>
      </c>
      <c r="J399" s="21">
        <f>I399 * (0.01000000 / 12)</f>
        <v/>
      </c>
      <c r="K399" s="21">
        <f>(I399 - J399) * (0.00664805 / 12) * 1.0</f>
        <v/>
      </c>
      <c r="L399" s="21" t="n">
        <v>0</v>
      </c>
      <c r="M399" s="25">
        <f>(I399 - J399) - K399 + L399</f>
        <v/>
      </c>
      <c r="N399" s="25">
        <f>M399 * (0.00400000 / 12) * 1.0</f>
        <v/>
      </c>
      <c r="O399" s="25">
        <f>M399 * (0.00500000 / 12) * 1.0</f>
        <v/>
      </c>
      <c r="P399" s="25">
        <f>Y399</f>
        <v/>
      </c>
      <c r="Q399" s="25">
        <f>MAX(0, M399 - N399 - O399 - P399)</f>
        <v/>
      </c>
      <c r="R399" s="25" t="n">
        <v>0</v>
      </c>
      <c r="S399" s="25" t="n">
        <v>0</v>
      </c>
      <c r="T399" s="25" t="n">
        <v>0</v>
      </c>
      <c r="U399" s="25" t="n">
        <v>0</v>
      </c>
      <c r="V399" s="25" t="n">
        <v>0</v>
      </c>
      <c r="W399" s="25" t="n">
        <v>0</v>
      </c>
      <c r="X399" s="25" t="n">
        <v>0</v>
      </c>
      <c r="Y399" s="25">
        <f>X399 / 12</f>
        <v/>
      </c>
      <c r="Z399" s="17" t="n">
        <v>-217</v>
      </c>
      <c r="AA399" s="25">
        <f>I399</f>
        <v/>
      </c>
      <c r="AB399" s="25">
        <f>Q399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 t="n">
        <v>0</v>
      </c>
      <c r="J400" s="19">
        <f>I400 * (0.01000000 / 12)</f>
        <v/>
      </c>
      <c r="K400" s="19">
        <f>(I400 - J400) * (0.00664805 / 12) * 1.0</f>
        <v/>
      </c>
      <c r="L400" s="19" t="n">
        <v>0</v>
      </c>
      <c r="M400" s="24">
        <f>(I400 - J400) - K400 + L400</f>
        <v/>
      </c>
      <c r="N400" s="24">
        <f>M400 * (0.00400000 / 12) * 1.0</f>
        <v/>
      </c>
      <c r="O400" s="24">
        <f>M400 * (0.00500000 / 12) * 1.0</f>
        <v/>
      </c>
      <c r="P400" s="24">
        <f>Y400</f>
        <v/>
      </c>
      <c r="Q400" s="24">
        <f>MAX(0, M400 - N400 - O400 - P400)</f>
        <v/>
      </c>
      <c r="R400" s="24" t="n">
        <v>0</v>
      </c>
      <c r="S400" s="24" t="n">
        <v>0</v>
      </c>
      <c r="T400" s="24" t="n">
        <v>0</v>
      </c>
      <c r="U400" s="24" t="n">
        <v>0</v>
      </c>
      <c r="V400" s="24" t="n">
        <v>0</v>
      </c>
      <c r="W400" s="24" t="n">
        <v>0</v>
      </c>
      <c r="X400" s="24" t="n">
        <v>0</v>
      </c>
      <c r="Y400" s="24">
        <f>X400 / 12</f>
        <v/>
      </c>
      <c r="Z400" s="15" t="n">
        <v>-218</v>
      </c>
      <c r="AA400" s="24">
        <f>I400</f>
        <v/>
      </c>
      <c r="AB400" s="24">
        <f>Q400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 t="n">
        <v>0</v>
      </c>
      <c r="J401" s="21">
        <f>I401 * (0.01000000 / 12)</f>
        <v/>
      </c>
      <c r="K401" s="21">
        <f>(I401 - J401) * (0.00664805 / 12) * 1.0</f>
        <v/>
      </c>
      <c r="L401" s="21" t="n">
        <v>0</v>
      </c>
      <c r="M401" s="25">
        <f>(I401 - J401) - K401 + L401</f>
        <v/>
      </c>
      <c r="N401" s="25">
        <f>M401 * (0.00400000 / 12) * 1.0</f>
        <v/>
      </c>
      <c r="O401" s="25">
        <f>M401 * (0.00500000 / 12) * 1.0</f>
        <v/>
      </c>
      <c r="P401" s="25">
        <f>Y401</f>
        <v/>
      </c>
      <c r="Q401" s="25">
        <f>MAX(0, M401 - N401 - O401 - P401)</f>
        <v/>
      </c>
      <c r="R401" s="25" t="n">
        <v>0</v>
      </c>
      <c r="S401" s="25" t="n">
        <v>0</v>
      </c>
      <c r="T401" s="25" t="n">
        <v>0</v>
      </c>
      <c r="U401" s="25" t="n">
        <v>0</v>
      </c>
      <c r="V401" s="25" t="n">
        <v>0</v>
      </c>
      <c r="W401" s="25" t="n">
        <v>0</v>
      </c>
      <c r="X401" s="25" t="n">
        <v>0</v>
      </c>
      <c r="Y401" s="25">
        <f>X401 / 12</f>
        <v/>
      </c>
      <c r="Z401" s="17" t="n">
        <v>-219</v>
      </c>
      <c r="AA401" s="25">
        <f>I401</f>
        <v/>
      </c>
      <c r="AB401" s="25">
        <f>Q401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 t="n">
        <v>0</v>
      </c>
      <c r="J402" s="19">
        <f>I402 * (0.01000000 / 12)</f>
        <v/>
      </c>
      <c r="K402" s="19">
        <f>(I402 - J402) * (0.00664805 / 12) * 1.0</f>
        <v/>
      </c>
      <c r="L402" s="19" t="n">
        <v>0</v>
      </c>
      <c r="M402" s="24">
        <f>(I402 - J402) - K402 + L402</f>
        <v/>
      </c>
      <c r="N402" s="24">
        <f>M402 * (0.00400000 / 12) * 1.0</f>
        <v/>
      </c>
      <c r="O402" s="24">
        <f>M402 * (0.00500000 / 12) * 1.0</f>
        <v/>
      </c>
      <c r="P402" s="24">
        <f>Y402</f>
        <v/>
      </c>
      <c r="Q402" s="24">
        <f>MAX(0, M402 - N402 - O402 - P402)</f>
        <v/>
      </c>
      <c r="R402" s="24" t="n">
        <v>0</v>
      </c>
      <c r="S402" s="24" t="n">
        <v>0</v>
      </c>
      <c r="T402" s="24" t="n">
        <v>0</v>
      </c>
      <c r="U402" s="24" t="n">
        <v>0</v>
      </c>
      <c r="V402" s="24" t="n">
        <v>0</v>
      </c>
      <c r="W402" s="24" t="n">
        <v>0</v>
      </c>
      <c r="X402" s="24" t="n">
        <v>0</v>
      </c>
      <c r="Y402" s="24">
        <f>X402 / 12</f>
        <v/>
      </c>
      <c r="Z402" s="15" t="n">
        <v>-220</v>
      </c>
      <c r="AA402" s="24">
        <f>I402</f>
        <v/>
      </c>
      <c r="AB402" s="24">
        <f>Q402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 t="n">
        <v>0</v>
      </c>
      <c r="J403" s="21">
        <f>I403 * (0.01000000 / 12)</f>
        <v/>
      </c>
      <c r="K403" s="21">
        <f>(I403 - J403) * (0.00664805 / 12) * 1.0</f>
        <v/>
      </c>
      <c r="L403" s="21" t="n">
        <v>0</v>
      </c>
      <c r="M403" s="25">
        <f>(I403 - J403) - K403 + L403</f>
        <v/>
      </c>
      <c r="N403" s="25">
        <f>M403 * (0.00400000 / 12) * 1.0</f>
        <v/>
      </c>
      <c r="O403" s="25">
        <f>M403 * (0.00500000 / 12) * 1.0</f>
        <v/>
      </c>
      <c r="P403" s="25">
        <f>Y403</f>
        <v/>
      </c>
      <c r="Q403" s="25">
        <f>MAX(0, M403 - N403 - O403 - P403)</f>
        <v/>
      </c>
      <c r="R403" s="25" t="n">
        <v>0</v>
      </c>
      <c r="S403" s="25" t="n">
        <v>0</v>
      </c>
      <c r="T403" s="25" t="n">
        <v>0</v>
      </c>
      <c r="U403" s="25" t="n">
        <v>0</v>
      </c>
      <c r="V403" s="25" t="n">
        <v>0</v>
      </c>
      <c r="W403" s="25" t="n">
        <v>0</v>
      </c>
      <c r="X403" s="25" t="n">
        <v>0</v>
      </c>
      <c r="Y403" s="25">
        <f>X403 / 12</f>
        <v/>
      </c>
      <c r="Z403" s="17" t="n">
        <v>-221</v>
      </c>
      <c r="AA403" s="25">
        <f>I403</f>
        <v/>
      </c>
      <c r="AB403" s="25">
        <f>Q403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 t="n">
        <v>0</v>
      </c>
      <c r="J404" s="19">
        <f>I404 * (0.01000000 / 12)</f>
        <v/>
      </c>
      <c r="K404" s="19">
        <f>(I404 - J404) * (0.00664805 / 12) * 1.0</f>
        <v/>
      </c>
      <c r="L404" s="19" t="n">
        <v>0</v>
      </c>
      <c r="M404" s="24">
        <f>(I404 - J404) - K404 + L404</f>
        <v/>
      </c>
      <c r="N404" s="24">
        <f>M404 * (0.00400000 / 12) * 1.0</f>
        <v/>
      </c>
      <c r="O404" s="24">
        <f>M404 * (0.00500000 / 12) * 1.0</f>
        <v/>
      </c>
      <c r="P404" s="24">
        <f>Y404</f>
        <v/>
      </c>
      <c r="Q404" s="24">
        <f>MAX(0, M404 - N404 - O404 - P404)</f>
        <v/>
      </c>
      <c r="R404" s="24" t="n">
        <v>0</v>
      </c>
      <c r="S404" s="24" t="n">
        <v>0</v>
      </c>
      <c r="T404" s="24" t="n">
        <v>0</v>
      </c>
      <c r="U404" s="24" t="n">
        <v>0</v>
      </c>
      <c r="V404" s="24" t="n">
        <v>0</v>
      </c>
      <c r="W404" s="24" t="n">
        <v>0</v>
      </c>
      <c r="X404" s="24" t="n">
        <v>0</v>
      </c>
      <c r="Y404" s="24">
        <f>X404 / 12</f>
        <v/>
      </c>
      <c r="Z404" s="15" t="n">
        <v>-222</v>
      </c>
      <c r="AA404" s="24">
        <f>I404</f>
        <v/>
      </c>
      <c r="AB404" s="24">
        <f>Q404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 t="n">
        <v>0</v>
      </c>
      <c r="J405" s="21">
        <f>I405 * (0.01000000 / 12)</f>
        <v/>
      </c>
      <c r="K405" s="21">
        <f>(I405 - J405) * (0.00664805 / 12) * 1.0</f>
        <v/>
      </c>
      <c r="L405" s="21" t="n">
        <v>0</v>
      </c>
      <c r="M405" s="25">
        <f>(I405 - J405) - K405 + L405</f>
        <v/>
      </c>
      <c r="N405" s="25">
        <f>M405 * (0.00400000 / 12) * 1.0</f>
        <v/>
      </c>
      <c r="O405" s="25">
        <f>M405 * (0.00500000 / 12) * 1.0</f>
        <v/>
      </c>
      <c r="P405" s="25">
        <f>Y405</f>
        <v/>
      </c>
      <c r="Q405" s="25">
        <f>MAX(0, M405 - N405 - O405 - P405)</f>
        <v/>
      </c>
      <c r="R405" s="25" t="n">
        <v>0</v>
      </c>
      <c r="S405" s="25" t="n">
        <v>0</v>
      </c>
      <c r="T405" s="25" t="n">
        <v>0</v>
      </c>
      <c r="U405" s="25" t="n">
        <v>0</v>
      </c>
      <c r="V405" s="25" t="n">
        <v>0</v>
      </c>
      <c r="W405" s="25" t="n">
        <v>0</v>
      </c>
      <c r="X405" s="25" t="n">
        <v>0</v>
      </c>
      <c r="Y405" s="25">
        <f>X405 / 12</f>
        <v/>
      </c>
      <c r="Z405" s="17" t="n">
        <v>-223</v>
      </c>
      <c r="AA405" s="25">
        <f>I405</f>
        <v/>
      </c>
      <c r="AB405" s="25">
        <f>Q405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 t="n">
        <v>0</v>
      </c>
      <c r="J406" s="19">
        <f>I406 * (0.01000000 / 12)</f>
        <v/>
      </c>
      <c r="K406" s="19">
        <f>(I406 - J406) * (0.00664805 / 12) * 1.0</f>
        <v/>
      </c>
      <c r="L406" s="19" t="n">
        <v>0</v>
      </c>
      <c r="M406" s="24">
        <f>(I406 - J406) - K406 + L406</f>
        <v/>
      </c>
      <c r="N406" s="24">
        <f>M406 * (0.00400000 / 12) * 1.0</f>
        <v/>
      </c>
      <c r="O406" s="24">
        <f>M406 * (0.00500000 / 12) * 1.0</f>
        <v/>
      </c>
      <c r="P406" s="24">
        <f>Y406</f>
        <v/>
      </c>
      <c r="Q406" s="24">
        <f>MAX(0, M406 - N406 - O406 - P406)</f>
        <v/>
      </c>
      <c r="R406" s="24" t="n">
        <v>0</v>
      </c>
      <c r="S406" s="24" t="n">
        <v>0</v>
      </c>
      <c r="T406" s="24" t="n">
        <v>0</v>
      </c>
      <c r="U406" s="24" t="n">
        <v>0</v>
      </c>
      <c r="V406" s="24" t="n">
        <v>0</v>
      </c>
      <c r="W406" s="24" t="n">
        <v>0</v>
      </c>
      <c r="X406" s="24" t="n">
        <v>0</v>
      </c>
      <c r="Y406" s="24">
        <f>X406 / 12</f>
        <v/>
      </c>
      <c r="Z406" s="15" t="n">
        <v>-224</v>
      </c>
      <c r="AA406" s="24">
        <f>I406</f>
        <v/>
      </c>
      <c r="AB406" s="24">
        <f>Q406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 t="n">
        <v>0</v>
      </c>
      <c r="J407" s="21">
        <f>I407 * (0.01000000 / 12)</f>
        <v/>
      </c>
      <c r="K407" s="21">
        <f>(I407 - J407) * (0.00664805 / 12) * 1.0</f>
        <v/>
      </c>
      <c r="L407" s="21" t="n">
        <v>0</v>
      </c>
      <c r="M407" s="25">
        <f>(I407 - J407) - K407 + L407</f>
        <v/>
      </c>
      <c r="N407" s="25">
        <f>M407 * (0.00400000 / 12) * 1.0</f>
        <v/>
      </c>
      <c r="O407" s="25">
        <f>M407 * (0.00500000 / 12) * 1.0</f>
        <v/>
      </c>
      <c r="P407" s="25">
        <f>Y407</f>
        <v/>
      </c>
      <c r="Q407" s="25">
        <f>MAX(0, M407 - N407 - O407 - P407)</f>
        <v/>
      </c>
      <c r="R407" s="25" t="n">
        <v>0</v>
      </c>
      <c r="S407" s="25" t="n">
        <v>0</v>
      </c>
      <c r="T407" s="25" t="n">
        <v>0</v>
      </c>
      <c r="U407" s="25" t="n">
        <v>0</v>
      </c>
      <c r="V407" s="25" t="n">
        <v>0</v>
      </c>
      <c r="W407" s="25" t="n">
        <v>0</v>
      </c>
      <c r="X407" s="25" t="n">
        <v>0</v>
      </c>
      <c r="Y407" s="25">
        <f>X407 / 12</f>
        <v/>
      </c>
      <c r="Z407" s="17" t="n">
        <v>-225</v>
      </c>
      <c r="AA407" s="25">
        <f>I407</f>
        <v/>
      </c>
      <c r="AB407" s="25">
        <f>Q407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 t="n">
        <v>0</v>
      </c>
      <c r="J408" s="19">
        <f>I408 * (0.01000000 / 12)</f>
        <v/>
      </c>
      <c r="K408" s="19">
        <f>(I408 - J408) * (0.00664805 / 12) * 1.0</f>
        <v/>
      </c>
      <c r="L408" s="19" t="n">
        <v>0</v>
      </c>
      <c r="M408" s="24">
        <f>(I408 - J408) - K408 + L408</f>
        <v/>
      </c>
      <c r="N408" s="24">
        <f>M408 * (0.00400000 / 12) * 1.0</f>
        <v/>
      </c>
      <c r="O408" s="24">
        <f>M408 * (0.00500000 / 12) * 1.0</f>
        <v/>
      </c>
      <c r="P408" s="24">
        <f>Y408</f>
        <v/>
      </c>
      <c r="Q408" s="24">
        <f>MAX(0, M408 - N408 - O408 - P408)</f>
        <v/>
      </c>
      <c r="R408" s="24" t="n">
        <v>0</v>
      </c>
      <c r="S408" s="24" t="n">
        <v>0</v>
      </c>
      <c r="T408" s="24" t="n">
        <v>0</v>
      </c>
      <c r="U408" s="24" t="n">
        <v>0</v>
      </c>
      <c r="V408" s="24" t="n">
        <v>0</v>
      </c>
      <c r="W408" s="24" t="n">
        <v>0</v>
      </c>
      <c r="X408" s="24" t="n">
        <v>0</v>
      </c>
      <c r="Y408" s="24">
        <f>X408 / 12</f>
        <v/>
      </c>
      <c r="Z408" s="15" t="n">
        <v>-226</v>
      </c>
      <c r="AA408" s="24">
        <f>I408</f>
        <v/>
      </c>
      <c r="AB408" s="24">
        <f>Q408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 t="n">
        <v>0</v>
      </c>
      <c r="J409" s="21">
        <f>I409 * (0.01000000 / 12)</f>
        <v/>
      </c>
      <c r="K409" s="21">
        <f>(I409 - J409) * (0.00664805 / 12) * 1.0</f>
        <v/>
      </c>
      <c r="L409" s="21" t="n">
        <v>0</v>
      </c>
      <c r="M409" s="25">
        <f>(I409 - J409) - K409 + L409</f>
        <v/>
      </c>
      <c r="N409" s="25">
        <f>M409 * (0.00400000 / 12) * 1.0</f>
        <v/>
      </c>
      <c r="O409" s="25">
        <f>M409 * (0.00500000 / 12) * 1.0</f>
        <v/>
      </c>
      <c r="P409" s="25">
        <f>Y409</f>
        <v/>
      </c>
      <c r="Q409" s="25">
        <f>MAX(0, M409 - N409 - O409 - P409)</f>
        <v/>
      </c>
      <c r="R409" s="25" t="n">
        <v>0</v>
      </c>
      <c r="S409" s="25" t="n">
        <v>0</v>
      </c>
      <c r="T409" s="25" t="n">
        <v>0</v>
      </c>
      <c r="U409" s="25" t="n">
        <v>0</v>
      </c>
      <c r="V409" s="25" t="n">
        <v>0</v>
      </c>
      <c r="W409" s="25" t="n">
        <v>0</v>
      </c>
      <c r="X409" s="25" t="n">
        <v>0</v>
      </c>
      <c r="Y409" s="25">
        <f>X409 / 12</f>
        <v/>
      </c>
      <c r="Z409" s="17" t="n">
        <v>-227</v>
      </c>
      <c r="AA409" s="25">
        <f>I409</f>
        <v/>
      </c>
      <c r="AB409" s="25">
        <f>Q409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 t="n">
        <v>0</v>
      </c>
      <c r="J410" s="19">
        <f>I410 * (0.01000000 / 12)</f>
        <v/>
      </c>
      <c r="K410" s="19">
        <f>(I410 - J410) * (0.00664805 / 12) * 1.0</f>
        <v/>
      </c>
      <c r="L410" s="19" t="n">
        <v>0</v>
      </c>
      <c r="M410" s="24">
        <f>(I410 - J410) - K410 + L410</f>
        <v/>
      </c>
      <c r="N410" s="24">
        <f>M410 * (0.00400000 / 12) * 1.0</f>
        <v/>
      </c>
      <c r="O410" s="24">
        <f>M410 * (0.00500000 / 12) * 1.0</f>
        <v/>
      </c>
      <c r="P410" s="24">
        <f>Y410</f>
        <v/>
      </c>
      <c r="Q410" s="24">
        <f>MAX(0, M410 - N410 - O410 - P410)</f>
        <v/>
      </c>
      <c r="R410" s="24" t="n">
        <v>0</v>
      </c>
      <c r="S410" s="24" t="n">
        <v>0</v>
      </c>
      <c r="T410" s="24" t="n">
        <v>0</v>
      </c>
      <c r="U410" s="24" t="n">
        <v>0</v>
      </c>
      <c r="V410" s="24" t="n">
        <v>0</v>
      </c>
      <c r="W410" s="24" t="n">
        <v>0</v>
      </c>
      <c r="X410" s="24" t="n">
        <v>0</v>
      </c>
      <c r="Y410" s="24">
        <f>X410 / 12</f>
        <v/>
      </c>
      <c r="Z410" s="15" t="n">
        <v>-228</v>
      </c>
      <c r="AA410" s="24">
        <f>I410</f>
        <v/>
      </c>
      <c r="AB410" s="24">
        <f>Q410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 t="n">
        <v>0</v>
      </c>
      <c r="J411" s="21">
        <f>I411 * (0.01000000 / 12)</f>
        <v/>
      </c>
      <c r="K411" s="21">
        <f>(I411 - J411) * (0.00664805 / 12) * 1.0</f>
        <v/>
      </c>
      <c r="L411" s="21" t="n">
        <v>0</v>
      </c>
      <c r="M411" s="25">
        <f>(I411 - J411) - K411 + L411</f>
        <v/>
      </c>
      <c r="N411" s="25">
        <f>M411 * (0.00400000 / 12) * 1.0</f>
        <v/>
      </c>
      <c r="O411" s="25">
        <f>M411 * (0.00500000 / 12) * 1.0</f>
        <v/>
      </c>
      <c r="P411" s="25">
        <f>Y411</f>
        <v/>
      </c>
      <c r="Q411" s="25">
        <f>MAX(0, M411 - N411 - O411 - P411)</f>
        <v/>
      </c>
      <c r="R411" s="25" t="n">
        <v>0</v>
      </c>
      <c r="S411" s="25" t="n">
        <v>0</v>
      </c>
      <c r="T411" s="25" t="n">
        <v>0</v>
      </c>
      <c r="U411" s="25" t="n">
        <v>0</v>
      </c>
      <c r="V411" s="25" t="n">
        <v>0</v>
      </c>
      <c r="W411" s="25" t="n">
        <v>0</v>
      </c>
      <c r="X411" s="25" t="n">
        <v>0</v>
      </c>
      <c r="Y411" s="25">
        <f>X411 / 12</f>
        <v/>
      </c>
      <c r="Z411" s="17" t="n">
        <v>-229</v>
      </c>
      <c r="AA411" s="25">
        <f>I411</f>
        <v/>
      </c>
      <c r="AB411" s="25">
        <f>Q411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 t="n">
        <v>0</v>
      </c>
      <c r="J412" s="19">
        <f>I412 * (0.01000000 / 12)</f>
        <v/>
      </c>
      <c r="K412" s="19">
        <f>(I412 - J412) * (0.00664805 / 12) * 1.0</f>
        <v/>
      </c>
      <c r="L412" s="19" t="n">
        <v>0</v>
      </c>
      <c r="M412" s="24">
        <f>(I412 - J412) - K412 + L412</f>
        <v/>
      </c>
      <c r="N412" s="24">
        <f>M412 * (0.00400000 / 12) * 1.0</f>
        <v/>
      </c>
      <c r="O412" s="24">
        <f>M412 * (0.00500000 / 12) * 1.0</f>
        <v/>
      </c>
      <c r="P412" s="24">
        <f>Y412</f>
        <v/>
      </c>
      <c r="Q412" s="24">
        <f>MAX(0, M412 - N412 - O412 - P412)</f>
        <v/>
      </c>
      <c r="R412" s="24" t="n">
        <v>0</v>
      </c>
      <c r="S412" s="24" t="n">
        <v>0</v>
      </c>
      <c r="T412" s="24" t="n">
        <v>0</v>
      </c>
      <c r="U412" s="24" t="n">
        <v>0</v>
      </c>
      <c r="V412" s="24" t="n">
        <v>0</v>
      </c>
      <c r="W412" s="24" t="n">
        <v>0</v>
      </c>
      <c r="X412" s="24" t="n">
        <v>0</v>
      </c>
      <c r="Y412" s="24">
        <f>X412 / 12</f>
        <v/>
      </c>
      <c r="Z412" s="15" t="n">
        <v>-230</v>
      </c>
      <c r="AA412" s="24">
        <f>I412</f>
        <v/>
      </c>
      <c r="AB412" s="24">
        <f>Q412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 t="n">
        <v>0</v>
      </c>
      <c r="J413" s="21">
        <f>I413 * (0.01000000 / 12)</f>
        <v/>
      </c>
      <c r="K413" s="21">
        <f>(I413 - J413) * (0.00664805 / 12) * 1.0</f>
        <v/>
      </c>
      <c r="L413" s="21" t="n">
        <v>0</v>
      </c>
      <c r="M413" s="25">
        <f>(I413 - J413) - K413 + L413</f>
        <v/>
      </c>
      <c r="N413" s="25">
        <f>M413 * (0.00400000 / 12) * 1.0</f>
        <v/>
      </c>
      <c r="O413" s="25">
        <f>M413 * (0.00500000 / 12) * 1.0</f>
        <v/>
      </c>
      <c r="P413" s="25">
        <f>Y413</f>
        <v/>
      </c>
      <c r="Q413" s="25">
        <f>MAX(0, M413 - N413 - O413 - P413)</f>
        <v/>
      </c>
      <c r="R413" s="25" t="n">
        <v>0</v>
      </c>
      <c r="S413" s="25" t="n">
        <v>0</v>
      </c>
      <c r="T413" s="25" t="n">
        <v>0</v>
      </c>
      <c r="U413" s="25" t="n">
        <v>0</v>
      </c>
      <c r="V413" s="25" t="n">
        <v>0</v>
      </c>
      <c r="W413" s="25" t="n">
        <v>0</v>
      </c>
      <c r="X413" s="25" t="n">
        <v>0</v>
      </c>
      <c r="Y413" s="25">
        <f>X413 / 12</f>
        <v/>
      </c>
      <c r="Z413" s="17" t="n">
        <v>-231</v>
      </c>
      <c r="AA413" s="25">
        <f>I413</f>
        <v/>
      </c>
      <c r="AB413" s="25">
        <f>Q413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 t="n">
        <v>0</v>
      </c>
      <c r="J414" s="19">
        <f>I414 * (0.01000000 / 12)</f>
        <v/>
      </c>
      <c r="K414" s="19">
        <f>(I414 - J414) * (0.00664805 / 12) * 1.0</f>
        <v/>
      </c>
      <c r="L414" s="19" t="n">
        <v>0</v>
      </c>
      <c r="M414" s="24">
        <f>(I414 - J414) - K414 + L414</f>
        <v/>
      </c>
      <c r="N414" s="24">
        <f>M414 * (0.00400000 / 12) * 1.0</f>
        <v/>
      </c>
      <c r="O414" s="24">
        <f>M414 * (0.00500000 / 12) * 1.0</f>
        <v/>
      </c>
      <c r="P414" s="24">
        <f>Y414</f>
        <v/>
      </c>
      <c r="Q414" s="24">
        <f>MAX(0, M414 - N414 - O414 - P414)</f>
        <v/>
      </c>
      <c r="R414" s="24" t="n">
        <v>0</v>
      </c>
      <c r="S414" s="24" t="n">
        <v>0</v>
      </c>
      <c r="T414" s="24" t="n">
        <v>0</v>
      </c>
      <c r="U414" s="24" t="n">
        <v>0</v>
      </c>
      <c r="V414" s="24" t="n">
        <v>0</v>
      </c>
      <c r="W414" s="24" t="n">
        <v>0</v>
      </c>
      <c r="X414" s="24" t="n">
        <v>0</v>
      </c>
      <c r="Y414" s="24">
        <f>X414 / 12</f>
        <v/>
      </c>
      <c r="Z414" s="15" t="n">
        <v>-232</v>
      </c>
      <c r="AA414" s="24">
        <f>I414</f>
        <v/>
      </c>
      <c r="AB414" s="24">
        <f>Q414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 t="n">
        <v>0</v>
      </c>
      <c r="J415" s="21">
        <f>I415 * (0.01000000 / 12)</f>
        <v/>
      </c>
      <c r="K415" s="21">
        <f>(I415 - J415) * (0.00664805 / 12) * 1.0</f>
        <v/>
      </c>
      <c r="L415" s="21" t="n">
        <v>0</v>
      </c>
      <c r="M415" s="25">
        <f>(I415 - J415) - K415 + L415</f>
        <v/>
      </c>
      <c r="N415" s="25">
        <f>M415 * (0.00400000 / 12) * 1.0</f>
        <v/>
      </c>
      <c r="O415" s="25">
        <f>M415 * (0.00500000 / 12) * 1.0</f>
        <v/>
      </c>
      <c r="P415" s="25">
        <f>Y415</f>
        <v/>
      </c>
      <c r="Q415" s="25">
        <f>MAX(0, M415 - N415 - O415 - P415)</f>
        <v/>
      </c>
      <c r="R415" s="25" t="n">
        <v>0</v>
      </c>
      <c r="S415" s="25" t="n">
        <v>0</v>
      </c>
      <c r="T415" s="25" t="n">
        <v>0</v>
      </c>
      <c r="U415" s="25" t="n">
        <v>0</v>
      </c>
      <c r="V415" s="25" t="n">
        <v>0</v>
      </c>
      <c r="W415" s="25" t="n">
        <v>0</v>
      </c>
      <c r="X415" s="25" t="n">
        <v>0</v>
      </c>
      <c r="Y415" s="25">
        <f>X415 / 12</f>
        <v/>
      </c>
      <c r="Z415" s="17" t="n">
        <v>-233</v>
      </c>
      <c r="AA415" s="25">
        <f>I415</f>
        <v/>
      </c>
      <c r="AB415" s="25">
        <f>Q415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 t="n">
        <v>0</v>
      </c>
      <c r="J416" s="19">
        <f>I416 * (0.01000000 / 12)</f>
        <v/>
      </c>
      <c r="K416" s="19">
        <f>(I416 - J416) * (0.00664805 / 12) * 1.0</f>
        <v/>
      </c>
      <c r="L416" s="19" t="n">
        <v>0</v>
      </c>
      <c r="M416" s="24">
        <f>(I416 - J416) - K416 + L416</f>
        <v/>
      </c>
      <c r="N416" s="24">
        <f>M416 * (0.00400000 / 12) * 1.0</f>
        <v/>
      </c>
      <c r="O416" s="24">
        <f>M416 * (0.00500000 / 12) * 1.0</f>
        <v/>
      </c>
      <c r="P416" s="24">
        <f>Y416</f>
        <v/>
      </c>
      <c r="Q416" s="24">
        <f>MAX(0, M416 - N416 - O416 - P416)</f>
        <v/>
      </c>
      <c r="R416" s="24" t="n">
        <v>0</v>
      </c>
      <c r="S416" s="24" t="n">
        <v>0</v>
      </c>
      <c r="T416" s="24" t="n">
        <v>0</v>
      </c>
      <c r="U416" s="24" t="n">
        <v>0</v>
      </c>
      <c r="V416" s="24" t="n">
        <v>0</v>
      </c>
      <c r="W416" s="24" t="n">
        <v>0</v>
      </c>
      <c r="X416" s="24" t="n">
        <v>0</v>
      </c>
      <c r="Y416" s="24">
        <f>X416 / 12</f>
        <v/>
      </c>
      <c r="Z416" s="15" t="n">
        <v>-234</v>
      </c>
      <c r="AA416" s="24">
        <f>I416</f>
        <v/>
      </c>
      <c r="AB416" s="24">
        <f>Q416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 t="n">
        <v>0</v>
      </c>
      <c r="J417" s="21">
        <f>I417 * (0.01000000 / 12)</f>
        <v/>
      </c>
      <c r="K417" s="21">
        <f>(I417 - J417) * (0.00664805 / 12) * 1.0</f>
        <v/>
      </c>
      <c r="L417" s="21" t="n">
        <v>0</v>
      </c>
      <c r="M417" s="25">
        <f>(I417 - J417) - K417 + L417</f>
        <v/>
      </c>
      <c r="N417" s="25">
        <f>M417 * (0.00400000 / 12) * 1.0</f>
        <v/>
      </c>
      <c r="O417" s="25">
        <f>M417 * (0.00500000 / 12) * 1.0</f>
        <v/>
      </c>
      <c r="P417" s="25">
        <f>Y417</f>
        <v/>
      </c>
      <c r="Q417" s="25">
        <f>MAX(0, M417 - N417 - O417 - P417)</f>
        <v/>
      </c>
      <c r="R417" s="25" t="n">
        <v>0</v>
      </c>
      <c r="S417" s="25" t="n">
        <v>0</v>
      </c>
      <c r="T417" s="25" t="n">
        <v>0</v>
      </c>
      <c r="U417" s="25" t="n">
        <v>0</v>
      </c>
      <c r="V417" s="25" t="n">
        <v>0</v>
      </c>
      <c r="W417" s="25" t="n">
        <v>0</v>
      </c>
      <c r="X417" s="25" t="n">
        <v>0</v>
      </c>
      <c r="Y417" s="25">
        <f>X417 / 12</f>
        <v/>
      </c>
      <c r="Z417" s="17" t="n">
        <v>-235</v>
      </c>
      <c r="AA417" s="25">
        <f>I417</f>
        <v/>
      </c>
      <c r="AB417" s="25">
        <f>Q417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 t="n">
        <v>0</v>
      </c>
      <c r="J418" s="19">
        <f>I418 * (0.01000000 / 12)</f>
        <v/>
      </c>
      <c r="K418" s="19">
        <f>(I418 - J418) * (0.00664805 / 12) * 1.0</f>
        <v/>
      </c>
      <c r="L418" s="19" t="n">
        <v>0</v>
      </c>
      <c r="M418" s="24">
        <f>(I418 - J418) - K418 + L418</f>
        <v/>
      </c>
      <c r="N418" s="24">
        <f>M418 * (0.00400000 / 12) * 1.0</f>
        <v/>
      </c>
      <c r="O418" s="24">
        <f>M418 * (0.00500000 / 12) * 1.0</f>
        <v/>
      </c>
      <c r="P418" s="24">
        <f>Y418</f>
        <v/>
      </c>
      <c r="Q418" s="24">
        <f>MAX(0, M418 - N418 - O418 - P418)</f>
        <v/>
      </c>
      <c r="R418" s="24" t="n">
        <v>0</v>
      </c>
      <c r="S418" s="24" t="n">
        <v>0</v>
      </c>
      <c r="T418" s="24" t="n">
        <v>0</v>
      </c>
      <c r="U418" s="24" t="n">
        <v>0</v>
      </c>
      <c r="V418" s="24" t="n">
        <v>0</v>
      </c>
      <c r="W418" s="24" t="n">
        <v>0</v>
      </c>
      <c r="X418" s="24" t="n">
        <v>0</v>
      </c>
      <c r="Y418" s="24">
        <f>X418 / 12</f>
        <v/>
      </c>
      <c r="Z418" s="15" t="n">
        <v>-236</v>
      </c>
      <c r="AA418" s="24">
        <f>I418</f>
        <v/>
      </c>
      <c r="AB418" s="24">
        <f>Q418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 t="n">
        <v>0</v>
      </c>
      <c r="J419" s="21">
        <f>I419 * (0.01000000 / 12)</f>
        <v/>
      </c>
      <c r="K419" s="21">
        <f>(I419 - J419) * (0.00664805 / 12) * 1.0</f>
        <v/>
      </c>
      <c r="L419" s="21" t="n">
        <v>0</v>
      </c>
      <c r="M419" s="25">
        <f>(I419 - J419) - K419 + L419</f>
        <v/>
      </c>
      <c r="N419" s="25">
        <f>M419 * (0.00400000 / 12) * 1.0</f>
        <v/>
      </c>
      <c r="O419" s="25">
        <f>M419 * (0.00500000 / 12) * 1.0</f>
        <v/>
      </c>
      <c r="P419" s="25">
        <f>Y419</f>
        <v/>
      </c>
      <c r="Q419" s="25">
        <f>MAX(0, M419 - N419 - O419 - P419)</f>
        <v/>
      </c>
      <c r="R419" s="25" t="n">
        <v>0</v>
      </c>
      <c r="S419" s="25" t="n">
        <v>0</v>
      </c>
      <c r="T419" s="25" t="n">
        <v>0</v>
      </c>
      <c r="U419" s="25" t="n">
        <v>0</v>
      </c>
      <c r="V419" s="25" t="n">
        <v>0</v>
      </c>
      <c r="W419" s="25" t="n">
        <v>0</v>
      </c>
      <c r="X419" s="25" t="n">
        <v>0</v>
      </c>
      <c r="Y419" s="25">
        <f>X419 / 12</f>
        <v/>
      </c>
      <c r="Z419" s="17" t="n">
        <v>-237</v>
      </c>
      <c r="AA419" s="25">
        <f>I419</f>
        <v/>
      </c>
      <c r="AB419" s="25">
        <f>Q419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 t="n">
        <v>0</v>
      </c>
      <c r="J420" s="19">
        <f>I420 * (0.01000000 / 12)</f>
        <v/>
      </c>
      <c r="K420" s="19">
        <f>(I420 - J420) * (0.00664805 / 12) * 1.0</f>
        <v/>
      </c>
      <c r="L420" s="19" t="n">
        <v>0</v>
      </c>
      <c r="M420" s="24">
        <f>(I420 - J420) - K420 + L420</f>
        <v/>
      </c>
      <c r="N420" s="24">
        <f>M420 * (0.00400000 / 12) * 1.0</f>
        <v/>
      </c>
      <c r="O420" s="24">
        <f>M420 * (0.00500000 / 12) * 1.0</f>
        <v/>
      </c>
      <c r="P420" s="24">
        <f>Y420</f>
        <v/>
      </c>
      <c r="Q420" s="24">
        <f>MAX(0, M420 - N420 - O420 - P420)</f>
        <v/>
      </c>
      <c r="R420" s="24" t="n">
        <v>0</v>
      </c>
      <c r="S420" s="24" t="n">
        <v>0</v>
      </c>
      <c r="T420" s="24" t="n">
        <v>0</v>
      </c>
      <c r="U420" s="24" t="n">
        <v>0</v>
      </c>
      <c r="V420" s="24" t="n">
        <v>0</v>
      </c>
      <c r="W420" s="24" t="n">
        <v>0</v>
      </c>
      <c r="X420" s="24" t="n">
        <v>0</v>
      </c>
      <c r="Y420" s="24">
        <f>X420 / 12</f>
        <v/>
      </c>
      <c r="Z420" s="15" t="n">
        <v>-238</v>
      </c>
      <c r="AA420" s="24">
        <f>I420</f>
        <v/>
      </c>
      <c r="AB420" s="24">
        <f>Q420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 t="n">
        <v>0</v>
      </c>
      <c r="J421" s="21">
        <f>I421 * (0.01000000 / 12)</f>
        <v/>
      </c>
      <c r="K421" s="21">
        <f>(I421 - J421) * (0.00664805 / 12) * 1.0</f>
        <v/>
      </c>
      <c r="L421" s="21" t="n">
        <v>0</v>
      </c>
      <c r="M421" s="25">
        <f>(I421 - J421) - K421 + L421</f>
        <v/>
      </c>
      <c r="N421" s="25">
        <f>M421 * (0.00400000 / 12) * 1.0</f>
        <v/>
      </c>
      <c r="O421" s="25">
        <f>M421 * (0.00500000 / 12) * 1.0</f>
        <v/>
      </c>
      <c r="P421" s="25">
        <f>Y421</f>
        <v/>
      </c>
      <c r="Q421" s="25">
        <f>MAX(0, M421 - N421 - O421 - P421)</f>
        <v/>
      </c>
      <c r="R421" s="25" t="n">
        <v>0</v>
      </c>
      <c r="S421" s="25" t="n">
        <v>0</v>
      </c>
      <c r="T421" s="25" t="n">
        <v>0</v>
      </c>
      <c r="U421" s="25" t="n">
        <v>0</v>
      </c>
      <c r="V421" s="25" t="n">
        <v>0</v>
      </c>
      <c r="W421" s="25" t="n">
        <v>0</v>
      </c>
      <c r="X421" s="25" t="n">
        <v>0</v>
      </c>
      <c r="Y421" s="25">
        <f>X421 / 12</f>
        <v/>
      </c>
      <c r="Z421" s="17" t="n">
        <v>-239</v>
      </c>
      <c r="AA421" s="25">
        <f>I421</f>
        <v/>
      </c>
      <c r="AB421" s="25">
        <f>Q421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 t="n">
        <v>0</v>
      </c>
      <c r="J422" s="19">
        <f>I422 * (0.01000000 / 12)</f>
        <v/>
      </c>
      <c r="K422" s="19">
        <f>(I422 - J422) * (0.00664805 / 12) * 1.0</f>
        <v/>
      </c>
      <c r="L422" s="19" t="n">
        <v>0</v>
      </c>
      <c r="M422" s="24">
        <f>(I422 - J422) - K422 + L422</f>
        <v/>
      </c>
      <c r="N422" s="24">
        <f>M422 * (0.00400000 / 12) * 1.0</f>
        <v/>
      </c>
      <c r="O422" s="24">
        <f>M422 * (0.00500000 / 12) * 1.0</f>
        <v/>
      </c>
      <c r="P422" s="24">
        <f>Y422</f>
        <v/>
      </c>
      <c r="Q422" s="24">
        <f>MAX(0, M422 - N422 - O422 - P422)</f>
        <v/>
      </c>
      <c r="R422" s="24" t="n">
        <v>0</v>
      </c>
      <c r="S422" s="24" t="n">
        <v>0</v>
      </c>
      <c r="T422" s="24" t="n">
        <v>0</v>
      </c>
      <c r="U422" s="24" t="n">
        <v>0</v>
      </c>
      <c r="V422" s="24" t="n">
        <v>0</v>
      </c>
      <c r="W422" s="24" t="n">
        <v>0</v>
      </c>
      <c r="X422" s="24" t="n">
        <v>0</v>
      </c>
      <c r="Y422" s="24">
        <f>X422 / 12</f>
        <v/>
      </c>
      <c r="Z422" s="15" t="n">
        <v>-240</v>
      </c>
      <c r="AA422" s="24">
        <f>I422</f>
        <v/>
      </c>
      <c r="AB422" s="24">
        <f>Q422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 t="n">
        <v>0</v>
      </c>
      <c r="J423" s="21">
        <f>I423 * (0.01000000 / 12)</f>
        <v/>
      </c>
      <c r="K423" s="21">
        <f>(I423 - J423) * (0.00664805 / 12) * 1.0</f>
        <v/>
      </c>
      <c r="L423" s="21" t="n">
        <v>0</v>
      </c>
      <c r="M423" s="25">
        <f>(I423 - J423) - K423 + L423</f>
        <v/>
      </c>
      <c r="N423" s="25">
        <f>M423 * (0.00400000 / 12) * 1.0</f>
        <v/>
      </c>
      <c r="O423" s="25">
        <f>M423 * (0.00500000 / 12) * 1.0</f>
        <v/>
      </c>
      <c r="P423" s="25">
        <f>Y423</f>
        <v/>
      </c>
      <c r="Q423" s="25">
        <f>MAX(0, M423 - N423 - O423 - P423)</f>
        <v/>
      </c>
      <c r="R423" s="25" t="n">
        <v>0</v>
      </c>
      <c r="S423" s="25" t="n">
        <v>0</v>
      </c>
      <c r="T423" s="25" t="n">
        <v>0</v>
      </c>
      <c r="U423" s="25" t="n">
        <v>0</v>
      </c>
      <c r="V423" s="25" t="n">
        <v>0</v>
      </c>
      <c r="W423" s="25" t="n">
        <v>0</v>
      </c>
      <c r="X423" s="25" t="n">
        <v>0</v>
      </c>
      <c r="Y423" s="25">
        <f>X423 / 12</f>
        <v/>
      </c>
      <c r="Z423" s="17" t="n">
        <v>-241</v>
      </c>
      <c r="AA423" s="25">
        <f>I423</f>
        <v/>
      </c>
      <c r="AB423" s="25">
        <f>Q423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 t="n">
        <v>0</v>
      </c>
      <c r="J424" s="19">
        <f>I424 * (0.01000000 / 12)</f>
        <v/>
      </c>
      <c r="K424" s="19">
        <f>(I424 - J424) * (0.00664805 / 12) * 1.0</f>
        <v/>
      </c>
      <c r="L424" s="19" t="n">
        <v>0</v>
      </c>
      <c r="M424" s="24">
        <f>(I424 - J424) - K424 + L424</f>
        <v/>
      </c>
      <c r="N424" s="24">
        <f>M424 * (0.00400000 / 12) * 1.0</f>
        <v/>
      </c>
      <c r="O424" s="24">
        <f>M424 * (0.00500000 / 12) * 1.0</f>
        <v/>
      </c>
      <c r="P424" s="24">
        <f>Y424</f>
        <v/>
      </c>
      <c r="Q424" s="24">
        <f>MAX(0, M424 - N424 - O424 - P424)</f>
        <v/>
      </c>
      <c r="R424" s="24" t="n">
        <v>0</v>
      </c>
      <c r="S424" s="24" t="n">
        <v>0</v>
      </c>
      <c r="T424" s="24" t="n">
        <v>0</v>
      </c>
      <c r="U424" s="24" t="n">
        <v>0</v>
      </c>
      <c r="V424" s="24" t="n">
        <v>0</v>
      </c>
      <c r="W424" s="24" t="n">
        <v>0</v>
      </c>
      <c r="X424" s="24" t="n">
        <v>0</v>
      </c>
      <c r="Y424" s="24">
        <f>X424 / 12</f>
        <v/>
      </c>
      <c r="Z424" s="15" t="n">
        <v>-242</v>
      </c>
      <c r="AA424" s="24">
        <f>I424</f>
        <v/>
      </c>
      <c r="AB424" s="24">
        <f>Q424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 t="n">
        <v>0</v>
      </c>
      <c r="J425" s="21">
        <f>I425 * (0.01000000 / 12)</f>
        <v/>
      </c>
      <c r="K425" s="21">
        <f>(I425 - J425) * (0.00664805 / 12) * 1.0</f>
        <v/>
      </c>
      <c r="L425" s="21" t="n">
        <v>0</v>
      </c>
      <c r="M425" s="25">
        <f>(I425 - J425) - K425 + L425</f>
        <v/>
      </c>
      <c r="N425" s="25">
        <f>M425 * (0.00400000 / 12) * 1.0</f>
        <v/>
      </c>
      <c r="O425" s="25">
        <f>M425 * (0.00500000 / 12) * 1.0</f>
        <v/>
      </c>
      <c r="P425" s="25">
        <f>Y425</f>
        <v/>
      </c>
      <c r="Q425" s="25">
        <f>MAX(0, M425 - N425 - O425 - P425)</f>
        <v/>
      </c>
      <c r="R425" s="25" t="n">
        <v>0</v>
      </c>
      <c r="S425" s="25" t="n">
        <v>0</v>
      </c>
      <c r="T425" s="25" t="n">
        <v>0</v>
      </c>
      <c r="U425" s="25" t="n">
        <v>0</v>
      </c>
      <c r="V425" s="25" t="n">
        <v>0</v>
      </c>
      <c r="W425" s="25" t="n">
        <v>0</v>
      </c>
      <c r="X425" s="25" t="n">
        <v>0</v>
      </c>
      <c r="Y425" s="25">
        <f>X425 / 12</f>
        <v/>
      </c>
      <c r="Z425" s="17" t="n">
        <v>-243</v>
      </c>
      <c r="AA425" s="25">
        <f>I425</f>
        <v/>
      </c>
      <c r="AB425" s="25">
        <f>Q425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 t="n">
        <v>0</v>
      </c>
      <c r="J426" s="19">
        <f>I426 * (0.01000000 / 12)</f>
        <v/>
      </c>
      <c r="K426" s="19">
        <f>(I426 - J426) * (0.00664805 / 12) * 1.0</f>
        <v/>
      </c>
      <c r="L426" s="19" t="n">
        <v>0</v>
      </c>
      <c r="M426" s="24">
        <f>(I426 - J426) - K426 + L426</f>
        <v/>
      </c>
      <c r="N426" s="24">
        <f>M426 * (0.00400000 / 12) * 1.0</f>
        <v/>
      </c>
      <c r="O426" s="24">
        <f>M426 * (0.00500000 / 12) * 1.0</f>
        <v/>
      </c>
      <c r="P426" s="24">
        <f>Y426</f>
        <v/>
      </c>
      <c r="Q426" s="24">
        <f>MAX(0, M426 - N426 - O426 - P426)</f>
        <v/>
      </c>
      <c r="R426" s="24" t="n">
        <v>0</v>
      </c>
      <c r="S426" s="24" t="n">
        <v>0</v>
      </c>
      <c r="T426" s="24" t="n">
        <v>0</v>
      </c>
      <c r="U426" s="24" t="n">
        <v>0</v>
      </c>
      <c r="V426" s="24" t="n">
        <v>0</v>
      </c>
      <c r="W426" s="24" t="n">
        <v>0</v>
      </c>
      <c r="X426" s="24" t="n">
        <v>0</v>
      </c>
      <c r="Y426" s="24">
        <f>X426 / 12</f>
        <v/>
      </c>
      <c r="Z426" s="15" t="n">
        <v>-244</v>
      </c>
      <c r="AA426" s="24">
        <f>I426</f>
        <v/>
      </c>
      <c r="AB426" s="24">
        <f>Q426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 t="n">
        <v>0</v>
      </c>
      <c r="J427" s="21">
        <f>I427 * (0.01000000 / 12)</f>
        <v/>
      </c>
      <c r="K427" s="21">
        <f>(I427 - J427) * (0.00664805 / 12) * 1.0</f>
        <v/>
      </c>
      <c r="L427" s="21" t="n">
        <v>0</v>
      </c>
      <c r="M427" s="25">
        <f>(I427 - J427) - K427 + L427</f>
        <v/>
      </c>
      <c r="N427" s="25">
        <f>M427 * (0.00400000 / 12) * 1.0</f>
        <v/>
      </c>
      <c r="O427" s="25">
        <f>M427 * (0.00500000 / 12) * 1.0</f>
        <v/>
      </c>
      <c r="P427" s="25">
        <f>Y427</f>
        <v/>
      </c>
      <c r="Q427" s="25">
        <f>MAX(0, M427 - N427 - O427 - P427)</f>
        <v/>
      </c>
      <c r="R427" s="25" t="n">
        <v>0</v>
      </c>
      <c r="S427" s="25" t="n">
        <v>0</v>
      </c>
      <c r="T427" s="25" t="n">
        <v>0</v>
      </c>
      <c r="U427" s="25" t="n">
        <v>0</v>
      </c>
      <c r="V427" s="25" t="n">
        <v>0</v>
      </c>
      <c r="W427" s="25" t="n">
        <v>0</v>
      </c>
      <c r="X427" s="25" t="n">
        <v>0</v>
      </c>
      <c r="Y427" s="25">
        <f>X427 / 12</f>
        <v/>
      </c>
      <c r="Z427" s="17" t="n">
        <v>-245</v>
      </c>
      <c r="AA427" s="25">
        <f>I427</f>
        <v/>
      </c>
      <c r="AB427" s="25">
        <f>Q427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 t="n">
        <v>0</v>
      </c>
      <c r="J428" s="19">
        <f>I428 * (0.01000000 / 12)</f>
        <v/>
      </c>
      <c r="K428" s="19">
        <f>(I428 - J428) * (0.00664805 / 12) * 1.0</f>
        <v/>
      </c>
      <c r="L428" s="19" t="n">
        <v>0</v>
      </c>
      <c r="M428" s="24">
        <f>(I428 - J428) - K428 + L428</f>
        <v/>
      </c>
      <c r="N428" s="24">
        <f>M428 * (0.00400000 / 12) * 1.0</f>
        <v/>
      </c>
      <c r="O428" s="24">
        <f>M428 * (0.00500000 / 12) * 1.0</f>
        <v/>
      </c>
      <c r="P428" s="24">
        <f>Y428</f>
        <v/>
      </c>
      <c r="Q428" s="24">
        <f>MAX(0, M428 - N428 - O428 - P428)</f>
        <v/>
      </c>
      <c r="R428" s="24" t="n">
        <v>0</v>
      </c>
      <c r="S428" s="24" t="n">
        <v>0</v>
      </c>
      <c r="T428" s="24" t="n">
        <v>0</v>
      </c>
      <c r="U428" s="24" t="n">
        <v>0</v>
      </c>
      <c r="V428" s="24" t="n">
        <v>0</v>
      </c>
      <c r="W428" s="24" t="n">
        <v>0</v>
      </c>
      <c r="X428" s="24" t="n">
        <v>0</v>
      </c>
      <c r="Y428" s="24">
        <f>X428 / 12</f>
        <v/>
      </c>
      <c r="Z428" s="15" t="n">
        <v>-246</v>
      </c>
      <c r="AA428" s="24">
        <f>I428</f>
        <v/>
      </c>
      <c r="AB428" s="24">
        <f>Q428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 t="n">
        <v>0</v>
      </c>
      <c r="J429" s="21">
        <f>I429 * (0.01000000 / 12)</f>
        <v/>
      </c>
      <c r="K429" s="21">
        <f>(I429 - J429) * (0.00664805 / 12) * 1.0</f>
        <v/>
      </c>
      <c r="L429" s="21" t="n">
        <v>0</v>
      </c>
      <c r="M429" s="25">
        <f>(I429 - J429) - K429 + L429</f>
        <v/>
      </c>
      <c r="N429" s="25">
        <f>M429 * (0.00400000 / 12) * 1.0</f>
        <v/>
      </c>
      <c r="O429" s="25">
        <f>M429 * (0.00500000 / 12) * 1.0</f>
        <v/>
      </c>
      <c r="P429" s="25">
        <f>Y429</f>
        <v/>
      </c>
      <c r="Q429" s="25">
        <f>MAX(0, M429 - N429 - O429 - P429)</f>
        <v/>
      </c>
      <c r="R429" s="25" t="n">
        <v>0</v>
      </c>
      <c r="S429" s="25" t="n">
        <v>0</v>
      </c>
      <c r="T429" s="25" t="n">
        <v>0</v>
      </c>
      <c r="U429" s="25" t="n">
        <v>0</v>
      </c>
      <c r="V429" s="25" t="n">
        <v>0</v>
      </c>
      <c r="W429" s="25" t="n">
        <v>0</v>
      </c>
      <c r="X429" s="25" t="n">
        <v>0</v>
      </c>
      <c r="Y429" s="25">
        <f>X429 / 12</f>
        <v/>
      </c>
      <c r="Z429" s="17" t="n">
        <v>-247</v>
      </c>
      <c r="AA429" s="25">
        <f>I429</f>
        <v/>
      </c>
      <c r="AB429" s="25">
        <f>Q429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 t="n">
        <v>0</v>
      </c>
      <c r="J430" s="19">
        <f>I430 * (0.01000000 / 12)</f>
        <v/>
      </c>
      <c r="K430" s="19">
        <f>(I430 - J430) * (0.00664805 / 12) * 1.0</f>
        <v/>
      </c>
      <c r="L430" s="19" t="n">
        <v>0</v>
      </c>
      <c r="M430" s="24">
        <f>(I430 - J430) - K430 + L430</f>
        <v/>
      </c>
      <c r="N430" s="24">
        <f>M430 * (0.00400000 / 12) * 1.0</f>
        <v/>
      </c>
      <c r="O430" s="24">
        <f>M430 * (0.00500000 / 12) * 1.0</f>
        <v/>
      </c>
      <c r="P430" s="24">
        <f>Y430</f>
        <v/>
      </c>
      <c r="Q430" s="24">
        <f>MAX(0, M430 - N430 - O430 - P430)</f>
        <v/>
      </c>
      <c r="R430" s="24" t="n">
        <v>0</v>
      </c>
      <c r="S430" s="24" t="n">
        <v>0</v>
      </c>
      <c r="T430" s="24" t="n">
        <v>0</v>
      </c>
      <c r="U430" s="24" t="n">
        <v>0</v>
      </c>
      <c r="V430" s="24" t="n">
        <v>0</v>
      </c>
      <c r="W430" s="24" t="n">
        <v>0</v>
      </c>
      <c r="X430" s="24" t="n">
        <v>0</v>
      </c>
      <c r="Y430" s="24">
        <f>X430 / 12</f>
        <v/>
      </c>
      <c r="Z430" s="15" t="n">
        <v>-248</v>
      </c>
      <c r="AA430" s="24">
        <f>I430</f>
        <v/>
      </c>
      <c r="AB430" s="24">
        <f>Q430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 t="n">
        <v>0</v>
      </c>
      <c r="J431" s="21">
        <f>I431 * (0.01000000 / 12)</f>
        <v/>
      </c>
      <c r="K431" s="21">
        <f>(I431 - J431) * (0.00664805 / 12) * 1.0</f>
        <v/>
      </c>
      <c r="L431" s="21" t="n">
        <v>0</v>
      </c>
      <c r="M431" s="25">
        <f>(I431 - J431) - K431 + L431</f>
        <v/>
      </c>
      <c r="N431" s="25">
        <f>M431 * (0.00400000 / 12) * 1.0</f>
        <v/>
      </c>
      <c r="O431" s="25">
        <f>M431 * (0.00500000 / 12) * 1.0</f>
        <v/>
      </c>
      <c r="P431" s="25">
        <f>Y431</f>
        <v/>
      </c>
      <c r="Q431" s="25">
        <f>MAX(0, M431 - N431 - O431 - P431)</f>
        <v/>
      </c>
      <c r="R431" s="25" t="n">
        <v>0</v>
      </c>
      <c r="S431" s="25" t="n">
        <v>0</v>
      </c>
      <c r="T431" s="25" t="n">
        <v>0</v>
      </c>
      <c r="U431" s="25" t="n">
        <v>0</v>
      </c>
      <c r="V431" s="25" t="n">
        <v>0</v>
      </c>
      <c r="W431" s="25" t="n">
        <v>0</v>
      </c>
      <c r="X431" s="25" t="n">
        <v>0</v>
      </c>
      <c r="Y431" s="25">
        <f>X431 / 12</f>
        <v/>
      </c>
      <c r="Z431" s="17" t="n">
        <v>-249</v>
      </c>
      <c r="AA431" s="25">
        <f>I431</f>
        <v/>
      </c>
      <c r="AB431" s="25">
        <f>Q431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 t="n">
        <v>0</v>
      </c>
      <c r="J432" s="19">
        <f>I432 * (0.01000000 / 12)</f>
        <v/>
      </c>
      <c r="K432" s="19">
        <f>(I432 - J432) * (0.00664805 / 12) * 1.0</f>
        <v/>
      </c>
      <c r="L432" s="19" t="n">
        <v>0</v>
      </c>
      <c r="M432" s="24">
        <f>(I432 - J432) - K432 + L432</f>
        <v/>
      </c>
      <c r="N432" s="24">
        <f>M432 * (0.00400000 / 12) * 1.0</f>
        <v/>
      </c>
      <c r="O432" s="24">
        <f>M432 * (0.00500000 / 12) * 1.0</f>
        <v/>
      </c>
      <c r="P432" s="24">
        <f>Y432</f>
        <v/>
      </c>
      <c r="Q432" s="24">
        <f>MAX(0, M432 - N432 - O432 - P432)</f>
        <v/>
      </c>
      <c r="R432" s="24" t="n">
        <v>0</v>
      </c>
      <c r="S432" s="24" t="n">
        <v>0</v>
      </c>
      <c r="T432" s="24" t="n">
        <v>0</v>
      </c>
      <c r="U432" s="24" t="n">
        <v>0</v>
      </c>
      <c r="V432" s="24" t="n">
        <v>0</v>
      </c>
      <c r="W432" s="24" t="n">
        <v>0</v>
      </c>
      <c r="X432" s="24" t="n">
        <v>0</v>
      </c>
      <c r="Y432" s="24">
        <f>X432 / 12</f>
        <v/>
      </c>
      <c r="Z432" s="15" t="n">
        <v>-250</v>
      </c>
      <c r="AA432" s="24">
        <f>I432</f>
        <v/>
      </c>
      <c r="AB432" s="24">
        <f>Q432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 t="n">
        <v>0</v>
      </c>
      <c r="J433" s="21">
        <f>I433 * (0.01000000 / 12)</f>
        <v/>
      </c>
      <c r="K433" s="21">
        <f>(I433 - J433) * (0.00664805 / 12) * 1.0</f>
        <v/>
      </c>
      <c r="L433" s="21" t="n">
        <v>0</v>
      </c>
      <c r="M433" s="25">
        <f>(I433 - J433) - K433 + L433</f>
        <v/>
      </c>
      <c r="N433" s="25">
        <f>M433 * (0.00400000 / 12) * 1.0</f>
        <v/>
      </c>
      <c r="O433" s="25">
        <f>M433 * (0.00500000 / 12) * 1.0</f>
        <v/>
      </c>
      <c r="P433" s="25">
        <f>Y433</f>
        <v/>
      </c>
      <c r="Q433" s="25">
        <f>MAX(0, M433 - N433 - O433 - P433)</f>
        <v/>
      </c>
      <c r="R433" s="25" t="n">
        <v>0</v>
      </c>
      <c r="S433" s="25" t="n">
        <v>0</v>
      </c>
      <c r="T433" s="25" t="n">
        <v>0</v>
      </c>
      <c r="U433" s="25" t="n">
        <v>0</v>
      </c>
      <c r="V433" s="25" t="n">
        <v>0</v>
      </c>
      <c r="W433" s="25" t="n">
        <v>0</v>
      </c>
      <c r="X433" s="25" t="n">
        <v>0</v>
      </c>
      <c r="Y433" s="25">
        <f>X433 / 12</f>
        <v/>
      </c>
      <c r="Z433" s="17" t="n">
        <v>-251</v>
      </c>
      <c r="AA433" s="25">
        <f>I433</f>
        <v/>
      </c>
      <c r="AB433" s="25">
        <f>Q433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 t="n">
        <v>0</v>
      </c>
      <c r="J434" s="19">
        <f>I434 * (0.01000000 / 12)</f>
        <v/>
      </c>
      <c r="K434" s="19">
        <f>(I434 - J434) * (0.00664805 / 12) * 1.0</f>
        <v/>
      </c>
      <c r="L434" s="19" t="n">
        <v>0</v>
      </c>
      <c r="M434" s="24">
        <f>(I434 - J434) - K434 + L434</f>
        <v/>
      </c>
      <c r="N434" s="24">
        <f>M434 * (0.00400000 / 12) * 1.0</f>
        <v/>
      </c>
      <c r="O434" s="24">
        <f>M434 * (0.00500000 / 12) * 1.0</f>
        <v/>
      </c>
      <c r="P434" s="24">
        <f>Y434</f>
        <v/>
      </c>
      <c r="Q434" s="24">
        <f>MAX(0, M434 - N434 - O434 - P434)</f>
        <v/>
      </c>
      <c r="R434" s="24" t="n">
        <v>0</v>
      </c>
      <c r="S434" s="24" t="n">
        <v>0</v>
      </c>
      <c r="T434" s="24" t="n">
        <v>0</v>
      </c>
      <c r="U434" s="24" t="n">
        <v>0</v>
      </c>
      <c r="V434" s="24" t="n">
        <v>0</v>
      </c>
      <c r="W434" s="24" t="n">
        <v>0</v>
      </c>
      <c r="X434" s="24" t="n">
        <v>0</v>
      </c>
      <c r="Y434" s="24">
        <f>X434 / 12</f>
        <v/>
      </c>
      <c r="Z434" s="15" t="n">
        <v>-252</v>
      </c>
      <c r="AA434" s="24">
        <f>I434</f>
        <v/>
      </c>
      <c r="AB434" s="24">
        <f>Q434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 t="n">
        <v>0</v>
      </c>
      <c r="J435" s="21">
        <f>I435 * (0.01000000 / 12)</f>
        <v/>
      </c>
      <c r="K435" s="21">
        <f>(I435 - J435) * (0.00664805 / 12) * 1.0</f>
        <v/>
      </c>
      <c r="L435" s="21" t="n">
        <v>0</v>
      </c>
      <c r="M435" s="25">
        <f>(I435 - J435) - K435 + L435</f>
        <v/>
      </c>
      <c r="N435" s="25">
        <f>M435 * (0.00400000 / 12) * 1.0</f>
        <v/>
      </c>
      <c r="O435" s="25">
        <f>M435 * (0.00500000 / 12) * 1.0</f>
        <v/>
      </c>
      <c r="P435" s="25">
        <f>Y435</f>
        <v/>
      </c>
      <c r="Q435" s="25">
        <f>MAX(0, M435 - N435 - O435 - P435)</f>
        <v/>
      </c>
      <c r="R435" s="25" t="n">
        <v>0</v>
      </c>
      <c r="S435" s="25" t="n">
        <v>0</v>
      </c>
      <c r="T435" s="25" t="n">
        <v>0</v>
      </c>
      <c r="U435" s="25" t="n">
        <v>0</v>
      </c>
      <c r="V435" s="25" t="n">
        <v>0</v>
      </c>
      <c r="W435" s="25" t="n">
        <v>0</v>
      </c>
      <c r="X435" s="25" t="n">
        <v>0</v>
      </c>
      <c r="Y435" s="25">
        <f>X435 / 12</f>
        <v/>
      </c>
      <c r="Z435" s="17" t="n">
        <v>-253</v>
      </c>
      <c r="AA435" s="25">
        <f>I435</f>
        <v/>
      </c>
      <c r="AB435" s="25">
        <f>Q435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 t="n">
        <v>0</v>
      </c>
      <c r="J436" s="19">
        <f>I436 * (0.01000000 / 12)</f>
        <v/>
      </c>
      <c r="K436" s="19">
        <f>(I436 - J436) * (0.00664805 / 12) * 1.0</f>
        <v/>
      </c>
      <c r="L436" s="19" t="n">
        <v>0</v>
      </c>
      <c r="M436" s="24">
        <f>(I436 - J436) - K436 + L436</f>
        <v/>
      </c>
      <c r="N436" s="24">
        <f>M436 * (0.00400000 / 12) * 1.0</f>
        <v/>
      </c>
      <c r="O436" s="24">
        <f>M436 * (0.00500000 / 12) * 1.0</f>
        <v/>
      </c>
      <c r="P436" s="24">
        <f>Y436</f>
        <v/>
      </c>
      <c r="Q436" s="24">
        <f>MAX(0, M436 - N436 - O436 - P436)</f>
        <v/>
      </c>
      <c r="R436" s="24" t="n">
        <v>0</v>
      </c>
      <c r="S436" s="24" t="n">
        <v>0</v>
      </c>
      <c r="T436" s="24" t="n">
        <v>0</v>
      </c>
      <c r="U436" s="24" t="n">
        <v>0</v>
      </c>
      <c r="V436" s="24" t="n">
        <v>0</v>
      </c>
      <c r="W436" s="24" t="n">
        <v>0</v>
      </c>
      <c r="X436" s="24" t="n">
        <v>0</v>
      </c>
      <c r="Y436" s="24">
        <f>X436 / 12</f>
        <v/>
      </c>
      <c r="Z436" s="15" t="n">
        <v>-254</v>
      </c>
      <c r="AA436" s="24">
        <f>I436</f>
        <v/>
      </c>
      <c r="AB436" s="24">
        <f>Q436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 t="n">
        <v>0</v>
      </c>
      <c r="J437" s="21">
        <f>I437 * (0.01000000 / 12)</f>
        <v/>
      </c>
      <c r="K437" s="21">
        <f>(I437 - J437) * (0.00664805 / 12) * 1.0</f>
        <v/>
      </c>
      <c r="L437" s="21" t="n">
        <v>0</v>
      </c>
      <c r="M437" s="25">
        <f>(I437 - J437) - K437 + L437</f>
        <v/>
      </c>
      <c r="N437" s="25">
        <f>M437 * (0.00400000 / 12) * 1.0</f>
        <v/>
      </c>
      <c r="O437" s="25">
        <f>M437 * (0.00500000 / 12) * 1.0</f>
        <v/>
      </c>
      <c r="P437" s="25">
        <f>Y437</f>
        <v/>
      </c>
      <c r="Q437" s="25">
        <f>MAX(0, M437 - N437 - O437 - P437)</f>
        <v/>
      </c>
      <c r="R437" s="25" t="n">
        <v>0</v>
      </c>
      <c r="S437" s="25" t="n">
        <v>0</v>
      </c>
      <c r="T437" s="25" t="n">
        <v>0</v>
      </c>
      <c r="U437" s="25" t="n">
        <v>0</v>
      </c>
      <c r="V437" s="25" t="n">
        <v>0</v>
      </c>
      <c r="W437" s="25" t="n">
        <v>0</v>
      </c>
      <c r="X437" s="25" t="n">
        <v>0</v>
      </c>
      <c r="Y437" s="25">
        <f>X437 / 12</f>
        <v/>
      </c>
      <c r="Z437" s="17" t="n">
        <v>-255</v>
      </c>
      <c r="AA437" s="25">
        <f>I437</f>
        <v/>
      </c>
      <c r="AB437" s="25">
        <f>Q437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 t="n">
        <v>0</v>
      </c>
      <c r="J438" s="19">
        <f>I438 * (0.01000000 / 12)</f>
        <v/>
      </c>
      <c r="K438" s="19">
        <f>(I438 - J438) * (0.00664805 / 12) * 1.0</f>
        <v/>
      </c>
      <c r="L438" s="19" t="n">
        <v>0</v>
      </c>
      <c r="M438" s="24">
        <f>(I438 - J438) - K438 + L438</f>
        <v/>
      </c>
      <c r="N438" s="24">
        <f>M438 * (0.00400000 / 12) * 1.0</f>
        <v/>
      </c>
      <c r="O438" s="24">
        <f>M438 * (0.00500000 / 12) * 1.0</f>
        <v/>
      </c>
      <c r="P438" s="24">
        <f>Y438</f>
        <v/>
      </c>
      <c r="Q438" s="24">
        <f>MAX(0, M438 - N438 - O438 - P438)</f>
        <v/>
      </c>
      <c r="R438" s="24" t="n">
        <v>0</v>
      </c>
      <c r="S438" s="24" t="n">
        <v>0</v>
      </c>
      <c r="T438" s="24" t="n">
        <v>0</v>
      </c>
      <c r="U438" s="24" t="n">
        <v>0</v>
      </c>
      <c r="V438" s="24" t="n">
        <v>0</v>
      </c>
      <c r="W438" s="24" t="n">
        <v>0</v>
      </c>
      <c r="X438" s="24" t="n">
        <v>0</v>
      </c>
      <c r="Y438" s="24">
        <f>X438 / 12</f>
        <v/>
      </c>
      <c r="Z438" s="15" t="n">
        <v>-256</v>
      </c>
      <c r="AA438" s="24">
        <f>I438</f>
        <v/>
      </c>
      <c r="AB438" s="24">
        <f>Q438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 t="n">
        <v>0</v>
      </c>
      <c r="J439" s="21">
        <f>I439 * (0.01000000 / 12)</f>
        <v/>
      </c>
      <c r="K439" s="21">
        <f>(I439 - J439) * (0.00664805 / 12) * 1.0</f>
        <v/>
      </c>
      <c r="L439" s="21" t="n">
        <v>0</v>
      </c>
      <c r="M439" s="25">
        <f>(I439 - J439) - K439 + L439</f>
        <v/>
      </c>
      <c r="N439" s="25">
        <f>M439 * (0.00400000 / 12) * 1.0</f>
        <v/>
      </c>
      <c r="O439" s="25">
        <f>M439 * (0.00500000 / 12) * 1.0</f>
        <v/>
      </c>
      <c r="P439" s="25">
        <f>Y439</f>
        <v/>
      </c>
      <c r="Q439" s="25">
        <f>MAX(0, M439 - N439 - O439 - P439)</f>
        <v/>
      </c>
      <c r="R439" s="25" t="n">
        <v>0</v>
      </c>
      <c r="S439" s="25" t="n">
        <v>0</v>
      </c>
      <c r="T439" s="25" t="n">
        <v>0</v>
      </c>
      <c r="U439" s="25" t="n">
        <v>0</v>
      </c>
      <c r="V439" s="25" t="n">
        <v>0</v>
      </c>
      <c r="W439" s="25" t="n">
        <v>0</v>
      </c>
      <c r="X439" s="25" t="n">
        <v>0</v>
      </c>
      <c r="Y439" s="25">
        <f>X439 / 12</f>
        <v/>
      </c>
      <c r="Z439" s="17" t="n">
        <v>-257</v>
      </c>
      <c r="AA439" s="25">
        <f>I439</f>
        <v/>
      </c>
      <c r="AB439" s="25">
        <f>Q439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 t="n">
        <v>0</v>
      </c>
      <c r="J440" s="19">
        <f>I440 * (0.01000000 / 12)</f>
        <v/>
      </c>
      <c r="K440" s="19">
        <f>(I440 - J440) * (0.00664805 / 12) * 1.0</f>
        <v/>
      </c>
      <c r="L440" s="19" t="n">
        <v>0</v>
      </c>
      <c r="M440" s="24">
        <f>(I440 - J440) - K440 + L440</f>
        <v/>
      </c>
      <c r="N440" s="24">
        <f>M440 * (0.00400000 / 12) * 1.0</f>
        <v/>
      </c>
      <c r="O440" s="24">
        <f>M440 * (0.00500000 / 12) * 1.0</f>
        <v/>
      </c>
      <c r="P440" s="24">
        <f>Y440</f>
        <v/>
      </c>
      <c r="Q440" s="24">
        <f>MAX(0, M440 - N440 - O440 - P440)</f>
        <v/>
      </c>
      <c r="R440" s="24" t="n">
        <v>0</v>
      </c>
      <c r="S440" s="24" t="n">
        <v>0</v>
      </c>
      <c r="T440" s="24" t="n">
        <v>0</v>
      </c>
      <c r="U440" s="24" t="n">
        <v>0</v>
      </c>
      <c r="V440" s="24" t="n">
        <v>0</v>
      </c>
      <c r="W440" s="24" t="n">
        <v>0</v>
      </c>
      <c r="X440" s="24" t="n">
        <v>0</v>
      </c>
      <c r="Y440" s="24">
        <f>X440 / 12</f>
        <v/>
      </c>
      <c r="Z440" s="15" t="n">
        <v>-258</v>
      </c>
      <c r="AA440" s="24">
        <f>I440</f>
        <v/>
      </c>
      <c r="AB440" s="24">
        <f>Q440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 t="n">
        <v>0</v>
      </c>
      <c r="J441" s="21">
        <f>I441 * (0.01000000 / 12)</f>
        <v/>
      </c>
      <c r="K441" s="21">
        <f>(I441 - J441) * (0.00664805 / 12) * 1.0</f>
        <v/>
      </c>
      <c r="L441" s="21" t="n">
        <v>0</v>
      </c>
      <c r="M441" s="25">
        <f>(I441 - J441) - K441 + L441</f>
        <v/>
      </c>
      <c r="N441" s="25">
        <f>M441 * (0.00400000 / 12) * 1.0</f>
        <v/>
      </c>
      <c r="O441" s="25">
        <f>M441 * (0.00500000 / 12) * 1.0</f>
        <v/>
      </c>
      <c r="P441" s="25">
        <f>Y441</f>
        <v/>
      </c>
      <c r="Q441" s="25">
        <f>MAX(0, M441 - N441 - O441 - P441)</f>
        <v/>
      </c>
      <c r="R441" s="25" t="n">
        <v>0</v>
      </c>
      <c r="S441" s="25" t="n">
        <v>0</v>
      </c>
      <c r="T441" s="25" t="n">
        <v>0</v>
      </c>
      <c r="U441" s="25" t="n">
        <v>0</v>
      </c>
      <c r="V441" s="25" t="n">
        <v>0</v>
      </c>
      <c r="W441" s="25" t="n">
        <v>0</v>
      </c>
      <c r="X441" s="25" t="n">
        <v>0</v>
      </c>
      <c r="Y441" s="25">
        <f>X441 / 12</f>
        <v/>
      </c>
      <c r="Z441" s="17" t="n">
        <v>-259</v>
      </c>
      <c r="AA441" s="25">
        <f>I441</f>
        <v/>
      </c>
      <c r="AB441" s="25">
        <f>Q441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 t="n">
        <v>0</v>
      </c>
      <c r="J442" s="19">
        <f>I442 * (0.01000000 / 12)</f>
        <v/>
      </c>
      <c r="K442" s="19">
        <f>(I442 - J442) * (0.00664805 / 12) * 1.0</f>
        <v/>
      </c>
      <c r="L442" s="19" t="n">
        <v>0</v>
      </c>
      <c r="M442" s="24">
        <f>(I442 - J442) - K442 + L442</f>
        <v/>
      </c>
      <c r="N442" s="24">
        <f>M442 * (0.00400000 / 12) * 1.0</f>
        <v/>
      </c>
      <c r="O442" s="24">
        <f>M442 * (0.00500000 / 12) * 1.0</f>
        <v/>
      </c>
      <c r="P442" s="24">
        <f>Y442</f>
        <v/>
      </c>
      <c r="Q442" s="24">
        <f>MAX(0, M442 - N442 - O442 - P442)</f>
        <v/>
      </c>
      <c r="R442" s="24" t="n">
        <v>0</v>
      </c>
      <c r="S442" s="24" t="n">
        <v>0</v>
      </c>
      <c r="T442" s="24" t="n">
        <v>0</v>
      </c>
      <c r="U442" s="24" t="n">
        <v>0</v>
      </c>
      <c r="V442" s="24" t="n">
        <v>0</v>
      </c>
      <c r="W442" s="24" t="n">
        <v>0</v>
      </c>
      <c r="X442" s="24" t="n">
        <v>0</v>
      </c>
      <c r="Y442" s="24">
        <f>X442 / 12</f>
        <v/>
      </c>
      <c r="Z442" s="15" t="n">
        <v>-260</v>
      </c>
      <c r="AA442" s="24">
        <f>I442</f>
        <v/>
      </c>
      <c r="AB442" s="24">
        <f>Q442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 t="n">
        <v>0</v>
      </c>
      <c r="J443" s="21">
        <f>I443 * (0.01000000 / 12)</f>
        <v/>
      </c>
      <c r="K443" s="21">
        <f>(I443 - J443) * (0.00664805 / 12) * 1.0</f>
        <v/>
      </c>
      <c r="L443" s="21" t="n">
        <v>0</v>
      </c>
      <c r="M443" s="25">
        <f>(I443 - J443) - K443 + L443</f>
        <v/>
      </c>
      <c r="N443" s="25">
        <f>M443 * (0.00400000 / 12) * 1.0</f>
        <v/>
      </c>
      <c r="O443" s="25">
        <f>M443 * (0.00500000 / 12) * 1.0</f>
        <v/>
      </c>
      <c r="P443" s="25">
        <f>Y443</f>
        <v/>
      </c>
      <c r="Q443" s="25">
        <f>MAX(0, M443 - N443 - O443 - P443)</f>
        <v/>
      </c>
      <c r="R443" s="25" t="n">
        <v>0</v>
      </c>
      <c r="S443" s="25" t="n">
        <v>0</v>
      </c>
      <c r="T443" s="25" t="n">
        <v>0</v>
      </c>
      <c r="U443" s="25" t="n">
        <v>0</v>
      </c>
      <c r="V443" s="25" t="n">
        <v>0</v>
      </c>
      <c r="W443" s="25" t="n">
        <v>0</v>
      </c>
      <c r="X443" s="25" t="n">
        <v>0</v>
      </c>
      <c r="Y443" s="25">
        <f>X443 / 12</f>
        <v/>
      </c>
      <c r="Z443" s="17" t="n">
        <v>-261</v>
      </c>
      <c r="AA443" s="25">
        <f>I443</f>
        <v/>
      </c>
      <c r="AB443" s="25">
        <f>Q443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 t="n">
        <v>0</v>
      </c>
      <c r="J444" s="19">
        <f>I444 * (0.01000000 / 12)</f>
        <v/>
      </c>
      <c r="K444" s="19">
        <f>(I444 - J444) * (0.00664805 / 12) * 1.0</f>
        <v/>
      </c>
      <c r="L444" s="19" t="n">
        <v>0</v>
      </c>
      <c r="M444" s="24">
        <f>(I444 - J444) - K444 + L444</f>
        <v/>
      </c>
      <c r="N444" s="24">
        <f>M444 * (0.00400000 / 12) * 1.0</f>
        <v/>
      </c>
      <c r="O444" s="24">
        <f>M444 * (0.00500000 / 12) * 1.0</f>
        <v/>
      </c>
      <c r="P444" s="24">
        <f>Y444</f>
        <v/>
      </c>
      <c r="Q444" s="24">
        <f>MAX(0, M444 - N444 - O444 - P444)</f>
        <v/>
      </c>
      <c r="R444" s="24" t="n">
        <v>0</v>
      </c>
      <c r="S444" s="24" t="n">
        <v>0</v>
      </c>
      <c r="T444" s="24" t="n">
        <v>0</v>
      </c>
      <c r="U444" s="24" t="n">
        <v>0</v>
      </c>
      <c r="V444" s="24" t="n">
        <v>0</v>
      </c>
      <c r="W444" s="24" t="n">
        <v>0</v>
      </c>
      <c r="X444" s="24" t="n">
        <v>0</v>
      </c>
      <c r="Y444" s="24">
        <f>X444 / 12</f>
        <v/>
      </c>
      <c r="Z444" s="15" t="n">
        <v>-262</v>
      </c>
      <c r="AA444" s="24">
        <f>I444</f>
        <v/>
      </c>
      <c r="AB444" s="24">
        <f>Q444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 t="n">
        <v>0</v>
      </c>
      <c r="J445" s="21">
        <f>I445 * (0.01000000 / 12)</f>
        <v/>
      </c>
      <c r="K445" s="21">
        <f>(I445 - J445) * (0.00664805 / 12) * 1.0</f>
        <v/>
      </c>
      <c r="L445" s="21" t="n">
        <v>0</v>
      </c>
      <c r="M445" s="25">
        <f>(I445 - J445) - K445 + L445</f>
        <v/>
      </c>
      <c r="N445" s="25">
        <f>M445 * (0.00400000 / 12) * 1.0</f>
        <v/>
      </c>
      <c r="O445" s="25">
        <f>M445 * (0.00500000 / 12) * 1.0</f>
        <v/>
      </c>
      <c r="P445" s="25">
        <f>Y445</f>
        <v/>
      </c>
      <c r="Q445" s="25">
        <f>MAX(0, M445 - N445 - O445 - P445)</f>
        <v/>
      </c>
      <c r="R445" s="25" t="n">
        <v>0</v>
      </c>
      <c r="S445" s="25" t="n">
        <v>0</v>
      </c>
      <c r="T445" s="25" t="n">
        <v>0</v>
      </c>
      <c r="U445" s="25" t="n">
        <v>0</v>
      </c>
      <c r="V445" s="25" t="n">
        <v>0</v>
      </c>
      <c r="W445" s="25" t="n">
        <v>0</v>
      </c>
      <c r="X445" s="25" t="n">
        <v>0</v>
      </c>
      <c r="Y445" s="25">
        <f>X445 / 12</f>
        <v/>
      </c>
      <c r="Z445" s="17" t="n">
        <v>-263</v>
      </c>
      <c r="AA445" s="25">
        <f>I445</f>
        <v/>
      </c>
      <c r="AB445" s="25">
        <f>Q445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 t="n">
        <v>0</v>
      </c>
      <c r="J446" s="19">
        <f>I446 * (0.01000000 / 12)</f>
        <v/>
      </c>
      <c r="K446" s="19">
        <f>(I446 - J446) * (0.00664805 / 12) * 1.0</f>
        <v/>
      </c>
      <c r="L446" s="19" t="n">
        <v>0</v>
      </c>
      <c r="M446" s="24">
        <f>(I446 - J446) - K446 + L446</f>
        <v/>
      </c>
      <c r="N446" s="24">
        <f>M446 * (0.00400000 / 12) * 1.0</f>
        <v/>
      </c>
      <c r="O446" s="24">
        <f>M446 * (0.00500000 / 12) * 1.0</f>
        <v/>
      </c>
      <c r="P446" s="24">
        <f>Y446</f>
        <v/>
      </c>
      <c r="Q446" s="24">
        <f>MAX(0, M446 - N446 - O446 - P446)</f>
        <v/>
      </c>
      <c r="R446" s="24" t="n">
        <v>0</v>
      </c>
      <c r="S446" s="24" t="n">
        <v>0</v>
      </c>
      <c r="T446" s="24" t="n">
        <v>0</v>
      </c>
      <c r="U446" s="24" t="n">
        <v>0</v>
      </c>
      <c r="V446" s="24" t="n">
        <v>0</v>
      </c>
      <c r="W446" s="24" t="n">
        <v>0</v>
      </c>
      <c r="X446" s="24" t="n">
        <v>0</v>
      </c>
      <c r="Y446" s="24">
        <f>X446 / 12</f>
        <v/>
      </c>
      <c r="Z446" s="15" t="n">
        <v>-264</v>
      </c>
      <c r="AA446" s="24">
        <f>I446</f>
        <v/>
      </c>
      <c r="AB446" s="24">
        <f>Q446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 t="n">
        <v>0</v>
      </c>
      <c r="J447" s="21">
        <f>I447 * (0.01000000 / 12)</f>
        <v/>
      </c>
      <c r="K447" s="21">
        <f>(I447 - J447) * (0.00664805 / 12) * 1.0</f>
        <v/>
      </c>
      <c r="L447" s="21" t="n">
        <v>0</v>
      </c>
      <c r="M447" s="25">
        <f>(I447 - J447) - K447 + L447</f>
        <v/>
      </c>
      <c r="N447" s="25">
        <f>M447 * (0.00400000 / 12) * 1.0</f>
        <v/>
      </c>
      <c r="O447" s="25">
        <f>M447 * (0.00500000 / 12) * 1.0</f>
        <v/>
      </c>
      <c r="P447" s="25">
        <f>Y447</f>
        <v/>
      </c>
      <c r="Q447" s="25">
        <f>MAX(0, M447 - N447 - O447 - P447)</f>
        <v/>
      </c>
      <c r="R447" s="25" t="n">
        <v>0</v>
      </c>
      <c r="S447" s="25" t="n">
        <v>0</v>
      </c>
      <c r="T447" s="25" t="n">
        <v>0</v>
      </c>
      <c r="U447" s="25" t="n">
        <v>0</v>
      </c>
      <c r="V447" s="25" t="n">
        <v>0</v>
      </c>
      <c r="W447" s="25" t="n">
        <v>0</v>
      </c>
      <c r="X447" s="25" t="n">
        <v>0</v>
      </c>
      <c r="Y447" s="25">
        <f>X447 / 12</f>
        <v/>
      </c>
      <c r="Z447" s="17" t="n">
        <v>-265</v>
      </c>
      <c r="AA447" s="25">
        <f>I447</f>
        <v/>
      </c>
      <c r="AB447" s="25">
        <f>Q447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 t="n">
        <v>0</v>
      </c>
      <c r="J448" s="19">
        <f>I448 * (0.01000000 / 12)</f>
        <v/>
      </c>
      <c r="K448" s="19">
        <f>(I448 - J448) * (0.00664805 / 12) * 1.0</f>
        <v/>
      </c>
      <c r="L448" s="19" t="n">
        <v>0</v>
      </c>
      <c r="M448" s="24">
        <f>(I448 - J448) - K448 + L448</f>
        <v/>
      </c>
      <c r="N448" s="24">
        <f>M448 * (0.00400000 / 12) * 1.0</f>
        <v/>
      </c>
      <c r="O448" s="24">
        <f>M448 * (0.00500000 / 12) * 1.0</f>
        <v/>
      </c>
      <c r="P448" s="24">
        <f>Y448</f>
        <v/>
      </c>
      <c r="Q448" s="24">
        <f>MAX(0, M448 - N448 - O448 - P448)</f>
        <v/>
      </c>
      <c r="R448" s="24" t="n">
        <v>0</v>
      </c>
      <c r="S448" s="24" t="n">
        <v>0</v>
      </c>
      <c r="T448" s="24" t="n">
        <v>0</v>
      </c>
      <c r="U448" s="24" t="n">
        <v>0</v>
      </c>
      <c r="V448" s="24" t="n">
        <v>0</v>
      </c>
      <c r="W448" s="24" t="n">
        <v>0</v>
      </c>
      <c r="X448" s="24" t="n">
        <v>0</v>
      </c>
      <c r="Y448" s="24">
        <f>X448 / 12</f>
        <v/>
      </c>
      <c r="Z448" s="15" t="n">
        <v>-266</v>
      </c>
      <c r="AA448" s="24">
        <f>I448</f>
        <v/>
      </c>
      <c r="AB448" s="24">
        <f>Q448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 t="n">
        <v>0</v>
      </c>
      <c r="J449" s="21">
        <f>I449 * (0.01000000 / 12)</f>
        <v/>
      </c>
      <c r="K449" s="21">
        <f>(I449 - J449) * (0.00664805 / 12) * 1.0</f>
        <v/>
      </c>
      <c r="L449" s="21" t="n">
        <v>0</v>
      </c>
      <c r="M449" s="25">
        <f>(I449 - J449) - K449 + L449</f>
        <v/>
      </c>
      <c r="N449" s="25">
        <f>M449 * (0.00400000 / 12) * 1.0</f>
        <v/>
      </c>
      <c r="O449" s="25">
        <f>M449 * (0.00500000 / 12) * 1.0</f>
        <v/>
      </c>
      <c r="P449" s="25">
        <f>Y449</f>
        <v/>
      </c>
      <c r="Q449" s="25">
        <f>MAX(0, M449 - N449 - O449 - P449)</f>
        <v/>
      </c>
      <c r="R449" s="25" t="n">
        <v>0</v>
      </c>
      <c r="S449" s="25" t="n">
        <v>0</v>
      </c>
      <c r="T449" s="25" t="n">
        <v>0</v>
      </c>
      <c r="U449" s="25" t="n">
        <v>0</v>
      </c>
      <c r="V449" s="25" t="n">
        <v>0</v>
      </c>
      <c r="W449" s="25" t="n">
        <v>0</v>
      </c>
      <c r="X449" s="25" t="n">
        <v>0</v>
      </c>
      <c r="Y449" s="25">
        <f>X449 / 12</f>
        <v/>
      </c>
      <c r="Z449" s="17" t="n">
        <v>-267</v>
      </c>
      <c r="AA449" s="25">
        <f>I449</f>
        <v/>
      </c>
      <c r="AB449" s="25">
        <f>Q449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 t="n">
        <v>0</v>
      </c>
      <c r="J450" s="19">
        <f>I450 * (0.01000000 / 12)</f>
        <v/>
      </c>
      <c r="K450" s="19">
        <f>(I450 - J450) * (0.00664805 / 12) * 1.0</f>
        <v/>
      </c>
      <c r="L450" s="19" t="n">
        <v>0</v>
      </c>
      <c r="M450" s="24">
        <f>(I450 - J450) - K450 + L450</f>
        <v/>
      </c>
      <c r="N450" s="24">
        <f>M450 * (0.00400000 / 12) * 1.0</f>
        <v/>
      </c>
      <c r="O450" s="24">
        <f>M450 * (0.00500000 / 12) * 1.0</f>
        <v/>
      </c>
      <c r="P450" s="24">
        <f>Y450</f>
        <v/>
      </c>
      <c r="Q450" s="24">
        <f>MAX(0, M450 - N450 - O450 - P450)</f>
        <v/>
      </c>
      <c r="R450" s="24" t="n">
        <v>0</v>
      </c>
      <c r="S450" s="24" t="n">
        <v>0</v>
      </c>
      <c r="T450" s="24" t="n">
        <v>0</v>
      </c>
      <c r="U450" s="24" t="n">
        <v>0</v>
      </c>
      <c r="V450" s="24" t="n">
        <v>0</v>
      </c>
      <c r="W450" s="24" t="n">
        <v>0</v>
      </c>
      <c r="X450" s="24" t="n">
        <v>0</v>
      </c>
      <c r="Y450" s="24">
        <f>X450 / 12</f>
        <v/>
      </c>
      <c r="Z450" s="15" t="n">
        <v>-268</v>
      </c>
      <c r="AA450" s="24">
        <f>I450</f>
        <v/>
      </c>
      <c r="AB450" s="24">
        <f>Q450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 t="n">
        <v>0</v>
      </c>
      <c r="J451" s="21">
        <f>I451 * (0.01000000 / 12)</f>
        <v/>
      </c>
      <c r="K451" s="21">
        <f>(I451 - J451) * (0.00664805 / 12) * 1.0</f>
        <v/>
      </c>
      <c r="L451" s="21" t="n">
        <v>0</v>
      </c>
      <c r="M451" s="25">
        <f>(I451 - J451) - K451 + L451</f>
        <v/>
      </c>
      <c r="N451" s="25">
        <f>M451 * (0.00400000 / 12) * 1.0</f>
        <v/>
      </c>
      <c r="O451" s="25">
        <f>M451 * (0.00500000 / 12) * 1.0</f>
        <v/>
      </c>
      <c r="P451" s="25">
        <f>Y451</f>
        <v/>
      </c>
      <c r="Q451" s="25">
        <f>MAX(0, M451 - N451 - O451 - P451)</f>
        <v/>
      </c>
      <c r="R451" s="25" t="n">
        <v>0</v>
      </c>
      <c r="S451" s="25" t="n">
        <v>0</v>
      </c>
      <c r="T451" s="25" t="n">
        <v>0</v>
      </c>
      <c r="U451" s="25" t="n">
        <v>0</v>
      </c>
      <c r="V451" s="25" t="n">
        <v>0</v>
      </c>
      <c r="W451" s="25" t="n">
        <v>0</v>
      </c>
      <c r="X451" s="25" t="n">
        <v>0</v>
      </c>
      <c r="Y451" s="25">
        <f>X451 / 12</f>
        <v/>
      </c>
      <c r="Z451" s="17" t="n">
        <v>-269</v>
      </c>
      <c r="AA451" s="25">
        <f>I451</f>
        <v/>
      </c>
      <c r="AB451" s="25">
        <f>Q451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 t="n">
        <v>0</v>
      </c>
      <c r="J452" s="19">
        <f>I452 * (0.01000000 / 12)</f>
        <v/>
      </c>
      <c r="K452" s="19">
        <f>(I452 - J452) * (0.00664805 / 12) * 1.0</f>
        <v/>
      </c>
      <c r="L452" s="19" t="n">
        <v>0</v>
      </c>
      <c r="M452" s="24">
        <f>(I452 - J452) - K452 + L452</f>
        <v/>
      </c>
      <c r="N452" s="24">
        <f>M452 * (0.00400000 / 12) * 1.0</f>
        <v/>
      </c>
      <c r="O452" s="24">
        <f>M452 * (0.00500000 / 12) * 1.0</f>
        <v/>
      </c>
      <c r="P452" s="24">
        <f>Y452</f>
        <v/>
      </c>
      <c r="Q452" s="24">
        <f>MAX(0, M452 - N452 - O452 - P452)</f>
        <v/>
      </c>
      <c r="R452" s="24" t="n">
        <v>0</v>
      </c>
      <c r="S452" s="24" t="n">
        <v>0</v>
      </c>
      <c r="T452" s="24" t="n">
        <v>0</v>
      </c>
      <c r="U452" s="24" t="n">
        <v>0</v>
      </c>
      <c r="V452" s="24" t="n">
        <v>0</v>
      </c>
      <c r="W452" s="24" t="n">
        <v>0</v>
      </c>
      <c r="X452" s="24" t="n">
        <v>0</v>
      </c>
      <c r="Y452" s="24">
        <f>X452 / 12</f>
        <v/>
      </c>
      <c r="Z452" s="15" t="n">
        <v>-270</v>
      </c>
      <c r="AA452" s="24">
        <f>I452</f>
        <v/>
      </c>
      <c r="AB452" s="24">
        <f>Q452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 t="n">
        <v>0</v>
      </c>
      <c r="J453" s="21">
        <f>I453 * (0.01000000 / 12)</f>
        <v/>
      </c>
      <c r="K453" s="21">
        <f>(I453 - J453) * (0.00664805 / 12) * 1.0</f>
        <v/>
      </c>
      <c r="L453" s="21" t="n">
        <v>0</v>
      </c>
      <c r="M453" s="25">
        <f>(I453 - J453) - K453 + L453</f>
        <v/>
      </c>
      <c r="N453" s="25">
        <f>M453 * (0.00400000 / 12) * 1.0</f>
        <v/>
      </c>
      <c r="O453" s="25">
        <f>M453 * (0.00500000 / 12) * 1.0</f>
        <v/>
      </c>
      <c r="P453" s="25">
        <f>Y453</f>
        <v/>
      </c>
      <c r="Q453" s="25">
        <f>MAX(0, M453 - N453 - O453 - P453)</f>
        <v/>
      </c>
      <c r="R453" s="25" t="n">
        <v>0</v>
      </c>
      <c r="S453" s="25" t="n">
        <v>0</v>
      </c>
      <c r="T453" s="25" t="n">
        <v>0</v>
      </c>
      <c r="U453" s="25" t="n">
        <v>0</v>
      </c>
      <c r="V453" s="25" t="n">
        <v>0</v>
      </c>
      <c r="W453" s="25" t="n">
        <v>0</v>
      </c>
      <c r="X453" s="25" t="n">
        <v>0</v>
      </c>
      <c r="Y453" s="25">
        <f>X453 / 12</f>
        <v/>
      </c>
      <c r="Z453" s="17" t="n">
        <v>-271</v>
      </c>
      <c r="AA453" s="25">
        <f>I453</f>
        <v/>
      </c>
      <c r="AB453" s="25">
        <f>Q453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 t="n">
        <v>0</v>
      </c>
      <c r="J454" s="19">
        <f>I454 * (0.01000000 / 12)</f>
        <v/>
      </c>
      <c r="K454" s="19">
        <f>(I454 - J454) * (0.00664805 / 12) * 1.0</f>
        <v/>
      </c>
      <c r="L454" s="19" t="n">
        <v>0</v>
      </c>
      <c r="M454" s="24">
        <f>(I454 - J454) - K454 + L454</f>
        <v/>
      </c>
      <c r="N454" s="24">
        <f>M454 * (0.00400000 / 12) * 1.0</f>
        <v/>
      </c>
      <c r="O454" s="24">
        <f>M454 * (0.00500000 / 12) * 1.0</f>
        <v/>
      </c>
      <c r="P454" s="24">
        <f>Y454</f>
        <v/>
      </c>
      <c r="Q454" s="24">
        <f>MAX(0, M454 - N454 - O454 - P454)</f>
        <v/>
      </c>
      <c r="R454" s="24" t="n">
        <v>0</v>
      </c>
      <c r="S454" s="24" t="n">
        <v>0</v>
      </c>
      <c r="T454" s="24" t="n">
        <v>0</v>
      </c>
      <c r="U454" s="24" t="n">
        <v>0</v>
      </c>
      <c r="V454" s="24" t="n">
        <v>0</v>
      </c>
      <c r="W454" s="24" t="n">
        <v>0</v>
      </c>
      <c r="X454" s="24" t="n">
        <v>0</v>
      </c>
      <c r="Y454" s="24">
        <f>X454 / 12</f>
        <v/>
      </c>
      <c r="Z454" s="15" t="n">
        <v>-272</v>
      </c>
      <c r="AA454" s="24">
        <f>I454</f>
        <v/>
      </c>
      <c r="AB454" s="24">
        <f>Q454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 t="n">
        <v>0</v>
      </c>
      <c r="J455" s="21">
        <f>I455 * (0.01000000 / 12)</f>
        <v/>
      </c>
      <c r="K455" s="21">
        <f>(I455 - J455) * (0.00664805 / 12) * 1.0</f>
        <v/>
      </c>
      <c r="L455" s="21" t="n">
        <v>0</v>
      </c>
      <c r="M455" s="25">
        <f>(I455 - J455) - K455 + L455</f>
        <v/>
      </c>
      <c r="N455" s="25">
        <f>M455 * (0.00400000 / 12) * 1.0</f>
        <v/>
      </c>
      <c r="O455" s="25">
        <f>M455 * (0.00500000 / 12) * 1.0</f>
        <v/>
      </c>
      <c r="P455" s="25">
        <f>Y455</f>
        <v/>
      </c>
      <c r="Q455" s="25">
        <f>MAX(0, M455 - N455 - O455 - P455)</f>
        <v/>
      </c>
      <c r="R455" s="25" t="n">
        <v>0</v>
      </c>
      <c r="S455" s="25" t="n">
        <v>0</v>
      </c>
      <c r="T455" s="25" t="n">
        <v>0</v>
      </c>
      <c r="U455" s="25" t="n">
        <v>0</v>
      </c>
      <c r="V455" s="25" t="n">
        <v>0</v>
      </c>
      <c r="W455" s="25" t="n">
        <v>0</v>
      </c>
      <c r="X455" s="25" t="n">
        <v>0</v>
      </c>
      <c r="Y455" s="25">
        <f>X455 / 12</f>
        <v/>
      </c>
      <c r="Z455" s="17" t="n">
        <v>-273</v>
      </c>
      <c r="AA455" s="25">
        <f>I455</f>
        <v/>
      </c>
      <c r="AB455" s="25">
        <f>Q455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 t="n">
        <v>0</v>
      </c>
      <c r="J456" s="19">
        <f>I456 * (0.01000000 / 12)</f>
        <v/>
      </c>
      <c r="K456" s="19">
        <f>(I456 - J456) * (0.00664805 / 12) * 1.0</f>
        <v/>
      </c>
      <c r="L456" s="19" t="n">
        <v>0</v>
      </c>
      <c r="M456" s="24">
        <f>(I456 - J456) - K456 + L456</f>
        <v/>
      </c>
      <c r="N456" s="24">
        <f>M456 * (0.00400000 / 12) * 1.0</f>
        <v/>
      </c>
      <c r="O456" s="24">
        <f>M456 * (0.00500000 / 12) * 1.0</f>
        <v/>
      </c>
      <c r="P456" s="24">
        <f>Y456</f>
        <v/>
      </c>
      <c r="Q456" s="24">
        <f>MAX(0, M456 - N456 - O456 - P456)</f>
        <v/>
      </c>
      <c r="R456" s="24" t="n">
        <v>0</v>
      </c>
      <c r="S456" s="24" t="n">
        <v>0</v>
      </c>
      <c r="T456" s="24" t="n">
        <v>0</v>
      </c>
      <c r="U456" s="24" t="n">
        <v>0</v>
      </c>
      <c r="V456" s="24" t="n">
        <v>0</v>
      </c>
      <c r="W456" s="24" t="n">
        <v>0</v>
      </c>
      <c r="X456" s="24" t="n">
        <v>0</v>
      </c>
      <c r="Y456" s="24">
        <f>X456 / 12</f>
        <v/>
      </c>
      <c r="Z456" s="15" t="n">
        <v>-274</v>
      </c>
      <c r="AA456" s="24">
        <f>I456</f>
        <v/>
      </c>
      <c r="AB456" s="24">
        <f>Q456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 t="n">
        <v>0</v>
      </c>
      <c r="J457" s="21">
        <f>I457 * (0.01000000 / 12)</f>
        <v/>
      </c>
      <c r="K457" s="21">
        <f>(I457 - J457) * (0.00664805 / 12) * 1.0</f>
        <v/>
      </c>
      <c r="L457" s="21" t="n">
        <v>0</v>
      </c>
      <c r="M457" s="25">
        <f>(I457 - J457) - K457 + L457</f>
        <v/>
      </c>
      <c r="N457" s="25">
        <f>M457 * (0.00400000 / 12) * 1.0</f>
        <v/>
      </c>
      <c r="O457" s="25">
        <f>M457 * (0.00500000 / 12) * 1.0</f>
        <v/>
      </c>
      <c r="P457" s="25">
        <f>Y457</f>
        <v/>
      </c>
      <c r="Q457" s="25">
        <f>MAX(0, M457 - N457 - O457 - P457)</f>
        <v/>
      </c>
      <c r="R457" s="25" t="n">
        <v>0</v>
      </c>
      <c r="S457" s="25" t="n">
        <v>0</v>
      </c>
      <c r="T457" s="25" t="n">
        <v>0</v>
      </c>
      <c r="U457" s="25" t="n">
        <v>0</v>
      </c>
      <c r="V457" s="25" t="n">
        <v>0</v>
      </c>
      <c r="W457" s="25" t="n">
        <v>0</v>
      </c>
      <c r="X457" s="25" t="n">
        <v>0</v>
      </c>
      <c r="Y457" s="25">
        <f>X457 / 12</f>
        <v/>
      </c>
      <c r="Z457" s="17" t="n">
        <v>-275</v>
      </c>
      <c r="AA457" s="25">
        <f>I457</f>
        <v/>
      </c>
      <c r="AB457" s="25">
        <f>Q457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 t="n">
        <v>0</v>
      </c>
      <c r="J458" s="19">
        <f>I458 * (0.01000000 / 12)</f>
        <v/>
      </c>
      <c r="K458" s="19">
        <f>(I458 - J458) * (0.00664805 / 12) * 1.0</f>
        <v/>
      </c>
      <c r="L458" s="19" t="n">
        <v>0</v>
      </c>
      <c r="M458" s="24">
        <f>(I458 - J458) - K458 + L458</f>
        <v/>
      </c>
      <c r="N458" s="24">
        <f>M458 * (0.00400000 / 12) * 1.0</f>
        <v/>
      </c>
      <c r="O458" s="24">
        <f>M458 * (0.00500000 / 12) * 1.0</f>
        <v/>
      </c>
      <c r="P458" s="24">
        <f>Y458</f>
        <v/>
      </c>
      <c r="Q458" s="24">
        <f>MAX(0, M458 - N458 - O458 - P458)</f>
        <v/>
      </c>
      <c r="R458" s="24" t="n">
        <v>0</v>
      </c>
      <c r="S458" s="24" t="n">
        <v>0</v>
      </c>
      <c r="T458" s="24" t="n">
        <v>0</v>
      </c>
      <c r="U458" s="24" t="n">
        <v>0</v>
      </c>
      <c r="V458" s="24" t="n">
        <v>0</v>
      </c>
      <c r="W458" s="24" t="n">
        <v>0</v>
      </c>
      <c r="X458" s="24" t="n">
        <v>0</v>
      </c>
      <c r="Y458" s="24">
        <f>X458 / 12</f>
        <v/>
      </c>
      <c r="Z458" s="15" t="n">
        <v>-276</v>
      </c>
      <c r="AA458" s="24">
        <f>I458</f>
        <v/>
      </c>
      <c r="AB458" s="24">
        <f>Q458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 t="n">
        <v>0</v>
      </c>
      <c r="J459" s="21">
        <f>I459 * (0.01000000 / 12)</f>
        <v/>
      </c>
      <c r="K459" s="21">
        <f>(I459 - J459) * (0.00664805 / 12) * 1.0</f>
        <v/>
      </c>
      <c r="L459" s="21" t="n">
        <v>0</v>
      </c>
      <c r="M459" s="25">
        <f>(I459 - J459) - K459 + L459</f>
        <v/>
      </c>
      <c r="N459" s="25">
        <f>M459 * (0.00400000 / 12) * 1.0</f>
        <v/>
      </c>
      <c r="O459" s="25">
        <f>M459 * (0.00500000 / 12) * 1.0</f>
        <v/>
      </c>
      <c r="P459" s="25">
        <f>Y459</f>
        <v/>
      </c>
      <c r="Q459" s="25">
        <f>MAX(0, M459 - N459 - O459 - P459)</f>
        <v/>
      </c>
      <c r="R459" s="25" t="n">
        <v>0</v>
      </c>
      <c r="S459" s="25" t="n">
        <v>0</v>
      </c>
      <c r="T459" s="25" t="n">
        <v>0</v>
      </c>
      <c r="U459" s="25" t="n">
        <v>0</v>
      </c>
      <c r="V459" s="25" t="n">
        <v>0</v>
      </c>
      <c r="W459" s="25" t="n">
        <v>0</v>
      </c>
      <c r="X459" s="25" t="n">
        <v>0</v>
      </c>
      <c r="Y459" s="25">
        <f>X459 / 12</f>
        <v/>
      </c>
      <c r="Z459" s="17" t="n">
        <v>-277</v>
      </c>
      <c r="AA459" s="25">
        <f>I459</f>
        <v/>
      </c>
      <c r="AB459" s="25">
        <f>Q459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 t="n">
        <v>0</v>
      </c>
      <c r="J460" s="19">
        <f>I460 * (0.01000000 / 12)</f>
        <v/>
      </c>
      <c r="K460" s="19">
        <f>(I460 - J460) * (0.00664805 / 12) * 1.0</f>
        <v/>
      </c>
      <c r="L460" s="19" t="n">
        <v>0</v>
      </c>
      <c r="M460" s="24">
        <f>(I460 - J460) - K460 + L460</f>
        <v/>
      </c>
      <c r="N460" s="24">
        <f>M460 * (0.00400000 / 12) * 1.0</f>
        <v/>
      </c>
      <c r="O460" s="24">
        <f>M460 * (0.00500000 / 12) * 1.0</f>
        <v/>
      </c>
      <c r="P460" s="24">
        <f>Y460</f>
        <v/>
      </c>
      <c r="Q460" s="24">
        <f>MAX(0, M460 - N460 - O460 - P460)</f>
        <v/>
      </c>
      <c r="R460" s="24" t="n">
        <v>0</v>
      </c>
      <c r="S460" s="24" t="n">
        <v>0</v>
      </c>
      <c r="T460" s="24" t="n">
        <v>0</v>
      </c>
      <c r="U460" s="24" t="n">
        <v>0</v>
      </c>
      <c r="V460" s="24" t="n">
        <v>0</v>
      </c>
      <c r="W460" s="24" t="n">
        <v>0</v>
      </c>
      <c r="X460" s="24" t="n">
        <v>0</v>
      </c>
      <c r="Y460" s="24">
        <f>X460 / 12</f>
        <v/>
      </c>
      <c r="Z460" s="15" t="n">
        <v>-278</v>
      </c>
      <c r="AA460" s="24">
        <f>I460</f>
        <v/>
      </c>
      <c r="AB460" s="24">
        <f>Q460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 t="n">
        <v>0</v>
      </c>
      <c r="J461" s="21">
        <f>I461 * (0.01000000 / 12)</f>
        <v/>
      </c>
      <c r="K461" s="21">
        <f>(I461 - J461) * (0.00664805 / 12) * 1.0</f>
        <v/>
      </c>
      <c r="L461" s="21" t="n">
        <v>0</v>
      </c>
      <c r="M461" s="25">
        <f>(I461 - J461) - K461 + L461</f>
        <v/>
      </c>
      <c r="N461" s="25">
        <f>M461 * (0.00400000 / 12) * 1.0</f>
        <v/>
      </c>
      <c r="O461" s="25">
        <f>M461 * (0.00500000 / 12) * 1.0</f>
        <v/>
      </c>
      <c r="P461" s="25">
        <f>Y461</f>
        <v/>
      </c>
      <c r="Q461" s="25">
        <f>MAX(0, M461 - N461 - O461 - P461)</f>
        <v/>
      </c>
      <c r="R461" s="25" t="n">
        <v>0</v>
      </c>
      <c r="S461" s="25" t="n">
        <v>0</v>
      </c>
      <c r="T461" s="25" t="n">
        <v>0</v>
      </c>
      <c r="U461" s="25" t="n">
        <v>0</v>
      </c>
      <c r="V461" s="25" t="n">
        <v>0</v>
      </c>
      <c r="W461" s="25" t="n">
        <v>0</v>
      </c>
      <c r="X461" s="25" t="n">
        <v>0</v>
      </c>
      <c r="Y461" s="25">
        <f>X461 / 12</f>
        <v/>
      </c>
      <c r="Z461" s="17" t="n">
        <v>-279</v>
      </c>
      <c r="AA461" s="25">
        <f>I461</f>
        <v/>
      </c>
      <c r="AB461" s="25">
        <f>Q461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 t="n">
        <v>0</v>
      </c>
      <c r="J462" s="19">
        <f>I462 * (0.01000000 / 12)</f>
        <v/>
      </c>
      <c r="K462" s="19">
        <f>(I462 - J462) * (0.00664805 / 12) * 1.0</f>
        <v/>
      </c>
      <c r="L462" s="19" t="n">
        <v>0</v>
      </c>
      <c r="M462" s="24">
        <f>(I462 - J462) - K462 + L462</f>
        <v/>
      </c>
      <c r="N462" s="24">
        <f>M462 * (0.00400000 / 12) * 1.0</f>
        <v/>
      </c>
      <c r="O462" s="24">
        <f>M462 * (0.00500000 / 12) * 1.0</f>
        <v/>
      </c>
      <c r="P462" s="24">
        <f>Y462</f>
        <v/>
      </c>
      <c r="Q462" s="24">
        <f>MAX(0, M462 - N462 - O462 - P462)</f>
        <v/>
      </c>
      <c r="R462" s="24" t="n">
        <v>0</v>
      </c>
      <c r="S462" s="24" t="n">
        <v>0</v>
      </c>
      <c r="T462" s="24" t="n">
        <v>0</v>
      </c>
      <c r="U462" s="24" t="n">
        <v>0</v>
      </c>
      <c r="V462" s="24" t="n">
        <v>0</v>
      </c>
      <c r="W462" s="24" t="n">
        <v>0</v>
      </c>
      <c r="X462" s="24" t="n">
        <v>0</v>
      </c>
      <c r="Y462" s="24">
        <f>X462 / 12</f>
        <v/>
      </c>
      <c r="Z462" s="15" t="n">
        <v>-280</v>
      </c>
      <c r="AA462" s="24">
        <f>I462</f>
        <v/>
      </c>
      <c r="AB462" s="24">
        <f>Q462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 t="n">
        <v>0</v>
      </c>
      <c r="J463" s="21">
        <f>I463 * (0.01000000 / 12)</f>
        <v/>
      </c>
      <c r="K463" s="21">
        <f>(I463 - J463) * (0.00664805 / 12) * 1.0</f>
        <v/>
      </c>
      <c r="L463" s="21" t="n">
        <v>0</v>
      </c>
      <c r="M463" s="25">
        <f>(I463 - J463) - K463 + L463</f>
        <v/>
      </c>
      <c r="N463" s="25">
        <f>M463 * (0.00400000 / 12) * 1.0</f>
        <v/>
      </c>
      <c r="O463" s="25">
        <f>M463 * (0.00500000 / 12) * 1.0</f>
        <v/>
      </c>
      <c r="P463" s="25">
        <f>Y463</f>
        <v/>
      </c>
      <c r="Q463" s="25">
        <f>MAX(0, M463 - N463 - O463 - P463)</f>
        <v/>
      </c>
      <c r="R463" s="25" t="n">
        <v>0</v>
      </c>
      <c r="S463" s="25" t="n">
        <v>0</v>
      </c>
      <c r="T463" s="25" t="n">
        <v>0</v>
      </c>
      <c r="U463" s="25" t="n">
        <v>0</v>
      </c>
      <c r="V463" s="25" t="n">
        <v>0</v>
      </c>
      <c r="W463" s="25" t="n">
        <v>0</v>
      </c>
      <c r="X463" s="25" t="n">
        <v>0</v>
      </c>
      <c r="Y463" s="25">
        <f>X463 / 12</f>
        <v/>
      </c>
      <c r="Z463" s="17" t="n">
        <v>-281</v>
      </c>
      <c r="AA463" s="25">
        <f>I463</f>
        <v/>
      </c>
      <c r="AB463" s="25">
        <f>Q463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 t="n">
        <v>0</v>
      </c>
      <c r="J464" s="19">
        <f>I464 * (0.01000000 / 12)</f>
        <v/>
      </c>
      <c r="K464" s="19">
        <f>(I464 - J464) * (0.00664805 / 12) * 1.0</f>
        <v/>
      </c>
      <c r="L464" s="19" t="n">
        <v>0</v>
      </c>
      <c r="M464" s="24">
        <f>(I464 - J464) - K464 + L464</f>
        <v/>
      </c>
      <c r="N464" s="24">
        <f>M464 * (0.00400000 / 12) * 1.0</f>
        <v/>
      </c>
      <c r="O464" s="24">
        <f>M464 * (0.00500000 / 12) * 1.0</f>
        <v/>
      </c>
      <c r="P464" s="24">
        <f>Y464</f>
        <v/>
      </c>
      <c r="Q464" s="24">
        <f>MAX(0, M464 - N464 - O464 - P464)</f>
        <v/>
      </c>
      <c r="R464" s="24" t="n">
        <v>0</v>
      </c>
      <c r="S464" s="24" t="n">
        <v>0</v>
      </c>
      <c r="T464" s="24" t="n">
        <v>0</v>
      </c>
      <c r="U464" s="24" t="n">
        <v>0</v>
      </c>
      <c r="V464" s="24" t="n">
        <v>0</v>
      </c>
      <c r="W464" s="24" t="n">
        <v>0</v>
      </c>
      <c r="X464" s="24" t="n">
        <v>0</v>
      </c>
      <c r="Y464" s="24">
        <f>X464 / 12</f>
        <v/>
      </c>
      <c r="Z464" s="15" t="n">
        <v>-282</v>
      </c>
      <c r="AA464" s="24">
        <f>I464</f>
        <v/>
      </c>
      <c r="AB464" s="24">
        <f>Q464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 t="n">
        <v>0</v>
      </c>
      <c r="J465" s="21">
        <f>I465 * (0.01000000 / 12)</f>
        <v/>
      </c>
      <c r="K465" s="21">
        <f>(I465 - J465) * (0.00664805 / 12) * 1.0</f>
        <v/>
      </c>
      <c r="L465" s="21" t="n">
        <v>0</v>
      </c>
      <c r="M465" s="25">
        <f>(I465 - J465) - K465 + L465</f>
        <v/>
      </c>
      <c r="N465" s="25">
        <f>M465 * (0.00400000 / 12) * 1.0</f>
        <v/>
      </c>
      <c r="O465" s="25">
        <f>M465 * (0.00500000 / 12) * 1.0</f>
        <v/>
      </c>
      <c r="P465" s="25">
        <f>Y465</f>
        <v/>
      </c>
      <c r="Q465" s="25">
        <f>MAX(0, M465 - N465 - O465 - P465)</f>
        <v/>
      </c>
      <c r="R465" s="25" t="n">
        <v>0</v>
      </c>
      <c r="S465" s="25" t="n">
        <v>0</v>
      </c>
      <c r="T465" s="25" t="n">
        <v>0</v>
      </c>
      <c r="U465" s="25" t="n">
        <v>0</v>
      </c>
      <c r="V465" s="25" t="n">
        <v>0</v>
      </c>
      <c r="W465" s="25" t="n">
        <v>0</v>
      </c>
      <c r="X465" s="25" t="n">
        <v>0</v>
      </c>
      <c r="Y465" s="25">
        <f>X465 / 12</f>
        <v/>
      </c>
      <c r="Z465" s="17" t="n">
        <v>-283</v>
      </c>
      <c r="AA465" s="25">
        <f>I465</f>
        <v/>
      </c>
      <c r="AB465" s="25">
        <f>Q465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 t="n">
        <v>0</v>
      </c>
      <c r="J466" s="19">
        <f>I466 * (0.01000000 / 12)</f>
        <v/>
      </c>
      <c r="K466" s="19">
        <f>(I466 - J466) * (0.00664805 / 12) * 1.0</f>
        <v/>
      </c>
      <c r="L466" s="19" t="n">
        <v>0</v>
      </c>
      <c r="M466" s="24">
        <f>(I466 - J466) - K466 + L466</f>
        <v/>
      </c>
      <c r="N466" s="24">
        <f>M466 * (0.00400000 / 12) * 1.0</f>
        <v/>
      </c>
      <c r="O466" s="24">
        <f>M466 * (0.00500000 / 12) * 1.0</f>
        <v/>
      </c>
      <c r="P466" s="24">
        <f>Y466</f>
        <v/>
      </c>
      <c r="Q466" s="24">
        <f>MAX(0, M466 - N466 - O466 - P466)</f>
        <v/>
      </c>
      <c r="R466" s="24" t="n">
        <v>0</v>
      </c>
      <c r="S466" s="24" t="n">
        <v>0</v>
      </c>
      <c r="T466" s="24" t="n">
        <v>0</v>
      </c>
      <c r="U466" s="24" t="n">
        <v>0</v>
      </c>
      <c r="V466" s="24" t="n">
        <v>0</v>
      </c>
      <c r="W466" s="24" t="n">
        <v>0</v>
      </c>
      <c r="X466" s="24" t="n">
        <v>0</v>
      </c>
      <c r="Y466" s="24">
        <f>X466 / 12</f>
        <v/>
      </c>
      <c r="Z466" s="15" t="n">
        <v>-284</v>
      </c>
      <c r="AA466" s="24">
        <f>I466</f>
        <v/>
      </c>
      <c r="AB466" s="24">
        <f>Q466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 t="n">
        <v>0</v>
      </c>
      <c r="J467" s="21">
        <f>I467 * (0.01000000 / 12)</f>
        <v/>
      </c>
      <c r="K467" s="21">
        <f>(I467 - J467) * (0.00664805 / 12) * 1.0</f>
        <v/>
      </c>
      <c r="L467" s="21" t="n">
        <v>0</v>
      </c>
      <c r="M467" s="25">
        <f>(I467 - J467) - K467 + L467</f>
        <v/>
      </c>
      <c r="N467" s="25">
        <f>M467 * (0.00400000 / 12) * 1.0</f>
        <v/>
      </c>
      <c r="O467" s="25">
        <f>M467 * (0.00500000 / 12) * 1.0</f>
        <v/>
      </c>
      <c r="P467" s="25">
        <f>Y467</f>
        <v/>
      </c>
      <c r="Q467" s="25">
        <f>MAX(0, M467 - N467 - O467 - P467)</f>
        <v/>
      </c>
      <c r="R467" s="25" t="n">
        <v>0</v>
      </c>
      <c r="S467" s="25" t="n">
        <v>0</v>
      </c>
      <c r="T467" s="25" t="n">
        <v>0</v>
      </c>
      <c r="U467" s="25" t="n">
        <v>0</v>
      </c>
      <c r="V467" s="25" t="n">
        <v>0</v>
      </c>
      <c r="W467" s="25" t="n">
        <v>0</v>
      </c>
      <c r="X467" s="25" t="n">
        <v>0</v>
      </c>
      <c r="Y467" s="25">
        <f>X467 / 12</f>
        <v/>
      </c>
      <c r="Z467" s="17" t="n">
        <v>-285</v>
      </c>
      <c r="AA467" s="25">
        <f>I467</f>
        <v/>
      </c>
      <c r="AB467" s="25">
        <f>Q467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 t="n">
        <v>0</v>
      </c>
      <c r="J468" s="19">
        <f>I468 * (0.01000000 / 12)</f>
        <v/>
      </c>
      <c r="K468" s="19">
        <f>(I468 - J468) * (0.00664805 / 12) * 1.0</f>
        <v/>
      </c>
      <c r="L468" s="19" t="n">
        <v>0</v>
      </c>
      <c r="M468" s="24">
        <f>(I468 - J468) - K468 + L468</f>
        <v/>
      </c>
      <c r="N468" s="24">
        <f>M468 * (0.00400000 / 12) * 1.0</f>
        <v/>
      </c>
      <c r="O468" s="24">
        <f>M468 * (0.00500000 / 12) * 1.0</f>
        <v/>
      </c>
      <c r="P468" s="24">
        <f>Y468</f>
        <v/>
      </c>
      <c r="Q468" s="24">
        <f>MAX(0, M468 - N468 - O468 - P468)</f>
        <v/>
      </c>
      <c r="R468" s="24" t="n">
        <v>0</v>
      </c>
      <c r="S468" s="24" t="n">
        <v>0</v>
      </c>
      <c r="T468" s="24" t="n">
        <v>0</v>
      </c>
      <c r="U468" s="24" t="n">
        <v>0</v>
      </c>
      <c r="V468" s="24" t="n">
        <v>0</v>
      </c>
      <c r="W468" s="24" t="n">
        <v>0</v>
      </c>
      <c r="X468" s="24" t="n">
        <v>0</v>
      </c>
      <c r="Y468" s="24">
        <f>X468 / 12</f>
        <v/>
      </c>
      <c r="Z468" s="15" t="n">
        <v>-286</v>
      </c>
      <c r="AA468" s="24">
        <f>I468</f>
        <v/>
      </c>
      <c r="AB468" s="24">
        <f>Q468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 t="n">
        <v>0</v>
      </c>
      <c r="J469" s="21">
        <f>I469 * (0.01000000 / 12)</f>
        <v/>
      </c>
      <c r="K469" s="21">
        <f>(I469 - J469) * (0.00664805 / 12) * 1.0</f>
        <v/>
      </c>
      <c r="L469" s="21" t="n">
        <v>0</v>
      </c>
      <c r="M469" s="25">
        <f>(I469 - J469) - K469 + L469</f>
        <v/>
      </c>
      <c r="N469" s="25">
        <f>M469 * (0.00400000 / 12) * 1.0</f>
        <v/>
      </c>
      <c r="O469" s="25">
        <f>M469 * (0.00500000 / 12) * 1.0</f>
        <v/>
      </c>
      <c r="P469" s="25">
        <f>Y469</f>
        <v/>
      </c>
      <c r="Q469" s="25">
        <f>MAX(0, M469 - N469 - O469 - P469)</f>
        <v/>
      </c>
      <c r="R469" s="25" t="n">
        <v>0</v>
      </c>
      <c r="S469" s="25" t="n">
        <v>0</v>
      </c>
      <c r="T469" s="25" t="n">
        <v>0</v>
      </c>
      <c r="U469" s="25" t="n">
        <v>0</v>
      </c>
      <c r="V469" s="25" t="n">
        <v>0</v>
      </c>
      <c r="W469" s="25" t="n">
        <v>0</v>
      </c>
      <c r="X469" s="25" t="n">
        <v>0</v>
      </c>
      <c r="Y469" s="25">
        <f>X469 / 12</f>
        <v/>
      </c>
      <c r="Z469" s="17" t="n">
        <v>-287</v>
      </c>
      <c r="AA469" s="25">
        <f>I469</f>
        <v/>
      </c>
      <c r="AB469" s="25">
        <f>Q469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 t="n">
        <v>0</v>
      </c>
      <c r="J470" s="19">
        <f>I470 * (0.01000000 / 12)</f>
        <v/>
      </c>
      <c r="K470" s="19">
        <f>(I470 - J470) * (0.00664805 / 12) * 1.0</f>
        <v/>
      </c>
      <c r="L470" s="19" t="n">
        <v>0</v>
      </c>
      <c r="M470" s="24">
        <f>(I470 - J470) - K470 + L470</f>
        <v/>
      </c>
      <c r="N470" s="24">
        <f>M470 * (0.00400000 / 12) * 1.0</f>
        <v/>
      </c>
      <c r="O470" s="24">
        <f>M470 * (0.00500000 / 12) * 1.0</f>
        <v/>
      </c>
      <c r="P470" s="24">
        <f>Y470</f>
        <v/>
      </c>
      <c r="Q470" s="24">
        <f>MAX(0, M470 - N470 - O470 - P470)</f>
        <v/>
      </c>
      <c r="R470" s="24" t="n">
        <v>0</v>
      </c>
      <c r="S470" s="24" t="n">
        <v>0</v>
      </c>
      <c r="T470" s="24" t="n">
        <v>0</v>
      </c>
      <c r="U470" s="24" t="n">
        <v>0</v>
      </c>
      <c r="V470" s="24" t="n">
        <v>0</v>
      </c>
      <c r="W470" s="24" t="n">
        <v>0</v>
      </c>
      <c r="X470" s="24" t="n">
        <v>0</v>
      </c>
      <c r="Y470" s="24">
        <f>X470 / 12</f>
        <v/>
      </c>
      <c r="Z470" s="15" t="n">
        <v>-288</v>
      </c>
      <c r="AA470" s="24">
        <f>I470</f>
        <v/>
      </c>
      <c r="AB470" s="24">
        <f>Q470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 t="n">
        <v>0</v>
      </c>
      <c r="J471" s="21">
        <f>I471 * (0.01000000 / 12)</f>
        <v/>
      </c>
      <c r="K471" s="21">
        <f>(I471 - J471) * (0.00664805 / 12) * 1.0</f>
        <v/>
      </c>
      <c r="L471" s="21" t="n">
        <v>0</v>
      </c>
      <c r="M471" s="25">
        <f>(I471 - J471) - K471 + L471</f>
        <v/>
      </c>
      <c r="N471" s="25">
        <f>M471 * (0.00400000 / 12) * 1.0</f>
        <v/>
      </c>
      <c r="O471" s="25">
        <f>M471 * (0.00500000 / 12) * 1.0</f>
        <v/>
      </c>
      <c r="P471" s="25">
        <f>Y471</f>
        <v/>
      </c>
      <c r="Q471" s="25">
        <f>MAX(0, M471 - N471 - O471 - P471)</f>
        <v/>
      </c>
      <c r="R471" s="25" t="n">
        <v>0</v>
      </c>
      <c r="S471" s="25" t="n">
        <v>0</v>
      </c>
      <c r="T471" s="25" t="n">
        <v>0</v>
      </c>
      <c r="U471" s="25" t="n">
        <v>0</v>
      </c>
      <c r="V471" s="25" t="n">
        <v>0</v>
      </c>
      <c r="W471" s="25" t="n">
        <v>0</v>
      </c>
      <c r="X471" s="25" t="n">
        <v>0</v>
      </c>
      <c r="Y471" s="25">
        <f>X471 / 12</f>
        <v/>
      </c>
      <c r="Z471" s="17" t="n">
        <v>-289</v>
      </c>
      <c r="AA471" s="25">
        <f>I471</f>
        <v/>
      </c>
      <c r="AB471" s="25">
        <f>Q471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 t="n">
        <v>0</v>
      </c>
      <c r="J472" s="19">
        <f>I472 * (0.01000000 / 12)</f>
        <v/>
      </c>
      <c r="K472" s="19">
        <f>(I472 - J472) * (0.00664805 / 12) * 1.0</f>
        <v/>
      </c>
      <c r="L472" s="19" t="n">
        <v>0</v>
      </c>
      <c r="M472" s="24">
        <f>(I472 - J472) - K472 + L472</f>
        <v/>
      </c>
      <c r="N472" s="24">
        <f>M472 * (0.00400000 / 12) * 1.0</f>
        <v/>
      </c>
      <c r="O472" s="24">
        <f>M472 * (0.00500000 / 12) * 1.0</f>
        <v/>
      </c>
      <c r="P472" s="24">
        <f>Y472</f>
        <v/>
      </c>
      <c r="Q472" s="24">
        <f>MAX(0, M472 - N472 - O472 - P472)</f>
        <v/>
      </c>
      <c r="R472" s="24" t="n">
        <v>0</v>
      </c>
      <c r="S472" s="24" t="n">
        <v>0</v>
      </c>
      <c r="T472" s="24" t="n">
        <v>0</v>
      </c>
      <c r="U472" s="24" t="n">
        <v>0</v>
      </c>
      <c r="V472" s="24" t="n">
        <v>0</v>
      </c>
      <c r="W472" s="24" t="n">
        <v>0</v>
      </c>
      <c r="X472" s="24" t="n">
        <v>0</v>
      </c>
      <c r="Y472" s="24">
        <f>X472 / 12</f>
        <v/>
      </c>
      <c r="Z472" s="15" t="n">
        <v>-290</v>
      </c>
      <c r="AA472" s="24">
        <f>I472</f>
        <v/>
      </c>
      <c r="AB472" s="24">
        <f>Q472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 t="n">
        <v>0</v>
      </c>
      <c r="J473" s="21">
        <f>I473 * (0.01000000 / 12)</f>
        <v/>
      </c>
      <c r="K473" s="21">
        <f>(I473 - J473) * (0.00664805 / 12) * 1.0</f>
        <v/>
      </c>
      <c r="L473" s="21" t="n">
        <v>0</v>
      </c>
      <c r="M473" s="25">
        <f>(I473 - J473) - K473 + L473</f>
        <v/>
      </c>
      <c r="N473" s="25">
        <f>M473 * (0.00400000 / 12) * 1.0</f>
        <v/>
      </c>
      <c r="O473" s="25">
        <f>M473 * (0.00500000 / 12) * 1.0</f>
        <v/>
      </c>
      <c r="P473" s="25">
        <f>Y473</f>
        <v/>
      </c>
      <c r="Q473" s="25">
        <f>MAX(0, M473 - N473 - O473 - P473)</f>
        <v/>
      </c>
      <c r="R473" s="25" t="n">
        <v>0</v>
      </c>
      <c r="S473" s="25" t="n">
        <v>0</v>
      </c>
      <c r="T473" s="25" t="n">
        <v>0</v>
      </c>
      <c r="U473" s="25" t="n">
        <v>0</v>
      </c>
      <c r="V473" s="25" t="n">
        <v>0</v>
      </c>
      <c r="W473" s="25" t="n">
        <v>0</v>
      </c>
      <c r="X473" s="25" t="n">
        <v>0</v>
      </c>
      <c r="Y473" s="25">
        <f>X473 / 12</f>
        <v/>
      </c>
      <c r="Z473" s="17" t="n">
        <v>-291</v>
      </c>
      <c r="AA473" s="25">
        <f>I473</f>
        <v/>
      </c>
      <c r="AB473" s="25">
        <f>Q473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 t="n">
        <v>0</v>
      </c>
      <c r="J474" s="19">
        <f>I474 * (0.01000000 / 12)</f>
        <v/>
      </c>
      <c r="K474" s="19">
        <f>(I474 - J474) * (0.00664805 / 12) * 1.0</f>
        <v/>
      </c>
      <c r="L474" s="19" t="n">
        <v>0</v>
      </c>
      <c r="M474" s="24">
        <f>(I474 - J474) - K474 + L474</f>
        <v/>
      </c>
      <c r="N474" s="24">
        <f>M474 * (0.00400000 / 12) * 1.0</f>
        <v/>
      </c>
      <c r="O474" s="24">
        <f>M474 * (0.00500000 / 12) * 1.0</f>
        <v/>
      </c>
      <c r="P474" s="24">
        <f>Y474</f>
        <v/>
      </c>
      <c r="Q474" s="24">
        <f>MAX(0, M474 - N474 - O474 - P474)</f>
        <v/>
      </c>
      <c r="R474" s="24" t="n">
        <v>0</v>
      </c>
      <c r="S474" s="24" t="n">
        <v>0</v>
      </c>
      <c r="T474" s="24" t="n">
        <v>0</v>
      </c>
      <c r="U474" s="24" t="n">
        <v>0</v>
      </c>
      <c r="V474" s="24" t="n">
        <v>0</v>
      </c>
      <c r="W474" s="24" t="n">
        <v>0</v>
      </c>
      <c r="X474" s="24" t="n">
        <v>0</v>
      </c>
      <c r="Y474" s="24">
        <f>X474 / 12</f>
        <v/>
      </c>
      <c r="Z474" s="15" t="n">
        <v>-292</v>
      </c>
      <c r="AA474" s="24">
        <f>I474</f>
        <v/>
      </c>
      <c r="AB474" s="24">
        <f>Q474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 t="n">
        <v>0</v>
      </c>
      <c r="J475" s="21">
        <f>I475 * (0.01000000 / 12)</f>
        <v/>
      </c>
      <c r="K475" s="21">
        <f>(I475 - J475) * (0.00664805 / 12) * 1.0</f>
        <v/>
      </c>
      <c r="L475" s="21" t="n">
        <v>0</v>
      </c>
      <c r="M475" s="25">
        <f>(I475 - J475) - K475 + L475</f>
        <v/>
      </c>
      <c r="N475" s="25">
        <f>M475 * (0.00400000 / 12) * 1.0</f>
        <v/>
      </c>
      <c r="O475" s="25">
        <f>M475 * (0.00500000 / 12) * 1.0</f>
        <v/>
      </c>
      <c r="P475" s="25">
        <f>Y475</f>
        <v/>
      </c>
      <c r="Q475" s="25">
        <f>MAX(0, M475 - N475 - O475 - P475)</f>
        <v/>
      </c>
      <c r="R475" s="25" t="n">
        <v>0</v>
      </c>
      <c r="S475" s="25" t="n">
        <v>0</v>
      </c>
      <c r="T475" s="25" t="n">
        <v>0</v>
      </c>
      <c r="U475" s="25" t="n">
        <v>0</v>
      </c>
      <c r="V475" s="25" t="n">
        <v>0</v>
      </c>
      <c r="W475" s="25" t="n">
        <v>0</v>
      </c>
      <c r="X475" s="25" t="n">
        <v>0</v>
      </c>
      <c r="Y475" s="25">
        <f>X475 / 12</f>
        <v/>
      </c>
      <c r="Z475" s="17" t="n">
        <v>-293</v>
      </c>
      <c r="AA475" s="25">
        <f>I475</f>
        <v/>
      </c>
      <c r="AB475" s="25">
        <f>Q475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 t="n">
        <v>0</v>
      </c>
      <c r="J476" s="19">
        <f>I476 * (0.01000000 / 12)</f>
        <v/>
      </c>
      <c r="K476" s="19">
        <f>(I476 - J476) * (0.00664805 / 12) * 1.0</f>
        <v/>
      </c>
      <c r="L476" s="19" t="n">
        <v>0</v>
      </c>
      <c r="M476" s="24">
        <f>(I476 - J476) - K476 + L476</f>
        <v/>
      </c>
      <c r="N476" s="24">
        <f>M476 * (0.00400000 / 12) * 1.0</f>
        <v/>
      </c>
      <c r="O476" s="24">
        <f>M476 * (0.00500000 / 12) * 1.0</f>
        <v/>
      </c>
      <c r="P476" s="24">
        <f>Y476</f>
        <v/>
      </c>
      <c r="Q476" s="24">
        <f>MAX(0, M476 - N476 - O476 - P476)</f>
        <v/>
      </c>
      <c r="R476" s="24" t="n">
        <v>0</v>
      </c>
      <c r="S476" s="24" t="n">
        <v>0</v>
      </c>
      <c r="T476" s="24" t="n">
        <v>0</v>
      </c>
      <c r="U476" s="24" t="n">
        <v>0</v>
      </c>
      <c r="V476" s="24" t="n">
        <v>0</v>
      </c>
      <c r="W476" s="24" t="n">
        <v>0</v>
      </c>
      <c r="X476" s="24" t="n">
        <v>0</v>
      </c>
      <c r="Y476" s="24">
        <f>X476 / 12</f>
        <v/>
      </c>
      <c r="Z476" s="15" t="n">
        <v>-294</v>
      </c>
      <c r="AA476" s="24">
        <f>I476</f>
        <v/>
      </c>
      <c r="AB476" s="24">
        <f>Q476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 t="n">
        <v>0</v>
      </c>
      <c r="J477" s="21">
        <f>I477 * (0.01000000 / 12)</f>
        <v/>
      </c>
      <c r="K477" s="21">
        <f>(I477 - J477) * (0.00664805 / 12) * 1.0</f>
        <v/>
      </c>
      <c r="L477" s="21" t="n">
        <v>0</v>
      </c>
      <c r="M477" s="25">
        <f>(I477 - J477) - K477 + L477</f>
        <v/>
      </c>
      <c r="N477" s="25">
        <f>M477 * (0.00400000 / 12) * 1.0</f>
        <v/>
      </c>
      <c r="O477" s="25">
        <f>M477 * (0.00500000 / 12) * 1.0</f>
        <v/>
      </c>
      <c r="P477" s="25">
        <f>Y477</f>
        <v/>
      </c>
      <c r="Q477" s="25">
        <f>MAX(0, M477 - N477 - O477 - P477)</f>
        <v/>
      </c>
      <c r="R477" s="25" t="n">
        <v>0</v>
      </c>
      <c r="S477" s="25" t="n">
        <v>0</v>
      </c>
      <c r="T477" s="25" t="n">
        <v>0</v>
      </c>
      <c r="U477" s="25" t="n">
        <v>0</v>
      </c>
      <c r="V477" s="25" t="n">
        <v>0</v>
      </c>
      <c r="W477" s="25" t="n">
        <v>0</v>
      </c>
      <c r="X477" s="25" t="n">
        <v>0</v>
      </c>
      <c r="Y477" s="25">
        <f>X477 / 12</f>
        <v/>
      </c>
      <c r="Z477" s="17" t="n">
        <v>-295</v>
      </c>
      <c r="AA477" s="25">
        <f>I477</f>
        <v/>
      </c>
      <c r="AB477" s="25">
        <f>Q477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 t="n">
        <v>0</v>
      </c>
      <c r="J478" s="19">
        <f>I478 * (0.01000000 / 12)</f>
        <v/>
      </c>
      <c r="K478" s="19">
        <f>(I478 - J478) * (0.00664805 / 12) * 1.0</f>
        <v/>
      </c>
      <c r="L478" s="19" t="n">
        <v>0</v>
      </c>
      <c r="M478" s="24">
        <f>(I478 - J478) - K478 + L478</f>
        <v/>
      </c>
      <c r="N478" s="24">
        <f>M478 * (0.00400000 / 12) * 1.0</f>
        <v/>
      </c>
      <c r="O478" s="24">
        <f>M478 * (0.00500000 / 12) * 1.0</f>
        <v/>
      </c>
      <c r="P478" s="24">
        <f>Y478</f>
        <v/>
      </c>
      <c r="Q478" s="24">
        <f>MAX(0, M478 - N478 - O478 - P478)</f>
        <v/>
      </c>
      <c r="R478" s="24" t="n">
        <v>0</v>
      </c>
      <c r="S478" s="24" t="n">
        <v>0</v>
      </c>
      <c r="T478" s="24" t="n">
        <v>0</v>
      </c>
      <c r="U478" s="24" t="n">
        <v>0</v>
      </c>
      <c r="V478" s="24" t="n">
        <v>0</v>
      </c>
      <c r="W478" s="24" t="n">
        <v>0</v>
      </c>
      <c r="X478" s="24" t="n">
        <v>0</v>
      </c>
      <c r="Y478" s="24">
        <f>X478 / 12</f>
        <v/>
      </c>
      <c r="Z478" s="15" t="n">
        <v>-296</v>
      </c>
      <c r="AA478" s="24">
        <f>I478</f>
        <v/>
      </c>
      <c r="AB478" s="24">
        <f>Q478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 t="n">
        <v>0</v>
      </c>
      <c r="J479" s="21">
        <f>I479 * (0.01000000 / 12)</f>
        <v/>
      </c>
      <c r="K479" s="21">
        <f>(I479 - J479) * (0.00664805 / 12) * 1.0</f>
        <v/>
      </c>
      <c r="L479" s="21" t="n">
        <v>0</v>
      </c>
      <c r="M479" s="25">
        <f>(I479 - J479) - K479 + L479</f>
        <v/>
      </c>
      <c r="N479" s="25">
        <f>M479 * (0.00400000 / 12) * 1.0</f>
        <v/>
      </c>
      <c r="O479" s="25">
        <f>M479 * (0.00500000 / 12) * 1.0</f>
        <v/>
      </c>
      <c r="P479" s="25">
        <f>Y479</f>
        <v/>
      </c>
      <c r="Q479" s="25">
        <f>MAX(0, M479 - N479 - O479 - P479)</f>
        <v/>
      </c>
      <c r="R479" s="25" t="n">
        <v>0</v>
      </c>
      <c r="S479" s="25" t="n">
        <v>0</v>
      </c>
      <c r="T479" s="25" t="n">
        <v>0</v>
      </c>
      <c r="U479" s="25" t="n">
        <v>0</v>
      </c>
      <c r="V479" s="25" t="n">
        <v>0</v>
      </c>
      <c r="W479" s="25" t="n">
        <v>0</v>
      </c>
      <c r="X479" s="25" t="n">
        <v>0</v>
      </c>
      <c r="Y479" s="25">
        <f>X479 / 12</f>
        <v/>
      </c>
      <c r="Z479" s="17" t="n">
        <v>-297</v>
      </c>
      <c r="AA479" s="25">
        <f>I479</f>
        <v/>
      </c>
      <c r="AB479" s="25">
        <f>Q479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 t="n">
        <v>0</v>
      </c>
      <c r="J480" s="19">
        <f>I480 * (0.01000000 / 12)</f>
        <v/>
      </c>
      <c r="K480" s="19">
        <f>(I480 - J480) * (0.00664805 / 12) * 1.0</f>
        <v/>
      </c>
      <c r="L480" s="19" t="n">
        <v>0</v>
      </c>
      <c r="M480" s="24">
        <f>(I480 - J480) - K480 + L480</f>
        <v/>
      </c>
      <c r="N480" s="24">
        <f>M480 * (0.00400000 / 12) * 1.0</f>
        <v/>
      </c>
      <c r="O480" s="24">
        <f>M480 * (0.00500000 / 12) * 1.0</f>
        <v/>
      </c>
      <c r="P480" s="24">
        <f>Y480</f>
        <v/>
      </c>
      <c r="Q480" s="24">
        <f>MAX(0, M480 - N480 - O480 - P480)</f>
        <v/>
      </c>
      <c r="R480" s="24" t="n">
        <v>0</v>
      </c>
      <c r="S480" s="24" t="n">
        <v>0</v>
      </c>
      <c r="T480" s="24" t="n">
        <v>0</v>
      </c>
      <c r="U480" s="24" t="n">
        <v>0</v>
      </c>
      <c r="V480" s="24" t="n">
        <v>0</v>
      </c>
      <c r="W480" s="24" t="n">
        <v>0</v>
      </c>
      <c r="X480" s="24" t="n">
        <v>0</v>
      </c>
      <c r="Y480" s="24">
        <f>X480 / 12</f>
        <v/>
      </c>
      <c r="Z480" s="15" t="n">
        <v>-298</v>
      </c>
      <c r="AA480" s="24">
        <f>I480</f>
        <v/>
      </c>
      <c r="AB480" s="24">
        <f>Q480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 t="n">
        <v>0</v>
      </c>
      <c r="J481" s="21">
        <f>I481 * (0.01000000 / 12)</f>
        <v/>
      </c>
      <c r="K481" s="21">
        <f>(I481 - J481) * (0.00664805 / 12) * 1.0</f>
        <v/>
      </c>
      <c r="L481" s="21" t="n">
        <v>0</v>
      </c>
      <c r="M481" s="25">
        <f>(I481 - J481) - K481 + L481</f>
        <v/>
      </c>
      <c r="N481" s="25">
        <f>M481 * (0.00400000 / 12) * 1.0</f>
        <v/>
      </c>
      <c r="O481" s="25">
        <f>M481 * (0.00500000 / 12) * 1.0</f>
        <v/>
      </c>
      <c r="P481" s="25">
        <f>Y481</f>
        <v/>
      </c>
      <c r="Q481" s="25">
        <f>MAX(0, M481 - N481 - O481 - P481)</f>
        <v/>
      </c>
      <c r="R481" s="25" t="n">
        <v>0</v>
      </c>
      <c r="S481" s="25" t="n">
        <v>0</v>
      </c>
      <c r="T481" s="25" t="n">
        <v>0</v>
      </c>
      <c r="U481" s="25" t="n">
        <v>0</v>
      </c>
      <c r="V481" s="25" t="n">
        <v>0</v>
      </c>
      <c r="W481" s="25" t="n">
        <v>0</v>
      </c>
      <c r="X481" s="25" t="n">
        <v>0</v>
      </c>
      <c r="Y481" s="25">
        <f>X481 / 12</f>
        <v/>
      </c>
      <c r="Z481" s="17" t="n">
        <v>-299</v>
      </c>
      <c r="AA481" s="25">
        <f>I481</f>
        <v/>
      </c>
      <c r="AB481" s="25">
        <f>Q481</f>
        <v/>
      </c>
    </row>
  </sheetData>
  <autoFilter ref="A1:AB1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4B1C8C"/>
    <outlinePr summaryBelow="1" summaryRight="1"/>
    <pageSetUpPr/>
  </sheetPr>
  <dimension ref="A1:AC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14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2" customWidth="1" min="29" max="29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av_bop_sa</t>
        </is>
      </c>
      <c r="J1" s="26" t="inlineStr">
        <is>
          <t>me_sa</t>
        </is>
      </c>
      <c r="K1" s="26" t="inlineStr">
        <is>
          <t>imf_sa</t>
        </is>
      </c>
      <c r="L1" s="26" t="inlineStr">
        <is>
          <t>growth_sa</t>
        </is>
      </c>
      <c r="M1" s="26" t="inlineStr">
        <is>
          <t>av_at_cme_sa</t>
        </is>
      </c>
      <c r="N1" s="26" t="inlineStr">
        <is>
          <t>gib_charge</t>
        </is>
      </c>
      <c r="O1" s="26" t="inlineStr">
        <is>
          <t>i4l_charge</t>
        </is>
      </c>
      <c r="P1" s="26" t="inlineStr">
        <is>
          <t>withdrawal</t>
        </is>
      </c>
      <c r="Q1" s="26" t="inlineStr">
        <is>
          <t>av_eop_sa</t>
        </is>
      </c>
      <c r="R1" s="26" t="inlineStr">
        <is>
          <t>av_eop_f1</t>
        </is>
      </c>
      <c r="S1" s="26" t="inlineStr">
        <is>
          <t>av_eop_f2</t>
        </is>
      </c>
      <c r="T1" s="26" t="inlineStr">
        <is>
          <t>av_eop_f3</t>
        </is>
      </c>
      <c r="U1" s="26" t="inlineStr">
        <is>
          <t>av_eop_f4</t>
        </is>
      </c>
      <c r="V1" s="26" t="inlineStr">
        <is>
          <t>av_eop_f5</t>
        </is>
      </c>
      <c r="W1" s="26" t="inlineStr">
        <is>
          <t>av_eop_f6</t>
        </is>
      </c>
      <c r="X1" s="26" t="inlineStr">
        <is>
          <t>current_payment</t>
        </is>
      </c>
      <c r="Y1" s="26" t="inlineStr">
        <is>
          <t>monthly_payment</t>
        </is>
      </c>
      <c r="Z1" s="26" t="inlineStr">
        <is>
          <t>o_ap_remaining</t>
        </is>
      </c>
      <c r="AA1" s="26" t="inlineStr">
        <is>
          <t>av_bop_total</t>
        </is>
      </c>
      <c r="AB1" s="26" t="inlineStr">
        <is>
          <t>av_eop_total</t>
        </is>
      </c>
      <c r="AC1" s="26" t="inlineStr">
        <is>
          <t>lives_eop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>
        <f>I2 * AC2</f>
        <v/>
      </c>
      <c r="J2" s="19">
        <f>J2 * AC2</f>
        <v/>
      </c>
      <c r="K2" s="19">
        <f>K2 * AC2</f>
        <v/>
      </c>
      <c r="L2" s="19">
        <f>L2 * AC2</f>
        <v/>
      </c>
      <c r="M2" s="24">
        <f>M2 * AC2</f>
        <v/>
      </c>
      <c r="N2" s="24">
        <f>N2 * AC2</f>
        <v/>
      </c>
      <c r="O2" s="24">
        <f>O2 * AC2</f>
        <v/>
      </c>
      <c r="P2" s="24">
        <f>P2 * AC2</f>
        <v/>
      </c>
      <c r="Q2" s="24">
        <f>Q2 * AC2</f>
        <v/>
      </c>
      <c r="R2" s="24">
        <f>R2 * AC2</f>
        <v/>
      </c>
      <c r="S2" s="24">
        <f>S2 * AC2</f>
        <v/>
      </c>
      <c r="T2" s="24">
        <f>T2 * AC2</f>
        <v/>
      </c>
      <c r="U2" s="24">
        <f>U2 * AC2</f>
        <v/>
      </c>
      <c r="V2" s="24">
        <f>V2 * AC2</f>
        <v/>
      </c>
      <c r="W2" s="24">
        <f>W2 * AC2</f>
        <v/>
      </c>
      <c r="X2" s="24">
        <f>X2 * AC2</f>
        <v/>
      </c>
      <c r="Y2" s="24">
        <f>Y2 * AC2</f>
        <v/>
      </c>
      <c r="Z2" s="15" t="n">
        <v>164.7254776152846</v>
      </c>
      <c r="AA2" s="24">
        <f>AA2 * AC2</f>
        <v/>
      </c>
      <c r="AB2" s="24">
        <f>AB2 * AC2</f>
        <v/>
      </c>
      <c r="AC2" s="20" t="n">
        <v>0.9151415423071368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>
        <f>I3 * AC3</f>
        <v/>
      </c>
      <c r="J3" s="21">
        <f>J3 * AC3</f>
        <v/>
      </c>
      <c r="K3" s="21">
        <f>K3 * AC3</f>
        <v/>
      </c>
      <c r="L3" s="21">
        <f>L3 * AC3</f>
        <v/>
      </c>
      <c r="M3" s="25">
        <f>M3 * AC3</f>
        <v/>
      </c>
      <c r="N3" s="25">
        <f>N3 * AC3</f>
        <v/>
      </c>
      <c r="O3" s="25">
        <f>O3 * AC3</f>
        <v/>
      </c>
      <c r="P3" s="25">
        <f>P3 * AC3</f>
        <v/>
      </c>
      <c r="Q3" s="25">
        <f>Q3 * AC3</f>
        <v/>
      </c>
      <c r="R3" s="25">
        <f>R3 * AC3</f>
        <v/>
      </c>
      <c r="S3" s="25">
        <f>S3 * AC3</f>
        <v/>
      </c>
      <c r="T3" s="25">
        <f>T3 * AC3</f>
        <v/>
      </c>
      <c r="U3" s="25">
        <f>U3 * AC3</f>
        <v/>
      </c>
      <c r="V3" s="25">
        <f>V3 * AC3</f>
        <v/>
      </c>
      <c r="W3" s="25">
        <f>W3 * AC3</f>
        <v/>
      </c>
      <c r="X3" s="25">
        <f>X3 * AC3</f>
        <v/>
      </c>
      <c r="Y3" s="25">
        <f>Y3 * AC3</f>
        <v/>
      </c>
      <c r="Z3" s="17" t="n">
        <v>149.9077594687822</v>
      </c>
      <c r="AA3" s="25">
        <f>AA3 * AC3</f>
        <v/>
      </c>
      <c r="AB3" s="25">
        <f>AB3 * AC3</f>
        <v/>
      </c>
      <c r="AC3" s="22" t="n">
        <v>0.8374735165853755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>
        <f>I4 * AC4</f>
        <v/>
      </c>
      <c r="J4" s="19">
        <f>J4 * AC4</f>
        <v/>
      </c>
      <c r="K4" s="19">
        <f>K4 * AC4</f>
        <v/>
      </c>
      <c r="L4" s="19">
        <f>L4 * AC4</f>
        <v/>
      </c>
      <c r="M4" s="24">
        <f>M4 * AC4</f>
        <v/>
      </c>
      <c r="N4" s="24">
        <f>N4 * AC4</f>
        <v/>
      </c>
      <c r="O4" s="24">
        <f>O4 * AC4</f>
        <v/>
      </c>
      <c r="P4" s="24">
        <f>P4 * AC4</f>
        <v/>
      </c>
      <c r="Q4" s="24">
        <f>Q4 * AC4</f>
        <v/>
      </c>
      <c r="R4" s="24">
        <f>R4 * AC4</f>
        <v/>
      </c>
      <c r="S4" s="24">
        <f>S4 * AC4</f>
        <v/>
      </c>
      <c r="T4" s="24">
        <f>T4 * AC4</f>
        <v/>
      </c>
      <c r="U4" s="24">
        <f>U4 * AC4</f>
        <v/>
      </c>
      <c r="V4" s="24">
        <f>V4 * AC4</f>
        <v/>
      </c>
      <c r="W4" s="24">
        <f>W4 * AC4</f>
        <v/>
      </c>
      <c r="X4" s="24">
        <f>X4 * AC4</f>
        <v/>
      </c>
      <c r="Y4" s="24">
        <f>Y4 * AC4</f>
        <v/>
      </c>
      <c r="Z4" s="15" t="n">
        <v>136.8977573989528</v>
      </c>
      <c r="AA4" s="24">
        <f>AA4 * AC4</f>
        <v/>
      </c>
      <c r="AB4" s="24">
        <f>AB4 * AC4</f>
        <v/>
      </c>
      <c r="AC4" s="20" t="n">
        <v>0.7690885247132179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>
        <f>I5 * AC5</f>
        <v/>
      </c>
      <c r="J5" s="21">
        <f>J5 * AC5</f>
        <v/>
      </c>
      <c r="K5" s="21">
        <f>K5 * AC5</f>
        <v/>
      </c>
      <c r="L5" s="21">
        <f>L5 * AC5</f>
        <v/>
      </c>
      <c r="M5" s="25">
        <f>M5 * AC5</f>
        <v/>
      </c>
      <c r="N5" s="25">
        <f>N5 * AC5</f>
        <v/>
      </c>
      <c r="O5" s="25">
        <f>O5 * AC5</f>
        <v/>
      </c>
      <c r="P5" s="25">
        <f>P5 * AC5</f>
        <v/>
      </c>
      <c r="Q5" s="25">
        <f>Q5 * AC5</f>
        <v/>
      </c>
      <c r="R5" s="25">
        <f>R5 * AC5</f>
        <v/>
      </c>
      <c r="S5" s="25">
        <f>S5 * AC5</f>
        <v/>
      </c>
      <c r="T5" s="25">
        <f>T5 * AC5</f>
        <v/>
      </c>
      <c r="U5" s="25">
        <f>U5 * AC5</f>
        <v/>
      </c>
      <c r="V5" s="25">
        <f>V5 * AC5</f>
        <v/>
      </c>
      <c r="W5" s="25">
        <f>W5 * AC5</f>
        <v/>
      </c>
      <c r="X5" s="25">
        <f>X5 * AC5</f>
        <v/>
      </c>
      <c r="Y5" s="25">
        <f>Y5 * AC5</f>
        <v/>
      </c>
      <c r="Z5" s="17" t="n">
        <v>125.0129046723741</v>
      </c>
      <c r="AA5" s="25">
        <f>AA5 * AC5</f>
        <v/>
      </c>
      <c r="AB5" s="25">
        <f>AB5 * AC5</f>
        <v/>
      </c>
      <c r="AC5" s="22" t="n">
        <v>0.7062875970190625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>
        <f>I6 * AC6</f>
        <v/>
      </c>
      <c r="J6" s="19">
        <f>J6 * AC6</f>
        <v/>
      </c>
      <c r="K6" s="19">
        <f>K6 * AC6</f>
        <v/>
      </c>
      <c r="L6" s="19">
        <f>L6 * AC6</f>
        <v/>
      </c>
      <c r="M6" s="24">
        <f>M6 * AC6</f>
        <v/>
      </c>
      <c r="N6" s="24">
        <f>N6 * AC6</f>
        <v/>
      </c>
      <c r="O6" s="24">
        <f>O6 * AC6</f>
        <v/>
      </c>
      <c r="P6" s="24">
        <f>P6 * AC6</f>
        <v/>
      </c>
      <c r="Q6" s="24">
        <f>Q6 * AC6</f>
        <v/>
      </c>
      <c r="R6" s="24">
        <f>R6 * AC6</f>
        <v/>
      </c>
      <c r="S6" s="24">
        <f>S6 * AC6</f>
        <v/>
      </c>
      <c r="T6" s="24">
        <f>T6 * AC6</f>
        <v/>
      </c>
      <c r="U6" s="24">
        <f>U6 * AC6</f>
        <v/>
      </c>
      <c r="V6" s="24">
        <f>V6 * AC6</f>
        <v/>
      </c>
      <c r="W6" s="24">
        <f>W6 * AC6</f>
        <v/>
      </c>
      <c r="X6" s="24">
        <f>X6 * AC6</f>
        <v/>
      </c>
      <c r="Y6" s="24">
        <f>Y6 * AC6</f>
        <v/>
      </c>
      <c r="Z6" s="15" t="n">
        <v>114.1561977081875</v>
      </c>
      <c r="AA6" s="24">
        <f>AA6 * AC6</f>
        <v/>
      </c>
      <c r="AB6" s="24">
        <f>AB6 * AC6</f>
        <v/>
      </c>
      <c r="AC6" s="20" t="n">
        <v>0.6486147597056106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>
        <f>I7 * AC7</f>
        <v/>
      </c>
      <c r="J7" s="21">
        <f>J7 * AC7</f>
        <v/>
      </c>
      <c r="K7" s="21">
        <f>K7 * AC7</f>
        <v/>
      </c>
      <c r="L7" s="21">
        <f>L7 * AC7</f>
        <v/>
      </c>
      <c r="M7" s="25">
        <f>M7 * AC7</f>
        <v/>
      </c>
      <c r="N7" s="25">
        <f>N7 * AC7</f>
        <v/>
      </c>
      <c r="O7" s="25">
        <f>O7 * AC7</f>
        <v/>
      </c>
      <c r="P7" s="25">
        <f>P7 * AC7</f>
        <v/>
      </c>
      <c r="Q7" s="25">
        <f>Q7 * AC7</f>
        <v/>
      </c>
      <c r="R7" s="25">
        <f>R7 * AC7</f>
        <v/>
      </c>
      <c r="S7" s="25">
        <f>S7 * AC7</f>
        <v/>
      </c>
      <c r="T7" s="25">
        <f>T7 * AC7</f>
        <v/>
      </c>
      <c r="U7" s="25">
        <f>U7 * AC7</f>
        <v/>
      </c>
      <c r="V7" s="25">
        <f>V7 * AC7</f>
        <v/>
      </c>
      <c r="W7" s="25">
        <f>W7 * AC7</f>
        <v/>
      </c>
      <c r="X7" s="25">
        <f>X7 * AC7</f>
        <v/>
      </c>
      <c r="Y7" s="25">
        <f>Y7 * AC7</f>
        <v/>
      </c>
      <c r="Z7" s="17" t="n">
        <v>104.2389726141151</v>
      </c>
      <c r="AA7" s="25">
        <f>AA7 * AC7</f>
        <v/>
      </c>
      <c r="AB7" s="25">
        <f>AB7 * AC7</f>
        <v/>
      </c>
      <c r="AC7" s="22" t="n">
        <v>0.5956512720806575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>
        <f>I8 * AC8</f>
        <v/>
      </c>
      <c r="J8" s="19">
        <f>J8 * AC8</f>
        <v/>
      </c>
      <c r="K8" s="19">
        <f>K8 * AC8</f>
        <v/>
      </c>
      <c r="L8" s="19">
        <f>L8 * AC8</f>
        <v/>
      </c>
      <c r="M8" s="24">
        <f>M8 * AC8</f>
        <v/>
      </c>
      <c r="N8" s="24">
        <f>N8 * AC8</f>
        <v/>
      </c>
      <c r="O8" s="24">
        <f>O8 * AC8</f>
        <v/>
      </c>
      <c r="P8" s="24">
        <f>P8 * AC8</f>
        <v/>
      </c>
      <c r="Q8" s="24">
        <f>Q8 * AC8</f>
        <v/>
      </c>
      <c r="R8" s="24">
        <f>R8 * AC8</f>
        <v/>
      </c>
      <c r="S8" s="24">
        <f>S8 * AC8</f>
        <v/>
      </c>
      <c r="T8" s="24">
        <f>T8 * AC8</f>
        <v/>
      </c>
      <c r="U8" s="24">
        <f>U8 * AC8</f>
        <v/>
      </c>
      <c r="V8" s="24">
        <f>V8 * AC8</f>
        <v/>
      </c>
      <c r="W8" s="24">
        <f>W8 * AC8</f>
        <v/>
      </c>
      <c r="X8" s="24">
        <f>X8 * AC8</f>
        <v/>
      </c>
      <c r="Y8" s="24">
        <f>Y8 * AC8</f>
        <v/>
      </c>
      <c r="Z8" s="15" t="n">
        <v>95.18019000621182</v>
      </c>
      <c r="AA8" s="24">
        <f>AA8 * AC8</f>
        <v/>
      </c>
      <c r="AB8" s="24">
        <f>AB8 * AC8</f>
        <v/>
      </c>
      <c r="AC8" s="20" t="n">
        <v>0.5470125862425966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>
        <f>I9 * AC9</f>
        <v/>
      </c>
      <c r="J9" s="21">
        <f>J9 * AC9</f>
        <v/>
      </c>
      <c r="K9" s="21">
        <f>K9 * AC9</f>
        <v/>
      </c>
      <c r="L9" s="21">
        <f>L9 * AC9</f>
        <v/>
      </c>
      <c r="M9" s="25">
        <f>M9 * AC9</f>
        <v/>
      </c>
      <c r="N9" s="25">
        <f>N9 * AC9</f>
        <v/>
      </c>
      <c r="O9" s="25">
        <f>O9 * AC9</f>
        <v/>
      </c>
      <c r="P9" s="25">
        <f>P9 * AC9</f>
        <v/>
      </c>
      <c r="Q9" s="25">
        <f>Q9 * AC9</f>
        <v/>
      </c>
      <c r="R9" s="25">
        <f>R9 * AC9</f>
        <v/>
      </c>
      <c r="S9" s="25">
        <f>S9 * AC9</f>
        <v/>
      </c>
      <c r="T9" s="25">
        <f>T9 * AC9</f>
        <v/>
      </c>
      <c r="U9" s="25">
        <f>U9 * AC9</f>
        <v/>
      </c>
      <c r="V9" s="25">
        <f>V9 * AC9</f>
        <v/>
      </c>
      <c r="W9" s="25">
        <f>W9 * AC9</f>
        <v/>
      </c>
      <c r="X9" s="25">
        <f>X9 * AC9</f>
        <v/>
      </c>
      <c r="Y9" s="25">
        <f>Y9 * AC9</f>
        <v/>
      </c>
      <c r="Z9" s="17" t="n">
        <v>86.90810364457715</v>
      </c>
      <c r="AA9" s="25">
        <f>AA9 * AC9</f>
        <v/>
      </c>
      <c r="AB9" s="25">
        <f>AB9 * AC9</f>
        <v/>
      </c>
      <c r="AC9" s="22" t="n">
        <v>0.5023589806044922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>
        <f>I10 * AC10</f>
        <v/>
      </c>
      <c r="J10" s="19">
        <f>J10 * AC10</f>
        <v/>
      </c>
      <c r="K10" s="19">
        <f>K10 * AC10</f>
        <v/>
      </c>
      <c r="L10" s="19">
        <f>L10 * AC10</f>
        <v/>
      </c>
      <c r="M10" s="24">
        <f>M10 * AC10</f>
        <v/>
      </c>
      <c r="N10" s="24">
        <f>N10 * AC10</f>
        <v/>
      </c>
      <c r="O10" s="24">
        <f>O10 * AC10</f>
        <v/>
      </c>
      <c r="P10" s="24">
        <f>P10 * AC10</f>
        <v/>
      </c>
      <c r="Q10" s="24">
        <f>Q10 * AC10</f>
        <v/>
      </c>
      <c r="R10" s="24">
        <f>R10 * AC10</f>
        <v/>
      </c>
      <c r="S10" s="24">
        <f>S10 * AC10</f>
        <v/>
      </c>
      <c r="T10" s="24">
        <f>T10 * AC10</f>
        <v/>
      </c>
      <c r="U10" s="24">
        <f>U10 * AC10</f>
        <v/>
      </c>
      <c r="V10" s="24">
        <f>V10 * AC10</f>
        <v/>
      </c>
      <c r="W10" s="24">
        <f>W10 * AC10</f>
        <v/>
      </c>
      <c r="X10" s="24">
        <f>X10 * AC10</f>
        <v/>
      </c>
      <c r="Y10" s="24">
        <f>Y10 * AC10</f>
        <v/>
      </c>
      <c r="Z10" s="15" t="n">
        <v>79.352290757788</v>
      </c>
      <c r="AA10" s="24">
        <f>AA10 * AC10</f>
        <v/>
      </c>
      <c r="AB10" s="24">
        <f>AB10 * AC10</f>
        <v/>
      </c>
      <c r="AC10" s="20" t="n">
        <v>0.4613505276615581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>
        <f>I11 * AC11</f>
        <v/>
      </c>
      <c r="J11" s="21">
        <f>J11 * AC11</f>
        <v/>
      </c>
      <c r="K11" s="21">
        <f>K11 * AC11</f>
        <v/>
      </c>
      <c r="L11" s="21">
        <f>L11 * AC11</f>
        <v/>
      </c>
      <c r="M11" s="25">
        <f>M11 * AC11</f>
        <v/>
      </c>
      <c r="N11" s="25">
        <f>N11 * AC11</f>
        <v/>
      </c>
      <c r="O11" s="25">
        <f>O11 * AC11</f>
        <v/>
      </c>
      <c r="P11" s="25">
        <f>P11 * AC11</f>
        <v/>
      </c>
      <c r="Q11" s="25">
        <f>Q11 * AC11</f>
        <v/>
      </c>
      <c r="R11" s="25">
        <f>R11 * AC11</f>
        <v/>
      </c>
      <c r="S11" s="25">
        <f>S11 * AC11</f>
        <v/>
      </c>
      <c r="T11" s="25">
        <f>T11 * AC11</f>
        <v/>
      </c>
      <c r="U11" s="25">
        <f>U11 * AC11</f>
        <v/>
      </c>
      <c r="V11" s="25">
        <f>V11 * AC11</f>
        <v/>
      </c>
      <c r="W11" s="25">
        <f>W11 * AC11</f>
        <v/>
      </c>
      <c r="X11" s="25">
        <f>X11 * AC11</f>
        <v/>
      </c>
      <c r="Y11" s="25">
        <f>Y11 * AC11</f>
        <v/>
      </c>
      <c r="Z11" s="17" t="n">
        <v>72.45093308695577</v>
      </c>
      <c r="AA11" s="25">
        <f>AA11 * AC11</f>
        <v/>
      </c>
      <c r="AB11" s="25">
        <f>AB11 * AC11</f>
        <v/>
      </c>
      <c r="AC11" s="22" t="n">
        <v>0.4236896671751799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>
        <f>I12 * AC12</f>
        <v/>
      </c>
      <c r="J12" s="19">
        <f>J12 * AC12</f>
        <v/>
      </c>
      <c r="K12" s="19">
        <f>K12 * AC12</f>
        <v/>
      </c>
      <c r="L12" s="19">
        <f>L12 * AC12</f>
        <v/>
      </c>
      <c r="M12" s="24">
        <f>M12 * AC12</f>
        <v/>
      </c>
      <c r="N12" s="24">
        <f>N12 * AC12</f>
        <v/>
      </c>
      <c r="O12" s="24">
        <f>O12 * AC12</f>
        <v/>
      </c>
      <c r="P12" s="24">
        <f>P12 * AC12</f>
        <v/>
      </c>
      <c r="Q12" s="24">
        <f>Q12 * AC12</f>
        <v/>
      </c>
      <c r="R12" s="24">
        <f>R12 * AC12</f>
        <v/>
      </c>
      <c r="S12" s="24">
        <f>S12 * AC12</f>
        <v/>
      </c>
      <c r="T12" s="24">
        <f>T12 * AC12</f>
        <v/>
      </c>
      <c r="U12" s="24">
        <f>U12 * AC12</f>
        <v/>
      </c>
      <c r="V12" s="24">
        <f>V12 * AC12</f>
        <v/>
      </c>
      <c r="W12" s="24">
        <f>W12 * AC12</f>
        <v/>
      </c>
      <c r="X12" s="24">
        <f>X12 * AC12</f>
        <v/>
      </c>
      <c r="Y12" s="24">
        <f>Y12 * AC12</f>
        <v/>
      </c>
      <c r="Z12" s="15" t="n">
        <v>66.14753197629025</v>
      </c>
      <c r="AA12" s="24">
        <f>AA12 * AC12</f>
        <v/>
      </c>
      <c r="AB12" s="24">
        <f>AB12 * AC12</f>
        <v/>
      </c>
      <c r="AC12" s="20" t="n">
        <v>0.3891031292722956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>
        <f>I13 * AC13</f>
        <v/>
      </c>
      <c r="J13" s="21">
        <f>J13 * AC13</f>
        <v/>
      </c>
      <c r="K13" s="21">
        <f>K13 * AC13</f>
        <v/>
      </c>
      <c r="L13" s="21">
        <f>L13 * AC13</f>
        <v/>
      </c>
      <c r="M13" s="25">
        <f>M13 * AC13</f>
        <v/>
      </c>
      <c r="N13" s="25">
        <f>N13 * AC13</f>
        <v/>
      </c>
      <c r="O13" s="25">
        <f>O13 * AC13</f>
        <v/>
      </c>
      <c r="P13" s="25">
        <f>P13 * AC13</f>
        <v/>
      </c>
      <c r="Q13" s="25">
        <f>Q13 * AC13</f>
        <v/>
      </c>
      <c r="R13" s="25">
        <f>R13 * AC13</f>
        <v/>
      </c>
      <c r="S13" s="25">
        <f>S13 * AC13</f>
        <v/>
      </c>
      <c r="T13" s="25">
        <f>T13 * AC13</f>
        <v/>
      </c>
      <c r="U13" s="25">
        <f>U13 * AC13</f>
        <v/>
      </c>
      <c r="V13" s="25">
        <f>V13 * AC13</f>
        <v/>
      </c>
      <c r="W13" s="25">
        <f>W13 * AC13</f>
        <v/>
      </c>
      <c r="X13" s="25">
        <f>X13 * AC13</f>
        <v/>
      </c>
      <c r="Y13" s="25">
        <f>Y13 * AC13</f>
        <v/>
      </c>
      <c r="Z13" s="17" t="n">
        <v>60.39045181705917</v>
      </c>
      <c r="AA13" s="25">
        <f>AA13 * AC13</f>
        <v/>
      </c>
      <c r="AB13" s="25">
        <f>AB13 * AC13</f>
        <v/>
      </c>
      <c r="AC13" s="22" t="n">
        <v>0.3573399515802317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>
        <f>I14 * AC14</f>
        <v/>
      </c>
      <c r="J14" s="19">
        <f>J14 * AC14</f>
        <v/>
      </c>
      <c r="K14" s="19">
        <f>K14 * AC14</f>
        <v/>
      </c>
      <c r="L14" s="19">
        <f>L14 * AC14</f>
        <v/>
      </c>
      <c r="M14" s="24">
        <f>M14 * AC14</f>
        <v/>
      </c>
      <c r="N14" s="24">
        <f>N14 * AC14</f>
        <v/>
      </c>
      <c r="O14" s="24">
        <f>O14 * AC14</f>
        <v/>
      </c>
      <c r="P14" s="24">
        <f>P14 * AC14</f>
        <v/>
      </c>
      <c r="Q14" s="24">
        <f>Q14 * AC14</f>
        <v/>
      </c>
      <c r="R14" s="24">
        <f>R14 * AC14</f>
        <v/>
      </c>
      <c r="S14" s="24">
        <f>S14 * AC14</f>
        <v/>
      </c>
      <c r="T14" s="24">
        <f>T14 * AC14</f>
        <v/>
      </c>
      <c r="U14" s="24">
        <f>U14 * AC14</f>
        <v/>
      </c>
      <c r="V14" s="24">
        <f>V14 * AC14</f>
        <v/>
      </c>
      <c r="W14" s="24">
        <f>W14 * AC14</f>
        <v/>
      </c>
      <c r="X14" s="24">
        <f>X14 * AC14</f>
        <v/>
      </c>
      <c r="Y14" s="24">
        <f>Y14 * AC14</f>
        <v/>
      </c>
      <c r="Z14" s="15" t="n">
        <v>55.13250258201773</v>
      </c>
      <c r="AA14" s="24">
        <f>AA14 * AC14</f>
        <v/>
      </c>
      <c r="AB14" s="24">
        <f>AB14 * AC14</f>
        <v/>
      </c>
      <c r="AC14" s="20" t="n">
        <v>0.328169658226296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>
        <f>I15 * AC15</f>
        <v/>
      </c>
      <c r="J15" s="21">
        <f>J15 * AC15</f>
        <v/>
      </c>
      <c r="K15" s="21">
        <f>K15 * AC15</f>
        <v/>
      </c>
      <c r="L15" s="21">
        <f>L15 * AC15</f>
        <v/>
      </c>
      <c r="M15" s="25">
        <f>M15 * AC15</f>
        <v/>
      </c>
      <c r="N15" s="25">
        <f>N15 * AC15</f>
        <v/>
      </c>
      <c r="O15" s="25">
        <f>O15 * AC15</f>
        <v/>
      </c>
      <c r="P15" s="25">
        <f>P15 * AC15</f>
        <v/>
      </c>
      <c r="Q15" s="25">
        <f>Q15 * AC15</f>
        <v/>
      </c>
      <c r="R15" s="25">
        <f>R15 * AC15</f>
        <v/>
      </c>
      <c r="S15" s="25">
        <f>S15 * AC15</f>
        <v/>
      </c>
      <c r="T15" s="25">
        <f>T15 * AC15</f>
        <v/>
      </c>
      <c r="U15" s="25">
        <f>U15 * AC15</f>
        <v/>
      </c>
      <c r="V15" s="25">
        <f>V15 * AC15</f>
        <v/>
      </c>
      <c r="W15" s="25">
        <f>W15 * AC15</f>
        <v/>
      </c>
      <c r="X15" s="25">
        <f>X15 * AC15</f>
        <v/>
      </c>
      <c r="Y15" s="25">
        <f>Y15 * AC15</f>
        <v/>
      </c>
      <c r="Z15" s="17" t="n">
        <v>50.33055811063321</v>
      </c>
      <c r="AA15" s="25">
        <f>AA15 * AC15</f>
        <v/>
      </c>
      <c r="AB15" s="25">
        <f>AB15 * AC15</f>
        <v/>
      </c>
      <c r="AC15" s="22" t="n">
        <v>0.3013805874888216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>
        <f>I16 * AC16</f>
        <v/>
      </c>
      <c r="J16" s="19">
        <f>J16 * AC16</f>
        <v/>
      </c>
      <c r="K16" s="19">
        <f>K16 * AC16</f>
        <v/>
      </c>
      <c r="L16" s="19">
        <f>L16 * AC16</f>
        <v/>
      </c>
      <c r="M16" s="24">
        <f>M16 * AC16</f>
        <v/>
      </c>
      <c r="N16" s="24">
        <f>N16 * AC16</f>
        <v/>
      </c>
      <c r="O16" s="24">
        <f>O16 * AC16</f>
        <v/>
      </c>
      <c r="P16" s="24">
        <f>P16 * AC16</f>
        <v/>
      </c>
      <c r="Q16" s="24">
        <f>Q16 * AC16</f>
        <v/>
      </c>
      <c r="R16" s="24">
        <f>R16 * AC16</f>
        <v/>
      </c>
      <c r="S16" s="24">
        <f>S16 * AC16</f>
        <v/>
      </c>
      <c r="T16" s="24">
        <f>T16 * AC16</f>
        <v/>
      </c>
      <c r="U16" s="24">
        <f>U16 * AC16</f>
        <v/>
      </c>
      <c r="V16" s="24">
        <f>V16 * AC16</f>
        <v/>
      </c>
      <c r="W16" s="24">
        <f>W16 * AC16</f>
        <v/>
      </c>
      <c r="X16" s="24">
        <f>X16 * AC16</f>
        <v/>
      </c>
      <c r="Y16" s="24">
        <f>Y16 * AC16</f>
        <v/>
      </c>
      <c r="Z16" s="15" t="n">
        <v>45.94609133433825</v>
      </c>
      <c r="AA16" s="24">
        <f>AA16 * AC16</f>
        <v/>
      </c>
      <c r="AB16" s="24">
        <f>AB16 * AC16</f>
        <v/>
      </c>
      <c r="AC16" s="20" t="n">
        <v>0.2767836827369774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>
        <f>I17 * AC17</f>
        <v/>
      </c>
      <c r="J17" s="21">
        <f>J17 * AC17</f>
        <v/>
      </c>
      <c r="K17" s="21">
        <f>K17 * AC17</f>
        <v/>
      </c>
      <c r="L17" s="21">
        <f>L17 * AC17</f>
        <v/>
      </c>
      <c r="M17" s="25">
        <f>M17 * AC17</f>
        <v/>
      </c>
      <c r="N17" s="25">
        <f>N17 * AC17</f>
        <v/>
      </c>
      <c r="O17" s="25">
        <f>O17 * AC17</f>
        <v/>
      </c>
      <c r="P17" s="25">
        <f>P17 * AC17</f>
        <v/>
      </c>
      <c r="Q17" s="25">
        <f>Q17 * AC17</f>
        <v/>
      </c>
      <c r="R17" s="25">
        <f>R17 * AC17</f>
        <v/>
      </c>
      <c r="S17" s="25">
        <f>S17 * AC17</f>
        <v/>
      </c>
      <c r="T17" s="25">
        <f>T17 * AC17</f>
        <v/>
      </c>
      <c r="U17" s="25">
        <f>U17 * AC17</f>
        <v/>
      </c>
      <c r="V17" s="25">
        <f>V17 * AC17</f>
        <v/>
      </c>
      <c r="W17" s="25">
        <f>W17 * AC17</f>
        <v/>
      </c>
      <c r="X17" s="25">
        <f>X17 * AC17</f>
        <v/>
      </c>
      <c r="Y17" s="25">
        <f>Y17 * AC17</f>
        <v/>
      </c>
      <c r="Z17" s="17" t="n">
        <v>41.9420483090241</v>
      </c>
      <c r="AA17" s="25">
        <f>AA17 * AC17</f>
        <v/>
      </c>
      <c r="AB17" s="25">
        <f>AB17 * AC17</f>
        <v/>
      </c>
      <c r="AC17" s="22" t="n">
        <v>0.2541942321759036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>
        <f>I18 * AC18</f>
        <v/>
      </c>
      <c r="J18" s="19">
        <f>J18 * AC18</f>
        <v/>
      </c>
      <c r="K18" s="19">
        <f>K18 * AC18</f>
        <v/>
      </c>
      <c r="L18" s="19">
        <f>L18 * AC18</f>
        <v/>
      </c>
      <c r="M18" s="24">
        <f>M18 * AC18</f>
        <v/>
      </c>
      <c r="N18" s="24">
        <f>N18 * AC18</f>
        <v/>
      </c>
      <c r="O18" s="24">
        <f>O18 * AC18</f>
        <v/>
      </c>
      <c r="P18" s="24">
        <f>P18 * AC18</f>
        <v/>
      </c>
      <c r="Q18" s="24">
        <f>Q18 * AC18</f>
        <v/>
      </c>
      <c r="R18" s="24">
        <f>R18 * AC18</f>
        <v/>
      </c>
      <c r="S18" s="24">
        <f>S18 * AC18</f>
        <v/>
      </c>
      <c r="T18" s="24">
        <f>T18 * AC18</f>
        <v/>
      </c>
      <c r="U18" s="24">
        <f>U18 * AC18</f>
        <v/>
      </c>
      <c r="V18" s="24">
        <f>V18 * AC18</f>
        <v/>
      </c>
      <c r="W18" s="24">
        <f>W18 * AC18</f>
        <v/>
      </c>
      <c r="X18" s="24">
        <f>X18 * AC18</f>
        <v/>
      </c>
      <c r="Y18" s="24">
        <f>Y18 * AC18</f>
        <v/>
      </c>
      <c r="Z18" s="15" t="n">
        <v>38.28553747583271</v>
      </c>
      <c r="AA18" s="24">
        <f>AA18 * AC18</f>
        <v/>
      </c>
      <c r="AB18" s="24">
        <f>AB18 * AC18</f>
        <v/>
      </c>
      <c r="AC18" s="20" t="n">
        <v>0.2334483992428824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>
        <f>I19 * AC19</f>
        <v/>
      </c>
      <c r="J19" s="21">
        <f>J19 * AC19</f>
        <v/>
      </c>
      <c r="K19" s="21">
        <f>K19 * AC19</f>
        <v/>
      </c>
      <c r="L19" s="21">
        <f>L19 * AC19</f>
        <v/>
      </c>
      <c r="M19" s="25">
        <f>M19 * AC19</f>
        <v/>
      </c>
      <c r="N19" s="25">
        <f>N19 * AC19</f>
        <v/>
      </c>
      <c r="O19" s="25">
        <f>O19 * AC19</f>
        <v/>
      </c>
      <c r="P19" s="25">
        <f>P19 * AC19</f>
        <v/>
      </c>
      <c r="Q19" s="25">
        <f>Q19 * AC19</f>
        <v/>
      </c>
      <c r="R19" s="25">
        <f>R19 * AC19</f>
        <v/>
      </c>
      <c r="S19" s="25">
        <f>S19 * AC19</f>
        <v/>
      </c>
      <c r="T19" s="25">
        <f>T19 * AC19</f>
        <v/>
      </c>
      <c r="U19" s="25">
        <f>U19 * AC19</f>
        <v/>
      </c>
      <c r="V19" s="25">
        <f>V19 * AC19</f>
        <v/>
      </c>
      <c r="W19" s="25">
        <f>W19 * AC19</f>
        <v/>
      </c>
      <c r="X19" s="25">
        <f>X19 * AC19</f>
        <v/>
      </c>
      <c r="Y19" s="25">
        <f>Y19 * AC19</f>
        <v/>
      </c>
      <c r="Z19" s="17" t="n">
        <v>34.94650215599798</v>
      </c>
      <c r="AA19" s="25">
        <f>AA19 * AC19</f>
        <v/>
      </c>
      <c r="AB19" s="25">
        <f>AB19 * AC19</f>
        <v/>
      </c>
      <c r="AC19" s="22" t="n">
        <v>0.2143957187484539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>
        <f>I20 * AC20</f>
        <v/>
      </c>
      <c r="J20" s="19">
        <f>J20 * AC20</f>
        <v/>
      </c>
      <c r="K20" s="19">
        <f>K20 * AC20</f>
        <v/>
      </c>
      <c r="L20" s="19">
        <f>L20 * AC20</f>
        <v/>
      </c>
      <c r="M20" s="24">
        <f>M20 * AC20</f>
        <v/>
      </c>
      <c r="N20" s="24">
        <f>N20 * AC20</f>
        <v/>
      </c>
      <c r="O20" s="24">
        <f>O20 * AC20</f>
        <v/>
      </c>
      <c r="P20" s="24">
        <f>P20 * AC20</f>
        <v/>
      </c>
      <c r="Q20" s="24">
        <f>Q20 * AC20</f>
        <v/>
      </c>
      <c r="R20" s="24">
        <f>R20 * AC20</f>
        <v/>
      </c>
      <c r="S20" s="24">
        <f>S20 * AC20</f>
        <v/>
      </c>
      <c r="T20" s="24">
        <f>T20 * AC20</f>
        <v/>
      </c>
      <c r="U20" s="24">
        <f>U20 * AC20</f>
        <v/>
      </c>
      <c r="V20" s="24">
        <f>V20 * AC20</f>
        <v/>
      </c>
      <c r="W20" s="24">
        <f>W20 * AC20</f>
        <v/>
      </c>
      <c r="X20" s="24">
        <f>X20 * AC20</f>
        <v/>
      </c>
      <c r="Y20" s="24">
        <f>Y20 * AC20</f>
        <v/>
      </c>
      <c r="Z20" s="15" t="n">
        <v>31.89747690458386</v>
      </c>
      <c r="AA20" s="24">
        <f>AA20 * AC20</f>
        <v/>
      </c>
      <c r="AB20" s="24">
        <f>AB20 * AC20</f>
        <v/>
      </c>
      <c r="AC20" s="20" t="n">
        <v>0.196898005583851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>
        <f>I21 * AC21</f>
        <v/>
      </c>
      <c r="J21" s="21">
        <f>J21 * AC21</f>
        <v/>
      </c>
      <c r="K21" s="21">
        <f>K21 * AC21</f>
        <v/>
      </c>
      <c r="L21" s="21">
        <f>L21 * AC21</f>
        <v/>
      </c>
      <c r="M21" s="25">
        <f>M21 * AC21</f>
        <v/>
      </c>
      <c r="N21" s="25">
        <f>N21 * AC21</f>
        <v/>
      </c>
      <c r="O21" s="25">
        <f>O21 * AC21</f>
        <v/>
      </c>
      <c r="P21" s="25">
        <f>P21 * AC21</f>
        <v/>
      </c>
      <c r="Q21" s="25">
        <f>Q21 * AC21</f>
        <v/>
      </c>
      <c r="R21" s="25">
        <f>R21 * AC21</f>
        <v/>
      </c>
      <c r="S21" s="25">
        <f>S21 * AC21</f>
        <v/>
      </c>
      <c r="T21" s="25">
        <f>T21 * AC21</f>
        <v/>
      </c>
      <c r="U21" s="25">
        <f>U21 * AC21</f>
        <v/>
      </c>
      <c r="V21" s="25">
        <f>V21 * AC21</f>
        <v/>
      </c>
      <c r="W21" s="25">
        <f>W21 * AC21</f>
        <v/>
      </c>
      <c r="X21" s="25">
        <f>X21 * AC21</f>
        <v/>
      </c>
      <c r="Y21" s="25">
        <f>Y21 * AC21</f>
        <v/>
      </c>
      <c r="Z21" s="17" t="n">
        <v>29.11336475142011</v>
      </c>
      <c r="AA21" s="25">
        <f>AA21 * AC21</f>
        <v/>
      </c>
      <c r="AB21" s="25">
        <f>AB21 * AC21</f>
        <v/>
      </c>
      <c r="AC21" s="22" t="n">
        <v>0.1808283524932926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>
        <f>I22 * AC22</f>
        <v/>
      </c>
      <c r="J22" s="19">
        <f>J22 * AC22</f>
        <v/>
      </c>
      <c r="K22" s="19">
        <f>K22 * AC22</f>
        <v/>
      </c>
      <c r="L22" s="19">
        <f>L22 * AC22</f>
        <v/>
      </c>
      <c r="M22" s="24">
        <f>M22 * AC22</f>
        <v/>
      </c>
      <c r="N22" s="24">
        <f>N22 * AC22</f>
        <v/>
      </c>
      <c r="O22" s="24">
        <f>O22 * AC22</f>
        <v/>
      </c>
      <c r="P22" s="24">
        <f>P22 * AC22</f>
        <v/>
      </c>
      <c r="Q22" s="24">
        <f>Q22 * AC22</f>
        <v/>
      </c>
      <c r="R22" s="24">
        <f>R22 * AC22</f>
        <v/>
      </c>
      <c r="S22" s="24">
        <f>S22 * AC22</f>
        <v/>
      </c>
      <c r="T22" s="24">
        <f>T22 * AC22</f>
        <v/>
      </c>
      <c r="U22" s="24">
        <f>U22 * AC22</f>
        <v/>
      </c>
      <c r="V22" s="24">
        <f>V22 * AC22</f>
        <v/>
      </c>
      <c r="W22" s="24">
        <f>W22 * AC22</f>
        <v/>
      </c>
      <c r="X22" s="24">
        <f>X22 * AC22</f>
        <v/>
      </c>
      <c r="Y22" s="24">
        <f>Y22 * AC22</f>
        <v/>
      </c>
      <c r="Z22" s="15" t="n">
        <v>26.57123354274979</v>
      </c>
      <c r="AA22" s="24">
        <f>AA22 * AC22</f>
        <v/>
      </c>
      <c r="AB22" s="24">
        <f>AB22 * AC22</f>
        <v/>
      </c>
      <c r="AC22" s="20" t="n">
        <v>0.1660702096421862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>
        <f>I23 * AC23</f>
        <v/>
      </c>
      <c r="J23" s="21">
        <f>J23 * AC23</f>
        <v/>
      </c>
      <c r="K23" s="21">
        <f>K23 * AC23</f>
        <v/>
      </c>
      <c r="L23" s="21">
        <f>L23 * AC23</f>
        <v/>
      </c>
      <c r="M23" s="25">
        <f>M23 * AC23</f>
        <v/>
      </c>
      <c r="N23" s="25">
        <f>N23 * AC23</f>
        <v/>
      </c>
      <c r="O23" s="25">
        <f>O23 * AC23</f>
        <v/>
      </c>
      <c r="P23" s="25">
        <f>P23 * AC23</f>
        <v/>
      </c>
      <c r="Q23" s="25">
        <f>Q23 * AC23</f>
        <v/>
      </c>
      <c r="R23" s="25">
        <f>R23 * AC23</f>
        <v/>
      </c>
      <c r="S23" s="25">
        <f>S23 * AC23</f>
        <v/>
      </c>
      <c r="T23" s="25">
        <f>T23 * AC23</f>
        <v/>
      </c>
      <c r="U23" s="25">
        <f>U23 * AC23</f>
        <v/>
      </c>
      <c r="V23" s="25">
        <f>V23 * AC23</f>
        <v/>
      </c>
      <c r="W23" s="25">
        <f>W23 * AC23</f>
        <v/>
      </c>
      <c r="X23" s="25">
        <f>X23 * AC23</f>
        <v/>
      </c>
      <c r="Y23" s="25">
        <f>Y23 * AC23</f>
        <v/>
      </c>
      <c r="Z23" s="17" t="n">
        <v>24.25012974958118</v>
      </c>
      <c r="AA23" s="25">
        <f>AA23 * AC23</f>
        <v/>
      </c>
      <c r="AB23" s="25">
        <f>AB23 * AC23</f>
        <v/>
      </c>
      <c r="AC23" s="22" t="n">
        <v>0.152516539305542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>
        <f>I24 * AC24</f>
        <v/>
      </c>
      <c r="J24" s="19">
        <f>J24 * AC24</f>
        <v/>
      </c>
      <c r="K24" s="19">
        <f>K24 * AC24</f>
        <v/>
      </c>
      <c r="L24" s="19">
        <f>L24 * AC24</f>
        <v/>
      </c>
      <c r="M24" s="24">
        <f>M24 * AC24</f>
        <v/>
      </c>
      <c r="N24" s="24">
        <f>N24 * AC24</f>
        <v/>
      </c>
      <c r="O24" s="24">
        <f>O24 * AC24</f>
        <v/>
      </c>
      <c r="P24" s="24">
        <f>P24 * AC24</f>
        <v/>
      </c>
      <c r="Q24" s="24">
        <f>Q24 * AC24</f>
        <v/>
      </c>
      <c r="R24" s="24">
        <f>R24 * AC24</f>
        <v/>
      </c>
      <c r="S24" s="24">
        <f>S24 * AC24</f>
        <v/>
      </c>
      <c r="T24" s="24">
        <f>T24 * AC24</f>
        <v/>
      </c>
      <c r="U24" s="24">
        <f>U24 * AC24</f>
        <v/>
      </c>
      <c r="V24" s="24">
        <f>V24 * AC24</f>
        <v/>
      </c>
      <c r="W24" s="24">
        <f>W24 * AC24</f>
        <v/>
      </c>
      <c r="X24" s="24">
        <f>X24 * AC24</f>
        <v/>
      </c>
      <c r="Y24" s="24">
        <f>Y24 * AC24</f>
        <v/>
      </c>
      <c r="Z24" s="15" t="n">
        <v>22.13090824822524</v>
      </c>
      <c r="AA24" s="24">
        <f>AA24 * AC24</f>
        <v/>
      </c>
      <c r="AB24" s="24">
        <f>AB24 * AC24</f>
        <v/>
      </c>
      <c r="AC24" s="20" t="n">
        <v>0.1400690395457293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>
        <f>I25 * AC25</f>
        <v/>
      </c>
      <c r="J25" s="21">
        <f>J25 * AC25</f>
        <v/>
      </c>
      <c r="K25" s="21">
        <f>K25 * AC25</f>
        <v/>
      </c>
      <c r="L25" s="21">
        <f>L25 * AC25</f>
        <v/>
      </c>
      <c r="M25" s="25">
        <f>M25 * AC25</f>
        <v/>
      </c>
      <c r="N25" s="25">
        <f>N25 * AC25</f>
        <v/>
      </c>
      <c r="O25" s="25">
        <f>O25 * AC25</f>
        <v/>
      </c>
      <c r="P25" s="25">
        <f>P25 * AC25</f>
        <v/>
      </c>
      <c r="Q25" s="25">
        <f>Q25 * AC25</f>
        <v/>
      </c>
      <c r="R25" s="25">
        <f>R25 * AC25</f>
        <v/>
      </c>
      <c r="S25" s="25">
        <f>S25 * AC25</f>
        <v/>
      </c>
      <c r="T25" s="25">
        <f>T25 * AC25</f>
        <v/>
      </c>
      <c r="U25" s="25">
        <f>U25 * AC25</f>
        <v/>
      </c>
      <c r="V25" s="25">
        <f>V25 * AC25</f>
        <v/>
      </c>
      <c r="W25" s="25">
        <f>W25 * AC25</f>
        <v/>
      </c>
      <c r="X25" s="25">
        <f>X25 * AC25</f>
        <v/>
      </c>
      <c r="Y25" s="25">
        <f>Y25 * AC25</f>
        <v/>
      </c>
      <c r="Z25" s="17" t="n">
        <v>20.19607670610435</v>
      </c>
      <c r="AA25" s="25">
        <f>AA25 * AC25</f>
        <v/>
      </c>
      <c r="AB25" s="25">
        <f>AB25 * AC25</f>
        <v/>
      </c>
      <c r="AC25" s="22" t="n">
        <v>0.1286374312490723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>
        <f>I26 * AC26</f>
        <v/>
      </c>
      <c r="J26" s="19">
        <f>J26 * AC26</f>
        <v/>
      </c>
      <c r="K26" s="19">
        <f>K26 * AC26</f>
        <v/>
      </c>
      <c r="L26" s="19">
        <f>L26 * AC26</f>
        <v/>
      </c>
      <c r="M26" s="24">
        <f>M26 * AC26</f>
        <v/>
      </c>
      <c r="N26" s="24">
        <f>N26 * AC26</f>
        <v/>
      </c>
      <c r="O26" s="24">
        <f>O26 * AC26</f>
        <v/>
      </c>
      <c r="P26" s="24">
        <f>P26 * AC26</f>
        <v/>
      </c>
      <c r="Q26" s="24">
        <f>Q26 * AC26</f>
        <v/>
      </c>
      <c r="R26" s="24">
        <f>R26 * AC26</f>
        <v/>
      </c>
      <c r="S26" s="24">
        <f>S26 * AC26</f>
        <v/>
      </c>
      <c r="T26" s="24">
        <f>T26 * AC26</f>
        <v/>
      </c>
      <c r="U26" s="24">
        <f>U26 * AC26</f>
        <v/>
      </c>
      <c r="V26" s="24">
        <f>V26 * AC26</f>
        <v/>
      </c>
      <c r="W26" s="24">
        <f>W26 * AC26</f>
        <v/>
      </c>
      <c r="X26" s="24">
        <f>X26 * AC26</f>
        <v/>
      </c>
      <c r="Y26" s="24">
        <f>Y26 * AC26</f>
        <v/>
      </c>
      <c r="Z26" s="15" t="n">
        <v>18.42965332264845</v>
      </c>
      <c r="AA26" s="24">
        <f>AA26 * AC26</f>
        <v/>
      </c>
      <c r="AB26" s="24">
        <f>AB26 * AC26</f>
        <v/>
      </c>
      <c r="AC26" s="20" t="n">
        <v>0.1181388033503106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>
        <f>I27 * AC27</f>
        <v/>
      </c>
      <c r="J27" s="21">
        <f>J27 * AC27</f>
        <v/>
      </c>
      <c r="K27" s="21">
        <f>K27 * AC27</f>
        <v/>
      </c>
      <c r="L27" s="21">
        <f>L27 * AC27</f>
        <v/>
      </c>
      <c r="M27" s="25">
        <f>M27 * AC27</f>
        <v/>
      </c>
      <c r="N27" s="25">
        <f>N27 * AC27</f>
        <v/>
      </c>
      <c r="O27" s="25">
        <f>O27 * AC27</f>
        <v/>
      </c>
      <c r="P27" s="25">
        <f>P27 * AC27</f>
        <v/>
      </c>
      <c r="Q27" s="25">
        <f>Q27 * AC27</f>
        <v/>
      </c>
      <c r="R27" s="25">
        <f>R27 * AC27</f>
        <v/>
      </c>
      <c r="S27" s="25">
        <f>S27 * AC27</f>
        <v/>
      </c>
      <c r="T27" s="25">
        <f>T27 * AC27</f>
        <v/>
      </c>
      <c r="U27" s="25">
        <f>U27 * AC27</f>
        <v/>
      </c>
      <c r="V27" s="25">
        <f>V27 * AC27</f>
        <v/>
      </c>
      <c r="W27" s="25">
        <f>W27 * AC27</f>
        <v/>
      </c>
      <c r="X27" s="25">
        <f>X27 * AC27</f>
        <v/>
      </c>
      <c r="Y27" s="25">
        <f>Y27 * AC27</f>
        <v/>
      </c>
      <c r="Z27" s="17" t="n">
        <v>16.81703678187621</v>
      </c>
      <c r="AA27" s="25">
        <f>AA27 * AC27</f>
        <v/>
      </c>
      <c r="AB27" s="25">
        <f>AB27 * AC27</f>
        <v/>
      </c>
      <c r="AC27" s="22" t="n">
        <v>0.1084970114959755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>
        <f>I28 * AC28</f>
        <v/>
      </c>
      <c r="J28" s="19">
        <f>J28 * AC28</f>
        <v/>
      </c>
      <c r="K28" s="19">
        <f>K28 * AC28</f>
        <v/>
      </c>
      <c r="L28" s="19">
        <f>L28 * AC28</f>
        <v/>
      </c>
      <c r="M28" s="24">
        <f>M28 * AC28</f>
        <v/>
      </c>
      <c r="N28" s="24">
        <f>N28 * AC28</f>
        <v/>
      </c>
      <c r="O28" s="24">
        <f>O28 * AC28</f>
        <v/>
      </c>
      <c r="P28" s="24">
        <f>P28 * AC28</f>
        <v/>
      </c>
      <c r="Q28" s="24">
        <f>Q28 * AC28</f>
        <v/>
      </c>
      <c r="R28" s="24">
        <f>R28 * AC28</f>
        <v/>
      </c>
      <c r="S28" s="24">
        <f>S28 * AC28</f>
        <v/>
      </c>
      <c r="T28" s="24">
        <f>T28 * AC28</f>
        <v/>
      </c>
      <c r="U28" s="24">
        <f>U28 * AC28</f>
        <v/>
      </c>
      <c r="V28" s="24">
        <f>V28 * AC28</f>
        <v/>
      </c>
      <c r="W28" s="24">
        <f>W28 * AC28</f>
        <v/>
      </c>
      <c r="X28" s="24">
        <f>X28 * AC28</f>
        <v/>
      </c>
      <c r="Y28" s="24">
        <f>Y28 * AC28</f>
        <v/>
      </c>
      <c r="Z28" s="15" t="n">
        <v>15.34488736243101</v>
      </c>
      <c r="AA28" s="24">
        <f>AA28 * AC28</f>
        <v/>
      </c>
      <c r="AB28" s="24">
        <f>AB28 * AC28</f>
        <v/>
      </c>
      <c r="AC28" s="20" t="n">
        <v>0.09964212573007149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>
        <f>I29 * AC29</f>
        <v/>
      </c>
      <c r="J29" s="21">
        <f>J29 * AC29</f>
        <v/>
      </c>
      <c r="K29" s="21">
        <f>K29 * AC29</f>
        <v/>
      </c>
      <c r="L29" s="21">
        <f>L29 * AC29</f>
        <v/>
      </c>
      <c r="M29" s="25">
        <f>M29 * AC29</f>
        <v/>
      </c>
      <c r="N29" s="25">
        <f>N29 * AC29</f>
        <v/>
      </c>
      <c r="O29" s="25">
        <f>O29 * AC29</f>
        <v/>
      </c>
      <c r="P29" s="25">
        <f>P29 * AC29</f>
        <v/>
      </c>
      <c r="Q29" s="25">
        <f>Q29 * AC29</f>
        <v/>
      </c>
      <c r="R29" s="25">
        <f>R29 * AC29</f>
        <v/>
      </c>
      <c r="S29" s="25">
        <f>S29 * AC29</f>
        <v/>
      </c>
      <c r="T29" s="25">
        <f>T29 * AC29</f>
        <v/>
      </c>
      <c r="U29" s="25">
        <f>U29 * AC29</f>
        <v/>
      </c>
      <c r="V29" s="25">
        <f>V29 * AC29</f>
        <v/>
      </c>
      <c r="W29" s="25">
        <f>W29 * AC29</f>
        <v/>
      </c>
      <c r="X29" s="25">
        <f>X29 * AC29</f>
        <v/>
      </c>
      <c r="Y29" s="25">
        <f>Y29 * AC29</f>
        <v/>
      </c>
      <c r="Z29" s="17" t="n">
        <v>14.00101829272482</v>
      </c>
      <c r="AA29" s="25">
        <f>AA29 * AC29</f>
        <v/>
      </c>
      <c r="AB29" s="25">
        <f>AB29 * AC29</f>
        <v/>
      </c>
      <c r="AC29" s="22" t="n">
        <v>0.09150992348186154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>
        <f>I30 * AC30</f>
        <v/>
      </c>
      <c r="J30" s="19">
        <f>J30 * AC30</f>
        <v/>
      </c>
      <c r="K30" s="19">
        <f>K30 * AC30</f>
        <v/>
      </c>
      <c r="L30" s="19">
        <f>L30 * AC30</f>
        <v/>
      </c>
      <c r="M30" s="24">
        <f>M30 * AC30</f>
        <v/>
      </c>
      <c r="N30" s="24">
        <f>N30 * AC30</f>
        <v/>
      </c>
      <c r="O30" s="24">
        <f>O30 * AC30</f>
        <v/>
      </c>
      <c r="P30" s="24">
        <f>P30 * AC30</f>
        <v/>
      </c>
      <c r="Q30" s="24">
        <f>Q30 * AC30</f>
        <v/>
      </c>
      <c r="R30" s="24">
        <f>R30 * AC30</f>
        <v/>
      </c>
      <c r="S30" s="24">
        <f>S30 * AC30</f>
        <v/>
      </c>
      <c r="T30" s="24">
        <f>T30 * AC30</f>
        <v/>
      </c>
      <c r="U30" s="24">
        <f>U30 * AC30</f>
        <v/>
      </c>
      <c r="V30" s="24">
        <f>V30 * AC30</f>
        <v/>
      </c>
      <c r="W30" s="24">
        <f>W30 * AC30</f>
        <v/>
      </c>
      <c r="X30" s="24">
        <f>X30 * AC30</f>
        <v/>
      </c>
      <c r="Y30" s="24">
        <f>Y30 * AC30</f>
        <v/>
      </c>
      <c r="Z30" s="15" t="n">
        <v>12.77429638532484</v>
      </c>
      <c r="AA30" s="24">
        <f>AA30 * AC30</f>
        <v/>
      </c>
      <c r="AB30" s="24">
        <f>AB30 * AC30</f>
        <v/>
      </c>
      <c r="AC30" s="20" t="n">
        <v>0.08404142358766344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>
        <f>I31 * AC31</f>
        <v/>
      </c>
      <c r="J31" s="21">
        <f>J31 * AC31</f>
        <v/>
      </c>
      <c r="K31" s="21">
        <f>K31 * AC31</f>
        <v/>
      </c>
      <c r="L31" s="21">
        <f>L31 * AC31</f>
        <v/>
      </c>
      <c r="M31" s="25">
        <f>M31 * AC31</f>
        <v/>
      </c>
      <c r="N31" s="25">
        <f>N31 * AC31</f>
        <v/>
      </c>
      <c r="O31" s="25">
        <f>O31 * AC31</f>
        <v/>
      </c>
      <c r="P31" s="25">
        <f>P31 * AC31</f>
        <v/>
      </c>
      <c r="Q31" s="25">
        <f>Q31 * AC31</f>
        <v/>
      </c>
      <c r="R31" s="25">
        <f>R31 * AC31</f>
        <v/>
      </c>
      <c r="S31" s="25">
        <f>S31 * AC31</f>
        <v/>
      </c>
      <c r="T31" s="25">
        <f>T31 * AC31</f>
        <v/>
      </c>
      <c r="U31" s="25">
        <f>U31 * AC31</f>
        <v/>
      </c>
      <c r="V31" s="25">
        <f>V31 * AC31</f>
        <v/>
      </c>
      <c r="W31" s="25">
        <f>W31 * AC31</f>
        <v/>
      </c>
      <c r="X31" s="25">
        <f>X31 * AC31</f>
        <v/>
      </c>
      <c r="Y31" s="25">
        <f>Y31 * AC31</f>
        <v/>
      </c>
      <c r="Z31" s="17" t="n">
        <v>11.65455124532147</v>
      </c>
      <c r="AA31" s="25">
        <f>AA31 * AC31</f>
        <v/>
      </c>
      <c r="AB31" s="25">
        <f>AB31 * AC31</f>
        <v/>
      </c>
      <c r="AC31" s="22" t="n">
        <v>0.07718245857828787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>
        <f>I32 * AC32</f>
        <v/>
      </c>
      <c r="J32" s="19">
        <f>J32 * AC32</f>
        <v/>
      </c>
      <c r="K32" s="19">
        <f>K32 * AC32</f>
        <v/>
      </c>
      <c r="L32" s="19">
        <f>L32 * AC32</f>
        <v/>
      </c>
      <c r="M32" s="24">
        <f>M32 * AC32</f>
        <v/>
      </c>
      <c r="N32" s="24">
        <f>N32 * AC32</f>
        <v/>
      </c>
      <c r="O32" s="24">
        <f>O32 * AC32</f>
        <v/>
      </c>
      <c r="P32" s="24">
        <f>P32 * AC32</f>
        <v/>
      </c>
      <c r="Q32" s="24">
        <f>Q32 * AC32</f>
        <v/>
      </c>
      <c r="R32" s="24">
        <f>R32 * AC32</f>
        <v/>
      </c>
      <c r="S32" s="24">
        <f>S32 * AC32</f>
        <v/>
      </c>
      <c r="T32" s="24">
        <f>T32 * AC32</f>
        <v/>
      </c>
      <c r="U32" s="24">
        <f>U32 * AC32</f>
        <v/>
      </c>
      <c r="V32" s="24">
        <f>V32 * AC32</f>
        <v/>
      </c>
      <c r="W32" s="24">
        <f>W32 * AC32</f>
        <v/>
      </c>
      <c r="X32" s="24">
        <f>X32 * AC32</f>
        <v/>
      </c>
      <c r="Y32" s="24">
        <f>Y32 * AC32</f>
        <v/>
      </c>
      <c r="Z32" s="15" t="n">
        <v>10.63249227205543</v>
      </c>
      <c r="AA32" s="24">
        <f>AA32 * AC32</f>
        <v/>
      </c>
      <c r="AB32" s="24">
        <f>AB32 * AC32</f>
        <v/>
      </c>
      <c r="AC32" s="20" t="n">
        <v>0.07088328181370288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>
        <f>I33 * AC33</f>
        <v/>
      </c>
      <c r="J33" s="21">
        <f>J33 * AC33</f>
        <v/>
      </c>
      <c r="K33" s="21">
        <f>K33 * AC33</f>
        <v/>
      </c>
      <c r="L33" s="21">
        <f>L33 * AC33</f>
        <v/>
      </c>
      <c r="M33" s="25">
        <f>M33 * AC33</f>
        <v/>
      </c>
      <c r="N33" s="25">
        <f>N33 * AC33</f>
        <v/>
      </c>
      <c r="O33" s="25">
        <f>O33 * AC33</f>
        <v/>
      </c>
      <c r="P33" s="25">
        <f>P33 * AC33</f>
        <v/>
      </c>
      <c r="Q33" s="25">
        <f>Q33 * AC33</f>
        <v/>
      </c>
      <c r="R33" s="25">
        <f>R33 * AC33</f>
        <v/>
      </c>
      <c r="S33" s="25">
        <f>S33 * AC33</f>
        <v/>
      </c>
      <c r="T33" s="25">
        <f>T33 * AC33</f>
        <v/>
      </c>
      <c r="U33" s="25">
        <f>U33 * AC33</f>
        <v/>
      </c>
      <c r="V33" s="25">
        <f>V33 * AC33</f>
        <v/>
      </c>
      <c r="W33" s="25">
        <f>W33 * AC33</f>
        <v/>
      </c>
      <c r="X33" s="25">
        <f>X33 * AC33</f>
        <v/>
      </c>
      <c r="Y33" s="25">
        <f>Y33 * AC33</f>
        <v/>
      </c>
      <c r="Z33" s="17" t="n">
        <v>9.699632799720147</v>
      </c>
      <c r="AA33" s="25">
        <f>AA33 * AC33</f>
        <v/>
      </c>
      <c r="AB33" s="25">
        <f>AB33 * AC33</f>
        <v/>
      </c>
      <c r="AC33" s="22" t="n">
        <v>0.06509820670953119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>
        <f>I34 * AC34</f>
        <v/>
      </c>
      <c r="J34" s="19">
        <f>J34 * AC34</f>
        <v/>
      </c>
      <c r="K34" s="19">
        <f>K34 * AC34</f>
        <v/>
      </c>
      <c r="L34" s="19">
        <f>L34 * AC34</f>
        <v/>
      </c>
      <c r="M34" s="24">
        <f>M34 * AC34</f>
        <v/>
      </c>
      <c r="N34" s="24">
        <f>N34 * AC34</f>
        <v/>
      </c>
      <c r="O34" s="24">
        <f>O34 * AC34</f>
        <v/>
      </c>
      <c r="P34" s="24">
        <f>P34 * AC34</f>
        <v/>
      </c>
      <c r="Q34" s="24">
        <f>Q34 * AC34</f>
        <v/>
      </c>
      <c r="R34" s="24">
        <f>R34 * AC34</f>
        <v/>
      </c>
      <c r="S34" s="24">
        <f>S34 * AC34</f>
        <v/>
      </c>
      <c r="T34" s="24">
        <f>T34 * AC34</f>
        <v/>
      </c>
      <c r="U34" s="24">
        <f>U34 * AC34</f>
        <v/>
      </c>
      <c r="V34" s="24">
        <f>V34 * AC34</f>
        <v/>
      </c>
      <c r="W34" s="24">
        <f>W34 * AC34</f>
        <v/>
      </c>
      <c r="X34" s="24">
        <f>X34 * AC34</f>
        <v/>
      </c>
      <c r="Y34" s="24">
        <f>Y34 * AC34</f>
        <v/>
      </c>
      <c r="Z34" s="15" t="n">
        <v>8.848220743141267</v>
      </c>
      <c r="AA34" s="24">
        <f>AA34 * AC34</f>
        <v/>
      </c>
      <c r="AB34" s="24">
        <f>AB34 * AC34</f>
        <v/>
      </c>
      <c r="AC34" s="20" t="n">
        <v>0.05978527529149505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>
        <f>I35 * AC35</f>
        <v/>
      </c>
      <c r="J35" s="21">
        <f>J35 * AC35</f>
        <v/>
      </c>
      <c r="K35" s="21">
        <f>K35 * AC35</f>
        <v/>
      </c>
      <c r="L35" s="21">
        <f>L35 * AC35</f>
        <v/>
      </c>
      <c r="M35" s="25">
        <f>M35 * AC35</f>
        <v/>
      </c>
      <c r="N35" s="25">
        <f>N35 * AC35</f>
        <v/>
      </c>
      <c r="O35" s="25">
        <f>O35 * AC35</f>
        <v/>
      </c>
      <c r="P35" s="25">
        <f>P35 * AC35</f>
        <v/>
      </c>
      <c r="Q35" s="25">
        <f>Q35 * AC35</f>
        <v/>
      </c>
      <c r="R35" s="25">
        <f>R35 * AC35</f>
        <v/>
      </c>
      <c r="S35" s="25">
        <f>S35 * AC35</f>
        <v/>
      </c>
      <c r="T35" s="25">
        <f>T35 * AC35</f>
        <v/>
      </c>
      <c r="U35" s="25">
        <f>U35 * AC35</f>
        <v/>
      </c>
      <c r="V35" s="25">
        <f>V35 * AC35</f>
        <v/>
      </c>
      <c r="W35" s="25">
        <f>W35 * AC35</f>
        <v/>
      </c>
      <c r="X35" s="25">
        <f>X35 * AC35</f>
        <v/>
      </c>
      <c r="Y35" s="25">
        <f>Y35 * AC35</f>
        <v/>
      </c>
      <c r="Z35" s="17" t="n">
        <v>8.07117523484729</v>
      </c>
      <c r="AA35" s="25">
        <f>AA35 * AC35</f>
        <v/>
      </c>
      <c r="AB35" s="25">
        <f>AB35 * AC35</f>
        <v/>
      </c>
      <c r="AC35" s="22" t="n">
        <v>0.05490595397855299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>
        <f>I36 * AC36</f>
        <v/>
      </c>
      <c r="J36" s="19">
        <f>J36 * AC36</f>
        <v/>
      </c>
      <c r="K36" s="19">
        <f>K36 * AC36</f>
        <v/>
      </c>
      <c r="L36" s="19">
        <f>L36 * AC36</f>
        <v/>
      </c>
      <c r="M36" s="24">
        <f>M36 * AC36</f>
        <v/>
      </c>
      <c r="N36" s="24">
        <f>N36 * AC36</f>
        <v/>
      </c>
      <c r="O36" s="24">
        <f>O36 * AC36</f>
        <v/>
      </c>
      <c r="P36" s="24">
        <f>P36 * AC36</f>
        <v/>
      </c>
      <c r="Q36" s="24">
        <f>Q36 * AC36</f>
        <v/>
      </c>
      <c r="R36" s="24">
        <f>R36 * AC36</f>
        <v/>
      </c>
      <c r="S36" s="24">
        <f>S36 * AC36</f>
        <v/>
      </c>
      <c r="T36" s="24">
        <f>T36 * AC36</f>
        <v/>
      </c>
      <c r="U36" s="24">
        <f>U36 * AC36</f>
        <v/>
      </c>
      <c r="V36" s="24">
        <f>V36 * AC36</f>
        <v/>
      </c>
      <c r="W36" s="24">
        <f>W36 * AC36</f>
        <v/>
      </c>
      <c r="X36" s="24">
        <f>X36 * AC36</f>
        <v/>
      </c>
      <c r="Y36" s="24">
        <f>Y36 * AC36</f>
        <v/>
      </c>
      <c r="Z36" s="15" t="n">
        <v>7.362028694675605</v>
      </c>
      <c r="AA36" s="24">
        <f>AA36 * AC36</f>
        <v/>
      </c>
      <c r="AB36" s="24">
        <f>AB36 * AC36</f>
        <v/>
      </c>
      <c r="AC36" s="20" t="n">
        <v>0.05042485407312058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>
        <f>I37 * AC37</f>
        <v/>
      </c>
      <c r="J37" s="21">
        <f>J37 * AC37</f>
        <v/>
      </c>
      <c r="K37" s="21">
        <f>K37 * AC37</f>
        <v/>
      </c>
      <c r="L37" s="21">
        <f>L37 * AC37</f>
        <v/>
      </c>
      <c r="M37" s="25">
        <f>M37 * AC37</f>
        <v/>
      </c>
      <c r="N37" s="25">
        <f>N37 * AC37</f>
        <v/>
      </c>
      <c r="O37" s="25">
        <f>O37 * AC37</f>
        <v/>
      </c>
      <c r="P37" s="25">
        <f>P37 * AC37</f>
        <v/>
      </c>
      <c r="Q37" s="25">
        <f>Q37 * AC37</f>
        <v/>
      </c>
      <c r="R37" s="25">
        <f>R37 * AC37</f>
        <v/>
      </c>
      <c r="S37" s="25">
        <f>S37 * AC37</f>
        <v/>
      </c>
      <c r="T37" s="25">
        <f>T37 * AC37</f>
        <v/>
      </c>
      <c r="U37" s="25">
        <f>U37 * AC37</f>
        <v/>
      </c>
      <c r="V37" s="25">
        <f>V37 * AC37</f>
        <v/>
      </c>
      <c r="W37" s="25">
        <f>W37 * AC37</f>
        <v/>
      </c>
      <c r="X37" s="25">
        <f>X37 * AC37</f>
        <v/>
      </c>
      <c r="Y37" s="25">
        <f>Y37 * AC37</f>
        <v/>
      </c>
      <c r="Z37" s="17" t="n">
        <v>6.714873888665373</v>
      </c>
      <c r="AA37" s="25">
        <f>AA37 * AC37</f>
        <v/>
      </c>
      <c r="AB37" s="25">
        <f>AB37 * AC37</f>
        <v/>
      </c>
      <c r="AC37" s="22" t="n">
        <v>0.04630947509424396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>
        <f>I38 * AC38</f>
        <v/>
      </c>
      <c r="J38" s="19">
        <f>J38 * AC38</f>
        <v/>
      </c>
      <c r="K38" s="19">
        <f>K38 * AC38</f>
        <v/>
      </c>
      <c r="L38" s="19">
        <f>L38 * AC38</f>
        <v/>
      </c>
      <c r="M38" s="24">
        <f>M38 * AC38</f>
        <v/>
      </c>
      <c r="N38" s="24">
        <f>N38 * AC38</f>
        <v/>
      </c>
      <c r="O38" s="24">
        <f>O38 * AC38</f>
        <v/>
      </c>
      <c r="P38" s="24">
        <f>P38 * AC38</f>
        <v/>
      </c>
      <c r="Q38" s="24">
        <f>Q38 * AC38</f>
        <v/>
      </c>
      <c r="R38" s="24">
        <f>R38 * AC38</f>
        <v/>
      </c>
      <c r="S38" s="24">
        <f>S38 * AC38</f>
        <v/>
      </c>
      <c r="T38" s="24">
        <f>T38 * AC38</f>
        <v/>
      </c>
      <c r="U38" s="24">
        <f>U38 * AC38</f>
        <v/>
      </c>
      <c r="V38" s="24">
        <f>V38 * AC38</f>
        <v/>
      </c>
      <c r="W38" s="24">
        <f>W38 * AC38</f>
        <v/>
      </c>
      <c r="X38" s="24">
        <f>X38 * AC38</f>
        <v/>
      </c>
      <c r="Y38" s="24">
        <f>Y38 * AC38</f>
        <v/>
      </c>
      <c r="Z38" s="15" t="n">
        <v>6.124315544410307</v>
      </c>
      <c r="AA38" s="24">
        <f>AA38 * AC38</f>
        <v/>
      </c>
      <c r="AB38" s="24">
        <f>AB38 * AC38</f>
        <v/>
      </c>
      <c r="AC38" s="20" t="n">
        <v>0.04252996905840491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>
        <f>I39 * AC39</f>
        <v/>
      </c>
      <c r="J39" s="21">
        <f>J39 * AC39</f>
        <v/>
      </c>
      <c r="K39" s="21">
        <f>K39 * AC39</f>
        <v/>
      </c>
      <c r="L39" s="21">
        <f>L39 * AC39</f>
        <v/>
      </c>
      <c r="M39" s="25">
        <f>M39 * AC39</f>
        <v/>
      </c>
      <c r="N39" s="25">
        <f>N39 * AC39</f>
        <v/>
      </c>
      <c r="O39" s="25">
        <f>O39 * AC39</f>
        <v/>
      </c>
      <c r="P39" s="25">
        <f>P39 * AC39</f>
        <v/>
      </c>
      <c r="Q39" s="25">
        <f>Q39 * AC39</f>
        <v/>
      </c>
      <c r="R39" s="25">
        <f>R39 * AC39</f>
        <v/>
      </c>
      <c r="S39" s="25">
        <f>S39 * AC39</f>
        <v/>
      </c>
      <c r="T39" s="25">
        <f>T39 * AC39</f>
        <v/>
      </c>
      <c r="U39" s="25">
        <f>U39 * AC39</f>
        <v/>
      </c>
      <c r="V39" s="25">
        <f>V39 * AC39</f>
        <v/>
      </c>
      <c r="W39" s="25">
        <f>W39 * AC39</f>
        <v/>
      </c>
      <c r="X39" s="25">
        <f>X39 * AC39</f>
        <v/>
      </c>
      <c r="Y39" s="25">
        <f>Y39 * AC39</f>
        <v/>
      </c>
      <c r="Z39" s="17" t="n">
        <v>5.585426131761959</v>
      </c>
      <c r="AA39" s="25">
        <f>AA39 * AC39</f>
        <v/>
      </c>
      <c r="AB39" s="25">
        <f>AB39 * AC39</f>
        <v/>
      </c>
      <c r="AC39" s="22" t="n">
        <v>0.03905892399833538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>
        <f>I40 * AC40</f>
        <v/>
      </c>
      <c r="J40" s="19">
        <f>J40 * AC40</f>
        <v/>
      </c>
      <c r="K40" s="19">
        <f>K40 * AC40</f>
        <v/>
      </c>
      <c r="L40" s="19">
        <f>L40 * AC40</f>
        <v/>
      </c>
      <c r="M40" s="24">
        <f>M40 * AC40</f>
        <v/>
      </c>
      <c r="N40" s="24">
        <f>N40 * AC40</f>
        <v/>
      </c>
      <c r="O40" s="24">
        <f>O40 * AC40</f>
        <v/>
      </c>
      <c r="P40" s="24">
        <f>P40 * AC40</f>
        <v/>
      </c>
      <c r="Q40" s="24">
        <f>Q40 * AC40</f>
        <v/>
      </c>
      <c r="R40" s="24">
        <f>R40 * AC40</f>
        <v/>
      </c>
      <c r="S40" s="24">
        <f>S40 * AC40</f>
        <v/>
      </c>
      <c r="T40" s="24">
        <f>T40 * AC40</f>
        <v/>
      </c>
      <c r="U40" s="24">
        <f>U40 * AC40</f>
        <v/>
      </c>
      <c r="V40" s="24">
        <f>V40 * AC40</f>
        <v/>
      </c>
      <c r="W40" s="24">
        <f>W40 * AC40</f>
        <v/>
      </c>
      <c r="X40" s="24">
        <f>X40 * AC40</f>
        <v/>
      </c>
      <c r="Y40" s="24">
        <f>Y40 * AC40</f>
        <v/>
      </c>
      <c r="Z40" s="15" t="n">
        <v>5.090091138286011</v>
      </c>
      <c r="AA40" s="24">
        <f>AA40 * AC40</f>
        <v/>
      </c>
      <c r="AB40" s="24">
        <f>AB40 * AC40</f>
        <v/>
      </c>
      <c r="AC40" s="20" t="n">
        <v>0.03584571224145078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>
        <f>I41 * AC41</f>
        <v/>
      </c>
      <c r="J41" s="21">
        <f>J41 * AC41</f>
        <v/>
      </c>
      <c r="K41" s="21">
        <f>K41 * AC41</f>
        <v/>
      </c>
      <c r="L41" s="21">
        <f>L41 * AC41</f>
        <v/>
      </c>
      <c r="M41" s="25">
        <f>M41 * AC41</f>
        <v/>
      </c>
      <c r="N41" s="25">
        <f>N41 * AC41</f>
        <v/>
      </c>
      <c r="O41" s="25">
        <f>O41 * AC41</f>
        <v/>
      </c>
      <c r="P41" s="25">
        <f>P41 * AC41</f>
        <v/>
      </c>
      <c r="Q41" s="25">
        <f>Q41 * AC41</f>
        <v/>
      </c>
      <c r="R41" s="25">
        <f>R41 * AC41</f>
        <v/>
      </c>
      <c r="S41" s="25">
        <f>S41 * AC41</f>
        <v/>
      </c>
      <c r="T41" s="25">
        <f>T41 * AC41</f>
        <v/>
      </c>
      <c r="U41" s="25">
        <f>U41 * AC41</f>
        <v/>
      </c>
      <c r="V41" s="25">
        <f>V41 * AC41</f>
        <v/>
      </c>
      <c r="W41" s="25">
        <f>W41 * AC41</f>
        <v/>
      </c>
      <c r="X41" s="25">
        <f>X41 * AC41</f>
        <v/>
      </c>
      <c r="Y41" s="25">
        <f>Y41 * AC41</f>
        <v/>
      </c>
      <c r="Z41" s="17" t="n">
        <v>4.638451786342785</v>
      </c>
      <c r="AA41" s="25">
        <f>AA41 * AC41</f>
        <v/>
      </c>
      <c r="AB41" s="25">
        <f>AB41 * AC41</f>
        <v/>
      </c>
      <c r="AC41" s="22" t="n">
        <v>0.03289682117973607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>
        <f>I42 * AC42</f>
        <v/>
      </c>
      <c r="J42" s="19">
        <f>J42 * AC42</f>
        <v/>
      </c>
      <c r="K42" s="19">
        <f>K42 * AC42</f>
        <v/>
      </c>
      <c r="L42" s="19">
        <f>L42 * AC42</f>
        <v/>
      </c>
      <c r="M42" s="24">
        <f>M42 * AC42</f>
        <v/>
      </c>
      <c r="N42" s="24">
        <f>N42 * AC42</f>
        <v/>
      </c>
      <c r="O42" s="24">
        <f>O42 * AC42</f>
        <v/>
      </c>
      <c r="P42" s="24">
        <f>P42 * AC42</f>
        <v/>
      </c>
      <c r="Q42" s="24">
        <f>Q42 * AC42</f>
        <v/>
      </c>
      <c r="R42" s="24">
        <f>R42 * AC42</f>
        <v/>
      </c>
      <c r="S42" s="24">
        <f>S42 * AC42</f>
        <v/>
      </c>
      <c r="T42" s="24">
        <f>T42 * AC42</f>
        <v/>
      </c>
      <c r="U42" s="24">
        <f>U42 * AC42</f>
        <v/>
      </c>
      <c r="V42" s="24">
        <f>V42 * AC42</f>
        <v/>
      </c>
      <c r="W42" s="24">
        <f>W42 * AC42</f>
        <v/>
      </c>
      <c r="X42" s="24">
        <f>X42 * AC42</f>
        <v/>
      </c>
      <c r="Y42" s="24">
        <f>Y42 * AC42</f>
        <v/>
      </c>
      <c r="Z42" s="15" t="n">
        <v>4.226671257172767</v>
      </c>
      <c r="AA42" s="24">
        <f>AA42 * AC42</f>
        <v/>
      </c>
      <c r="AB42" s="24">
        <f>AB42 * AC42</f>
        <v/>
      </c>
      <c r="AC42" s="20" t="n">
        <v>0.03019050897980548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>
        <f>I43 * AC43</f>
        <v/>
      </c>
      <c r="J43" s="21">
        <f>J43 * AC43</f>
        <v/>
      </c>
      <c r="K43" s="21">
        <f>K43 * AC43</f>
        <v/>
      </c>
      <c r="L43" s="21">
        <f>L43 * AC43</f>
        <v/>
      </c>
      <c r="M43" s="25">
        <f>M43 * AC43</f>
        <v/>
      </c>
      <c r="N43" s="25">
        <f>N43 * AC43</f>
        <v/>
      </c>
      <c r="O43" s="25">
        <f>O43 * AC43</f>
        <v/>
      </c>
      <c r="P43" s="25">
        <f>P43 * AC43</f>
        <v/>
      </c>
      <c r="Q43" s="25">
        <f>Q43 * AC43</f>
        <v/>
      </c>
      <c r="R43" s="25">
        <f>R43 * AC43</f>
        <v/>
      </c>
      <c r="S43" s="25">
        <f>S43 * AC43</f>
        <v/>
      </c>
      <c r="T43" s="25">
        <f>T43 * AC43</f>
        <v/>
      </c>
      <c r="U43" s="25">
        <f>U43 * AC43</f>
        <v/>
      </c>
      <c r="V43" s="25">
        <f>V43 * AC43</f>
        <v/>
      </c>
      <c r="W43" s="25">
        <f>W43 * AC43</f>
        <v/>
      </c>
      <c r="X43" s="25">
        <f>X43 * AC43</f>
        <v/>
      </c>
      <c r="Y43" s="25">
        <f>Y43 * AC43</f>
        <v/>
      </c>
      <c r="Z43" s="17" t="n">
        <v>3.851248269829816</v>
      </c>
      <c r="AA43" s="25">
        <f>AA43 * AC43</f>
        <v/>
      </c>
      <c r="AB43" s="25">
        <f>AB43 * AC43</f>
        <v/>
      </c>
      <c r="AC43" s="22" t="n">
        <v>0.02770682208510659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>
        <f>I44 * AC44</f>
        <v/>
      </c>
      <c r="J44" s="19">
        <f>J44 * AC44</f>
        <v/>
      </c>
      <c r="K44" s="19">
        <f>K44 * AC44</f>
        <v/>
      </c>
      <c r="L44" s="19">
        <f>L44 * AC44</f>
        <v/>
      </c>
      <c r="M44" s="24">
        <f>M44 * AC44</f>
        <v/>
      </c>
      <c r="N44" s="24">
        <f>N44 * AC44</f>
        <v/>
      </c>
      <c r="O44" s="24">
        <f>O44 * AC44</f>
        <v/>
      </c>
      <c r="P44" s="24">
        <f>P44 * AC44</f>
        <v/>
      </c>
      <c r="Q44" s="24">
        <f>Q44 * AC44</f>
        <v/>
      </c>
      <c r="R44" s="24">
        <f>R44 * AC44</f>
        <v/>
      </c>
      <c r="S44" s="24">
        <f>S44 * AC44</f>
        <v/>
      </c>
      <c r="T44" s="24">
        <f>T44 * AC44</f>
        <v/>
      </c>
      <c r="U44" s="24">
        <f>U44 * AC44</f>
        <v/>
      </c>
      <c r="V44" s="24">
        <f>V44 * AC44</f>
        <v/>
      </c>
      <c r="W44" s="24">
        <f>W44 * AC44</f>
        <v/>
      </c>
      <c r="X44" s="24">
        <f>X44 * AC44</f>
        <v/>
      </c>
      <c r="Y44" s="24">
        <f>Y44 * AC44</f>
        <v/>
      </c>
      <c r="Z44" s="15" t="n">
        <v>3.508987843050722</v>
      </c>
      <c r="AA44" s="24">
        <f>AA44 * AC44</f>
        <v/>
      </c>
      <c r="AB44" s="24">
        <f>AB44 * AC44</f>
        <v/>
      </c>
      <c r="AC44" s="20" t="n">
        <v>0.02542744813804871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>
        <f>I45 * AC45</f>
        <v/>
      </c>
      <c r="J45" s="21">
        <f>J45 * AC45</f>
        <v/>
      </c>
      <c r="K45" s="21">
        <f>K45 * AC45</f>
        <v/>
      </c>
      <c r="L45" s="21">
        <f>L45 * AC45</f>
        <v/>
      </c>
      <c r="M45" s="25">
        <f>M45 * AC45</f>
        <v/>
      </c>
      <c r="N45" s="25">
        <f>N45 * AC45</f>
        <v/>
      </c>
      <c r="O45" s="25">
        <f>O45 * AC45</f>
        <v/>
      </c>
      <c r="P45" s="25">
        <f>P45 * AC45</f>
        <v/>
      </c>
      <c r="Q45" s="25">
        <f>Q45 * AC45</f>
        <v/>
      </c>
      <c r="R45" s="25">
        <f>R45 * AC45</f>
        <v/>
      </c>
      <c r="S45" s="25">
        <f>S45 * AC45</f>
        <v/>
      </c>
      <c r="T45" s="25">
        <f>T45 * AC45</f>
        <v/>
      </c>
      <c r="U45" s="25">
        <f>U45 * AC45</f>
        <v/>
      </c>
      <c r="V45" s="25">
        <f>V45 * AC45</f>
        <v/>
      </c>
      <c r="W45" s="25">
        <f>W45 * AC45</f>
        <v/>
      </c>
      <c r="X45" s="25">
        <f>X45 * AC45</f>
        <v/>
      </c>
      <c r="Y45" s="25">
        <f>Y45 * AC45</f>
        <v/>
      </c>
      <c r="Z45" s="17" t="n">
        <v>3.197787848144999</v>
      </c>
      <c r="AA45" s="25">
        <f>AA45 * AC45</f>
        <v/>
      </c>
      <c r="AB45" s="25">
        <f>AB45 * AC45</f>
        <v/>
      </c>
      <c r="AC45" s="22" t="n">
        <v>0.02334151713974452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>
        <f>I46 * AC46</f>
        <v/>
      </c>
      <c r="J46" s="19">
        <f>J46 * AC46</f>
        <v/>
      </c>
      <c r="K46" s="19">
        <f>K46 * AC46</f>
        <v/>
      </c>
      <c r="L46" s="19">
        <f>L46 * AC46</f>
        <v/>
      </c>
      <c r="M46" s="24">
        <f>M46 * AC46</f>
        <v/>
      </c>
      <c r="N46" s="24">
        <f>N46 * AC46</f>
        <v/>
      </c>
      <c r="O46" s="24">
        <f>O46 * AC46</f>
        <v/>
      </c>
      <c r="P46" s="24">
        <f>P46 * AC46</f>
        <v/>
      </c>
      <c r="Q46" s="24">
        <f>Q46 * AC46</f>
        <v/>
      </c>
      <c r="R46" s="24">
        <f>R46 * AC46</f>
        <v/>
      </c>
      <c r="S46" s="24">
        <f>S46 * AC46</f>
        <v/>
      </c>
      <c r="T46" s="24">
        <f>T46 * AC46</f>
        <v/>
      </c>
      <c r="U46" s="24">
        <f>U46 * AC46</f>
        <v/>
      </c>
      <c r="V46" s="24">
        <f>V46 * AC46</f>
        <v/>
      </c>
      <c r="W46" s="24">
        <f>W46 * AC46</f>
        <v/>
      </c>
      <c r="X46" s="24">
        <f>X46 * AC46</f>
        <v/>
      </c>
      <c r="Y46" s="24">
        <f>Y46 * AC46</f>
        <v/>
      </c>
      <c r="Z46" s="15" t="n">
        <v>2.91403122690523</v>
      </c>
      <c r="AA46" s="24">
        <f>AA46 * AC46</f>
        <v/>
      </c>
      <c r="AB46" s="24">
        <f>AB46 * AC46</f>
        <v/>
      </c>
      <c r="AC46" s="20" t="n">
        <v>0.02142670019783257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>
        <f>I47 * AC47</f>
        <v/>
      </c>
      <c r="J47" s="21">
        <f>J47 * AC47</f>
        <v/>
      </c>
      <c r="K47" s="21">
        <f>K47 * AC47</f>
        <v/>
      </c>
      <c r="L47" s="21">
        <f>L47 * AC47</f>
        <v/>
      </c>
      <c r="M47" s="25">
        <f>M47 * AC47</f>
        <v/>
      </c>
      <c r="N47" s="25">
        <f>N47 * AC47</f>
        <v/>
      </c>
      <c r="O47" s="25">
        <f>O47 * AC47</f>
        <v/>
      </c>
      <c r="P47" s="25">
        <f>P47 * AC47</f>
        <v/>
      </c>
      <c r="Q47" s="25">
        <f>Q47 * AC47</f>
        <v/>
      </c>
      <c r="R47" s="25">
        <f>R47 * AC47</f>
        <v/>
      </c>
      <c r="S47" s="25">
        <f>S47 * AC47</f>
        <v/>
      </c>
      <c r="T47" s="25">
        <f>T47 * AC47</f>
        <v/>
      </c>
      <c r="U47" s="25">
        <f>U47 * AC47</f>
        <v/>
      </c>
      <c r="V47" s="25">
        <f>V47 * AC47</f>
        <v/>
      </c>
      <c r="W47" s="25">
        <f>W47 * AC47</f>
        <v/>
      </c>
      <c r="X47" s="25">
        <f>X47 * AC47</f>
        <v/>
      </c>
      <c r="Y47" s="25">
        <f>Y47 * AC47</f>
        <v/>
      </c>
      <c r="Z47" s="17" t="n">
        <v>2.655309703949645</v>
      </c>
      <c r="AA47" s="25">
        <f>AA47 * AC47</f>
        <v/>
      </c>
      <c r="AB47" s="25">
        <f>AB47 * AC47</f>
        <v/>
      </c>
      <c r="AC47" s="22" t="n">
        <v>0.01966896076999737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>
        <f>I48 * AC48</f>
        <v/>
      </c>
      <c r="J48" s="19">
        <f>J48 * AC48</f>
        <v/>
      </c>
      <c r="K48" s="19">
        <f>K48 * AC48</f>
        <v/>
      </c>
      <c r="L48" s="19">
        <f>L48 * AC48</f>
        <v/>
      </c>
      <c r="M48" s="24">
        <f>M48 * AC48</f>
        <v/>
      </c>
      <c r="N48" s="24">
        <f>N48 * AC48</f>
        <v/>
      </c>
      <c r="O48" s="24">
        <f>O48 * AC48</f>
        <v/>
      </c>
      <c r="P48" s="24">
        <f>P48 * AC48</f>
        <v/>
      </c>
      <c r="Q48" s="24">
        <f>Q48 * AC48</f>
        <v/>
      </c>
      <c r="R48" s="24">
        <f>R48 * AC48</f>
        <v/>
      </c>
      <c r="S48" s="24">
        <f>S48 * AC48</f>
        <v/>
      </c>
      <c r="T48" s="24">
        <f>T48 * AC48</f>
        <v/>
      </c>
      <c r="U48" s="24">
        <f>U48 * AC48</f>
        <v/>
      </c>
      <c r="V48" s="24">
        <f>V48 * AC48</f>
        <v/>
      </c>
      <c r="W48" s="24">
        <f>W48 * AC48</f>
        <v/>
      </c>
      <c r="X48" s="24">
        <f>X48 * AC48</f>
        <v/>
      </c>
      <c r="Y48" s="24">
        <f>Y48 * AC48</f>
        <v/>
      </c>
      <c r="Z48" s="15" t="n">
        <v>2.419425436665658</v>
      </c>
      <c r="AA48" s="24">
        <f>AA48 * AC48</f>
        <v/>
      </c>
      <c r="AB48" s="24">
        <f>AB48 * AC48</f>
        <v/>
      </c>
      <c r="AC48" s="20" t="n">
        <v>0.01805541370646014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>
        <f>I49 * AC49</f>
        <v/>
      </c>
      <c r="J49" s="21">
        <f>J49 * AC49</f>
        <v/>
      </c>
      <c r="K49" s="21">
        <f>K49 * AC49</f>
        <v/>
      </c>
      <c r="L49" s="21">
        <f>L49 * AC49</f>
        <v/>
      </c>
      <c r="M49" s="25">
        <f>M49 * AC49</f>
        <v/>
      </c>
      <c r="N49" s="25">
        <f>N49 * AC49</f>
        <v/>
      </c>
      <c r="O49" s="25">
        <f>O49 * AC49</f>
        <v/>
      </c>
      <c r="P49" s="25">
        <f>P49 * AC49</f>
        <v/>
      </c>
      <c r="Q49" s="25">
        <f>Q49 * AC49</f>
        <v/>
      </c>
      <c r="R49" s="25">
        <f>R49 * AC49</f>
        <v/>
      </c>
      <c r="S49" s="25">
        <f>S49 * AC49</f>
        <v/>
      </c>
      <c r="T49" s="25">
        <f>T49 * AC49</f>
        <v/>
      </c>
      <c r="U49" s="25">
        <f>U49 * AC49</f>
        <v/>
      </c>
      <c r="V49" s="25">
        <f>V49 * AC49</f>
        <v/>
      </c>
      <c r="W49" s="25">
        <f>W49 * AC49</f>
        <v/>
      </c>
      <c r="X49" s="25">
        <f>X49 * AC49</f>
        <v/>
      </c>
      <c r="Y49" s="25">
        <f>Y49 * AC49</f>
        <v/>
      </c>
      <c r="Z49" s="17" t="n">
        <v>2.204372697159348</v>
      </c>
      <c r="AA49" s="25">
        <f>AA49 * AC49</f>
        <v/>
      </c>
      <c r="AB49" s="25">
        <f>AB49 * AC49</f>
        <v/>
      </c>
      <c r="AC49" s="22" t="n">
        <v>0.01657423080570939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>
        <f>I50 * AC50</f>
        <v/>
      </c>
      <c r="J50" s="19">
        <f>J50 * AC50</f>
        <v/>
      </c>
      <c r="K50" s="19">
        <f>K50 * AC50</f>
        <v/>
      </c>
      <c r="L50" s="19">
        <f>L50 * AC50</f>
        <v/>
      </c>
      <c r="M50" s="24">
        <f>M50 * AC50</f>
        <v/>
      </c>
      <c r="N50" s="24">
        <f>N50 * AC50</f>
        <v/>
      </c>
      <c r="O50" s="24">
        <f>O50 * AC50</f>
        <v/>
      </c>
      <c r="P50" s="24">
        <f>P50 * AC50</f>
        <v/>
      </c>
      <c r="Q50" s="24">
        <f>Q50 * AC50</f>
        <v/>
      </c>
      <c r="R50" s="24">
        <f>R50 * AC50</f>
        <v/>
      </c>
      <c r="S50" s="24">
        <f>S50 * AC50</f>
        <v/>
      </c>
      <c r="T50" s="24">
        <f>T50 * AC50</f>
        <v/>
      </c>
      <c r="U50" s="24">
        <f>U50 * AC50</f>
        <v/>
      </c>
      <c r="V50" s="24">
        <f>V50 * AC50</f>
        <v/>
      </c>
      <c r="W50" s="24">
        <f>W50 * AC50</f>
        <v/>
      </c>
      <c r="X50" s="24">
        <f>X50 * AC50</f>
        <v/>
      </c>
      <c r="Y50" s="24">
        <f>Y50 * AC50</f>
        <v/>
      </c>
      <c r="Z50" s="15" t="n">
        <v>2.008321143435222</v>
      </c>
      <c r="AA50" s="24">
        <f>AA50 * AC50</f>
        <v/>
      </c>
      <c r="AB50" s="24">
        <f>AB50 * AC50</f>
        <v/>
      </c>
      <c r="AC50" s="20" t="n">
        <v>0.0152145541169335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>
        <f>I51 * AC51</f>
        <v/>
      </c>
      <c r="J51" s="21">
        <f>J51 * AC51</f>
        <v/>
      </c>
      <c r="K51" s="21">
        <f>K51 * AC51</f>
        <v/>
      </c>
      <c r="L51" s="21">
        <f>L51 * AC51</f>
        <v/>
      </c>
      <c r="M51" s="25">
        <f>M51 * AC51</f>
        <v/>
      </c>
      <c r="N51" s="25">
        <f>N51 * AC51</f>
        <v/>
      </c>
      <c r="O51" s="25">
        <f>O51 * AC51</f>
        <v/>
      </c>
      <c r="P51" s="25">
        <f>P51 * AC51</f>
        <v/>
      </c>
      <c r="Q51" s="25">
        <f>Q51 * AC51</f>
        <v/>
      </c>
      <c r="R51" s="25">
        <f>R51 * AC51</f>
        <v/>
      </c>
      <c r="S51" s="25">
        <f>S51 * AC51</f>
        <v/>
      </c>
      <c r="T51" s="25">
        <f>T51 * AC51</f>
        <v/>
      </c>
      <c r="U51" s="25">
        <f>U51 * AC51</f>
        <v/>
      </c>
      <c r="V51" s="25">
        <f>V51 * AC51</f>
        <v/>
      </c>
      <c r="W51" s="25">
        <f>W51 * AC51</f>
        <v/>
      </c>
      <c r="X51" s="25">
        <f>X51 * AC51</f>
        <v/>
      </c>
      <c r="Y51" s="25">
        <f>Y51 * AC51</f>
        <v/>
      </c>
      <c r="Z51" s="17" t="n">
        <v>1.829600542341955</v>
      </c>
      <c r="AA51" s="25">
        <f>AA51 * AC51</f>
        <v/>
      </c>
      <c r="AB51" s="25">
        <f>AB51 * AC51</f>
        <v/>
      </c>
      <c r="AC51" s="22" t="n">
        <v>0.01396641635375538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>
        <f>I52 * AC52</f>
        <v/>
      </c>
      <c r="J52" s="19">
        <f>J52 * AC52</f>
        <v/>
      </c>
      <c r="K52" s="19">
        <f>K52 * AC52</f>
        <v/>
      </c>
      <c r="L52" s="19">
        <f>L52 * AC52</f>
        <v/>
      </c>
      <c r="M52" s="24">
        <f>M52 * AC52</f>
        <v/>
      </c>
      <c r="N52" s="24">
        <f>N52 * AC52</f>
        <v/>
      </c>
      <c r="O52" s="24">
        <f>O52 * AC52</f>
        <v/>
      </c>
      <c r="P52" s="24">
        <f>P52 * AC52</f>
        <v/>
      </c>
      <c r="Q52" s="24">
        <f>Q52 * AC52</f>
        <v/>
      </c>
      <c r="R52" s="24">
        <f>R52 * AC52</f>
        <v/>
      </c>
      <c r="S52" s="24">
        <f>S52 * AC52</f>
        <v/>
      </c>
      <c r="T52" s="24">
        <f>T52 * AC52</f>
        <v/>
      </c>
      <c r="U52" s="24">
        <f>U52 * AC52</f>
        <v/>
      </c>
      <c r="V52" s="24">
        <f>V52 * AC52</f>
        <v/>
      </c>
      <c r="W52" s="24">
        <f>W52 * AC52</f>
        <v/>
      </c>
      <c r="X52" s="24">
        <f>X52 * AC52</f>
        <v/>
      </c>
      <c r="Y52" s="24">
        <f>Y52 * AC52</f>
        <v/>
      </c>
      <c r="Z52" s="15" t="n">
        <v>1.667411182200281</v>
      </c>
      <c r="AA52" s="24">
        <f>AA52 * AC52</f>
        <v/>
      </c>
      <c r="AB52" s="24">
        <f>AB52 * AC52</f>
        <v/>
      </c>
      <c r="AC52" s="20" t="n">
        <v>0.01282623986307908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>
        <f>I53 * AC53</f>
        <v/>
      </c>
      <c r="J53" s="21">
        <f>J53 * AC53</f>
        <v/>
      </c>
      <c r="K53" s="21">
        <f>K53 * AC53</f>
        <v/>
      </c>
      <c r="L53" s="21">
        <f>L53 * AC53</f>
        <v/>
      </c>
      <c r="M53" s="25">
        <f>M53 * AC53</f>
        <v/>
      </c>
      <c r="N53" s="25">
        <f>N53 * AC53</f>
        <v/>
      </c>
      <c r="O53" s="25">
        <f>O53 * AC53</f>
        <v/>
      </c>
      <c r="P53" s="25">
        <f>P53 * AC53</f>
        <v/>
      </c>
      <c r="Q53" s="25">
        <f>Q53 * AC53</f>
        <v/>
      </c>
      <c r="R53" s="25">
        <f>R53 * AC53</f>
        <v/>
      </c>
      <c r="S53" s="25">
        <f>S53 * AC53</f>
        <v/>
      </c>
      <c r="T53" s="25">
        <f>T53 * AC53</f>
        <v/>
      </c>
      <c r="U53" s="25">
        <f>U53 * AC53</f>
        <v/>
      </c>
      <c r="V53" s="25">
        <f>V53 * AC53</f>
        <v/>
      </c>
      <c r="W53" s="25">
        <f>W53 * AC53</f>
        <v/>
      </c>
      <c r="X53" s="25">
        <f>X53 * AC53</f>
        <v/>
      </c>
      <c r="Y53" s="25">
        <f>Y53 * AC53</f>
        <v/>
      </c>
      <c r="Z53" s="17" t="n">
        <v>1.519509571640274</v>
      </c>
      <c r="AA53" s="25">
        <f>AA53 * AC53</f>
        <v/>
      </c>
      <c r="AB53" s="25">
        <f>AB53 * AC53</f>
        <v/>
      </c>
      <c r="AC53" s="22" t="n">
        <v>0.01177914396620368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>
        <f>I54 * AC54</f>
        <v/>
      </c>
      <c r="J54" s="19">
        <f>J54 * AC54</f>
        <v/>
      </c>
      <c r="K54" s="19">
        <f>K54 * AC54</f>
        <v/>
      </c>
      <c r="L54" s="19">
        <f>L54 * AC54</f>
        <v/>
      </c>
      <c r="M54" s="24">
        <f>M54 * AC54</f>
        <v/>
      </c>
      <c r="N54" s="24">
        <f>N54 * AC54</f>
        <v/>
      </c>
      <c r="O54" s="24">
        <f>O54 * AC54</f>
        <v/>
      </c>
      <c r="P54" s="24">
        <f>P54 * AC54</f>
        <v/>
      </c>
      <c r="Q54" s="24">
        <f>Q54 * AC54</f>
        <v/>
      </c>
      <c r="R54" s="24">
        <f>R54 * AC54</f>
        <v/>
      </c>
      <c r="S54" s="24">
        <f>S54 * AC54</f>
        <v/>
      </c>
      <c r="T54" s="24">
        <f>T54 * AC54</f>
        <v/>
      </c>
      <c r="U54" s="24">
        <f>U54 * AC54</f>
        <v/>
      </c>
      <c r="V54" s="24">
        <f>V54 * AC54</f>
        <v/>
      </c>
      <c r="W54" s="24">
        <f>W54 * AC54</f>
        <v/>
      </c>
      <c r="X54" s="24">
        <f>X54 * AC54</f>
        <v/>
      </c>
      <c r="Y54" s="24">
        <f>Y54 * AC54</f>
        <v/>
      </c>
      <c r="Z54" s="15" t="n">
        <v>1.384643819882444</v>
      </c>
      <c r="AA54" s="24">
        <f>AA54 * AC54</f>
        <v/>
      </c>
      <c r="AB54" s="24">
        <f>AB54 * AC54</f>
        <v/>
      </c>
      <c r="AC54" s="20" t="n">
        <v>0.01081752984283159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>
        <f>I55 * AC55</f>
        <v/>
      </c>
      <c r="J55" s="21">
        <f>J55 * AC55</f>
        <v/>
      </c>
      <c r="K55" s="21">
        <f>K55 * AC55</f>
        <v/>
      </c>
      <c r="L55" s="21">
        <f>L55 * AC55</f>
        <v/>
      </c>
      <c r="M55" s="25">
        <f>M55 * AC55</f>
        <v/>
      </c>
      <c r="N55" s="25">
        <f>N55 * AC55</f>
        <v/>
      </c>
      <c r="O55" s="25">
        <f>O55 * AC55</f>
        <v/>
      </c>
      <c r="P55" s="25">
        <f>P55 * AC55</f>
        <v/>
      </c>
      <c r="Q55" s="25">
        <f>Q55 * AC55</f>
        <v/>
      </c>
      <c r="R55" s="25">
        <f>R55 * AC55</f>
        <v/>
      </c>
      <c r="S55" s="25">
        <f>S55 * AC55</f>
        <v/>
      </c>
      <c r="T55" s="25">
        <f>T55 * AC55</f>
        <v/>
      </c>
      <c r="U55" s="25">
        <f>U55 * AC55</f>
        <v/>
      </c>
      <c r="V55" s="25">
        <f>V55 * AC55</f>
        <v/>
      </c>
      <c r="W55" s="25">
        <f>W55 * AC55</f>
        <v/>
      </c>
      <c r="X55" s="25">
        <f>X55 * AC55</f>
        <v/>
      </c>
      <c r="Y55" s="25">
        <f>Y55 * AC55</f>
        <v/>
      </c>
      <c r="Z55" s="17" t="n">
        <v>1.261671215222216</v>
      </c>
      <c r="AA55" s="25">
        <f>AA55 * AC55</f>
        <v/>
      </c>
      <c r="AB55" s="25">
        <f>AB55 * AC55</f>
        <v/>
      </c>
      <c r="AC55" s="22" t="n">
        <v>0.00993441901749776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>
        <f>I56 * AC56</f>
        <v/>
      </c>
      <c r="J56" s="19">
        <f>J56 * AC56</f>
        <v/>
      </c>
      <c r="K56" s="19">
        <f>K56 * AC56</f>
        <v/>
      </c>
      <c r="L56" s="19">
        <f>L56 * AC56</f>
        <v/>
      </c>
      <c r="M56" s="24">
        <f>M56 * AC56</f>
        <v/>
      </c>
      <c r="N56" s="24">
        <f>N56 * AC56</f>
        <v/>
      </c>
      <c r="O56" s="24">
        <f>O56 * AC56</f>
        <v/>
      </c>
      <c r="P56" s="24">
        <f>P56 * AC56</f>
        <v/>
      </c>
      <c r="Q56" s="24">
        <f>Q56 * AC56</f>
        <v/>
      </c>
      <c r="R56" s="24">
        <f>R56 * AC56</f>
        <v/>
      </c>
      <c r="S56" s="24">
        <f>S56 * AC56</f>
        <v/>
      </c>
      <c r="T56" s="24">
        <f>T56 * AC56</f>
        <v/>
      </c>
      <c r="U56" s="24">
        <f>U56 * AC56</f>
        <v/>
      </c>
      <c r="V56" s="24">
        <f>V56 * AC56</f>
        <v/>
      </c>
      <c r="W56" s="24">
        <f>W56 * AC56</f>
        <v/>
      </c>
      <c r="X56" s="24">
        <f>X56 * AC56</f>
        <v/>
      </c>
      <c r="Y56" s="24">
        <f>Y56 * AC56</f>
        <v/>
      </c>
      <c r="Z56" s="15" t="n">
        <v>1.149548742277415</v>
      </c>
      <c r="AA56" s="24">
        <f>AA56 * AC56</f>
        <v/>
      </c>
      <c r="AB56" s="24">
        <f>AB56 * AC56</f>
        <v/>
      </c>
      <c r="AC56" s="20" t="n">
        <v>0.009123402716487421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>
        <f>I57 * AC57</f>
        <v/>
      </c>
      <c r="J57" s="21">
        <f>J57 * AC57</f>
        <v/>
      </c>
      <c r="K57" s="21">
        <f>K57 * AC57</f>
        <v/>
      </c>
      <c r="L57" s="21">
        <f>L57 * AC57</f>
        <v/>
      </c>
      <c r="M57" s="25">
        <f>M57 * AC57</f>
        <v/>
      </c>
      <c r="N57" s="25">
        <f>N57 * AC57</f>
        <v/>
      </c>
      <c r="O57" s="25">
        <f>O57 * AC57</f>
        <v/>
      </c>
      <c r="P57" s="25">
        <f>P57 * AC57</f>
        <v/>
      </c>
      <c r="Q57" s="25">
        <f>Q57 * AC57</f>
        <v/>
      </c>
      <c r="R57" s="25">
        <f>R57 * AC57</f>
        <v/>
      </c>
      <c r="S57" s="25">
        <f>S57 * AC57</f>
        <v/>
      </c>
      <c r="T57" s="25">
        <f>T57 * AC57</f>
        <v/>
      </c>
      <c r="U57" s="25">
        <f>U57 * AC57</f>
        <v/>
      </c>
      <c r="V57" s="25">
        <f>V57 * AC57</f>
        <v/>
      </c>
      <c r="W57" s="25">
        <f>W57 * AC57</f>
        <v/>
      </c>
      <c r="X57" s="25">
        <f>X57 * AC57</f>
        <v/>
      </c>
      <c r="Y57" s="25">
        <f>Y57 * AC57</f>
        <v/>
      </c>
      <c r="Z57" s="17" t="n">
        <v>1.04733558837644</v>
      </c>
      <c r="AA57" s="25">
        <f>AA57 * AC57</f>
        <v/>
      </c>
      <c r="AB57" s="25">
        <f>AB57 * AC57</f>
        <v/>
      </c>
      <c r="AC57" s="22" t="n">
        <v>0.008378684707011518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>
        <f>I58 * AC58</f>
        <v/>
      </c>
      <c r="J58" s="19">
        <f>J58 * AC58</f>
        <v/>
      </c>
      <c r="K58" s="19">
        <f>K58 * AC58</f>
        <v/>
      </c>
      <c r="L58" s="19">
        <f>L58 * AC58</f>
        <v/>
      </c>
      <c r="M58" s="24">
        <f>M58 * AC58</f>
        <v/>
      </c>
      <c r="N58" s="24">
        <f>N58 * AC58</f>
        <v/>
      </c>
      <c r="O58" s="24">
        <f>O58 * AC58</f>
        <v/>
      </c>
      <c r="P58" s="24">
        <f>P58 * AC58</f>
        <v/>
      </c>
      <c r="Q58" s="24">
        <f>Q58 * AC58</f>
        <v/>
      </c>
      <c r="R58" s="24">
        <f>R58 * AC58</f>
        <v/>
      </c>
      <c r="S58" s="24">
        <f>S58 * AC58</f>
        <v/>
      </c>
      <c r="T58" s="24">
        <f>T58 * AC58</f>
        <v/>
      </c>
      <c r="U58" s="24">
        <f>U58 * AC58</f>
        <v/>
      </c>
      <c r="V58" s="24">
        <f>V58 * AC58</f>
        <v/>
      </c>
      <c r="W58" s="24">
        <f>W58 * AC58</f>
        <v/>
      </c>
      <c r="X58" s="24">
        <f>X58 * AC58</f>
        <v/>
      </c>
      <c r="Y58" s="24">
        <f>Y58 * AC58</f>
        <v/>
      </c>
      <c r="Z58" s="15" t="n">
        <v>0.9541497387274274</v>
      </c>
      <c r="AA58" s="24">
        <f>AA58 * AC58</f>
        <v/>
      </c>
      <c r="AB58" s="24">
        <f>AB58 * AC58</f>
        <v/>
      </c>
      <c r="AC58" s="20" t="n">
        <v>0.007694755957479253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>
        <f>I59 * AC59</f>
        <v/>
      </c>
      <c r="J59" s="21">
        <f>J59 * AC59</f>
        <v/>
      </c>
      <c r="K59" s="21">
        <f>K59 * AC59</f>
        <v/>
      </c>
      <c r="L59" s="21">
        <f>L59 * AC59</f>
        <v/>
      </c>
      <c r="M59" s="25">
        <f>M59 * AC59</f>
        <v/>
      </c>
      <c r="N59" s="25">
        <f>N59 * AC59</f>
        <v/>
      </c>
      <c r="O59" s="25">
        <f>O59 * AC59</f>
        <v/>
      </c>
      <c r="P59" s="25">
        <f>P59 * AC59</f>
        <v/>
      </c>
      <c r="Q59" s="25">
        <f>Q59 * AC59</f>
        <v/>
      </c>
      <c r="R59" s="25">
        <f>R59 * AC59</f>
        <v/>
      </c>
      <c r="S59" s="25">
        <f>S59 * AC59</f>
        <v/>
      </c>
      <c r="T59" s="25">
        <f>T59 * AC59</f>
        <v/>
      </c>
      <c r="U59" s="25">
        <f>U59 * AC59</f>
        <v/>
      </c>
      <c r="V59" s="25">
        <f>V59 * AC59</f>
        <v/>
      </c>
      <c r="W59" s="25">
        <f>W59 * AC59</f>
        <v/>
      </c>
      <c r="X59" s="25">
        <f>X59 * AC59</f>
        <v/>
      </c>
      <c r="Y59" s="25">
        <f>Y59 * AC59</f>
        <v/>
      </c>
      <c r="Z59" s="17" t="n">
        <v>0.8691984924045976</v>
      </c>
      <c r="AA59" s="25">
        <f>AA59 * AC59</f>
        <v/>
      </c>
      <c r="AB59" s="25">
        <f>AB59 * AC59</f>
        <v/>
      </c>
      <c r="AC59" s="22" t="n">
        <v>0.007066654409793476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>
        <f>I60 * AC60</f>
        <v/>
      </c>
      <c r="J60" s="19">
        <f>J60 * AC60</f>
        <v/>
      </c>
      <c r="K60" s="19">
        <f>K60 * AC60</f>
        <v/>
      </c>
      <c r="L60" s="19">
        <f>L60 * AC60</f>
        <v/>
      </c>
      <c r="M60" s="24">
        <f>M60 * AC60</f>
        <v/>
      </c>
      <c r="N60" s="24">
        <f>N60 * AC60</f>
        <v/>
      </c>
      <c r="O60" s="24">
        <f>O60 * AC60</f>
        <v/>
      </c>
      <c r="P60" s="24">
        <f>P60 * AC60</f>
        <v/>
      </c>
      <c r="Q60" s="24">
        <f>Q60 * AC60</f>
        <v/>
      </c>
      <c r="R60" s="24">
        <f>R60 * AC60</f>
        <v/>
      </c>
      <c r="S60" s="24">
        <f>S60 * AC60</f>
        <v/>
      </c>
      <c r="T60" s="24">
        <f>T60 * AC60</f>
        <v/>
      </c>
      <c r="U60" s="24">
        <f>U60 * AC60</f>
        <v/>
      </c>
      <c r="V60" s="24">
        <f>V60 * AC60</f>
        <v/>
      </c>
      <c r="W60" s="24">
        <f>W60 * AC60</f>
        <v/>
      </c>
      <c r="X60" s="24">
        <f>X60 * AC60</f>
        <v/>
      </c>
      <c r="Y60" s="24">
        <f>Y60 * AC60</f>
        <v/>
      </c>
      <c r="Z60" s="15" t="n">
        <v>0.7917584114702811</v>
      </c>
      <c r="AA60" s="24">
        <f>AA60 * AC60</f>
        <v/>
      </c>
      <c r="AB60" s="24">
        <f>AB60 * AC60</f>
        <v/>
      </c>
      <c r="AC60" s="20" t="n">
        <v>0.00648982304483837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>
        <f>I61 * AC61</f>
        <v/>
      </c>
      <c r="J61" s="21">
        <f>J61 * AC61</f>
        <v/>
      </c>
      <c r="K61" s="21">
        <f>K61 * AC61</f>
        <v/>
      </c>
      <c r="L61" s="21">
        <f>L61 * AC61</f>
        <v/>
      </c>
      <c r="M61" s="25">
        <f>M61 * AC61</f>
        <v/>
      </c>
      <c r="N61" s="25">
        <f>N61 * AC61</f>
        <v/>
      </c>
      <c r="O61" s="25">
        <f>O61 * AC61</f>
        <v/>
      </c>
      <c r="P61" s="25">
        <f>P61 * AC61</f>
        <v/>
      </c>
      <c r="Q61" s="25">
        <f>Q61 * AC61</f>
        <v/>
      </c>
      <c r="R61" s="25">
        <f>R61 * AC61</f>
        <v/>
      </c>
      <c r="S61" s="25">
        <f>S61 * AC61</f>
        <v/>
      </c>
      <c r="T61" s="25">
        <f>T61 * AC61</f>
        <v/>
      </c>
      <c r="U61" s="25">
        <f>U61 * AC61</f>
        <v/>
      </c>
      <c r="V61" s="25">
        <f>V61 * AC61</f>
        <v/>
      </c>
      <c r="W61" s="25">
        <f>W61 * AC61</f>
        <v/>
      </c>
      <c r="X61" s="25">
        <f>X61 * AC61</f>
        <v/>
      </c>
      <c r="Y61" s="25">
        <f>Y61 * AC61</f>
        <v/>
      </c>
      <c r="Z61" s="17" t="n">
        <v>0.7211692952534485</v>
      </c>
      <c r="AA61" s="25">
        <f>AA61 * AC61</f>
        <v/>
      </c>
      <c r="AB61" s="25">
        <f>AB61 * AC61</f>
        <v/>
      </c>
      <c r="AC61" s="22" t="n">
        <v>0.005960076820276434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>
        <f>I62 * AC62</f>
        <v/>
      </c>
      <c r="J62" s="19">
        <f>J62 * AC62</f>
        <v/>
      </c>
      <c r="K62" s="19">
        <f>K62 * AC62</f>
        <v/>
      </c>
      <c r="L62" s="19">
        <f>L62 * AC62</f>
        <v/>
      </c>
      <c r="M62" s="24">
        <f>M62 * AC62</f>
        <v/>
      </c>
      <c r="N62" s="24">
        <f>N62 * AC62</f>
        <v/>
      </c>
      <c r="O62" s="24">
        <f>O62 * AC62</f>
        <v/>
      </c>
      <c r="P62" s="24">
        <f>P62 * AC62</f>
        <v/>
      </c>
      <c r="Q62" s="24">
        <f>Q62 * AC62</f>
        <v/>
      </c>
      <c r="R62" s="24">
        <f>R62 * AC62</f>
        <v/>
      </c>
      <c r="S62" s="24">
        <f>S62 * AC62</f>
        <v/>
      </c>
      <c r="T62" s="24">
        <f>T62 * AC62</f>
        <v/>
      </c>
      <c r="U62" s="24">
        <f>U62 * AC62</f>
        <v/>
      </c>
      <c r="V62" s="24">
        <f>V62 * AC62</f>
        <v/>
      </c>
      <c r="W62" s="24">
        <f>W62 * AC62</f>
        <v/>
      </c>
      <c r="X62" s="24">
        <f>X62 * AC62</f>
        <v/>
      </c>
      <c r="Y62" s="24">
        <f>Y62 * AC62</f>
        <v/>
      </c>
      <c r="Z62" s="15" t="n">
        <v>0.6568286768545061</v>
      </c>
      <c r="AA62" s="24">
        <f>AA62 * AC62</f>
        <v/>
      </c>
      <c r="AB62" s="24">
        <f>AB62 * AC62</f>
        <v/>
      </c>
      <c r="AC62" s="20" t="n">
        <v>0.005473572307120884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>
        <f>I63 * AC63</f>
        <v/>
      </c>
      <c r="J63" s="21">
        <f>J63 * AC63</f>
        <v/>
      </c>
      <c r="K63" s="21">
        <f>K63 * AC63</f>
        <v/>
      </c>
      <c r="L63" s="21">
        <f>L63 * AC63</f>
        <v/>
      </c>
      <c r="M63" s="25">
        <f>M63 * AC63</f>
        <v/>
      </c>
      <c r="N63" s="25">
        <f>N63 * AC63</f>
        <v/>
      </c>
      <c r="O63" s="25">
        <f>O63 * AC63</f>
        <v/>
      </c>
      <c r="P63" s="25">
        <f>P63 * AC63</f>
        <v/>
      </c>
      <c r="Q63" s="25">
        <f>Q63 * AC63</f>
        <v/>
      </c>
      <c r="R63" s="25">
        <f>R63 * AC63</f>
        <v/>
      </c>
      <c r="S63" s="25">
        <f>S63 * AC63</f>
        <v/>
      </c>
      <c r="T63" s="25">
        <f>T63 * AC63</f>
        <v/>
      </c>
      <c r="U63" s="25">
        <f>U63 * AC63</f>
        <v/>
      </c>
      <c r="V63" s="25">
        <f>V63 * AC63</f>
        <v/>
      </c>
      <c r="W63" s="25">
        <f>W63 * AC63</f>
        <v/>
      </c>
      <c r="X63" s="25">
        <f>X63 * AC63</f>
        <v/>
      </c>
      <c r="Y63" s="25">
        <f>Y63 * AC63</f>
        <v/>
      </c>
      <c r="Z63" s="17" t="n">
        <v>0.5981867967700023</v>
      </c>
      <c r="AA63" s="25">
        <f>AA63 * AC63</f>
        <v/>
      </c>
      <c r="AB63" s="25">
        <f>AB63 * AC63</f>
        <v/>
      </c>
      <c r="AC63" s="22" t="n">
        <v>0.005026779804789936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>
        <f>I64 * AC64</f>
        <v/>
      </c>
      <c r="J64" s="19">
        <f>J64 * AC64</f>
        <v/>
      </c>
      <c r="K64" s="19">
        <f>K64 * AC64</f>
        <v/>
      </c>
      <c r="L64" s="19">
        <f>L64 * AC64</f>
        <v/>
      </c>
      <c r="M64" s="24">
        <f>M64 * AC64</f>
        <v/>
      </c>
      <c r="N64" s="24">
        <f>N64 * AC64</f>
        <v/>
      </c>
      <c r="O64" s="24">
        <f>O64 * AC64</f>
        <v/>
      </c>
      <c r="P64" s="24">
        <f>P64 * AC64</f>
        <v/>
      </c>
      <c r="Q64" s="24">
        <f>Q64 * AC64</f>
        <v/>
      </c>
      <c r="R64" s="24">
        <f>R64 * AC64</f>
        <v/>
      </c>
      <c r="S64" s="24">
        <f>S64 * AC64</f>
        <v/>
      </c>
      <c r="T64" s="24">
        <f>T64 * AC64</f>
        <v/>
      </c>
      <c r="U64" s="24">
        <f>U64 * AC64</f>
        <v/>
      </c>
      <c r="V64" s="24">
        <f>V64 * AC64</f>
        <v/>
      </c>
      <c r="W64" s="24">
        <f>W64 * AC64</f>
        <v/>
      </c>
      <c r="X64" s="24">
        <f>X64 * AC64</f>
        <v/>
      </c>
      <c r="Y64" s="24">
        <f>Y64 * AC64</f>
        <v/>
      </c>
      <c r="Z64" s="15" t="n">
        <v>0.5447497853210568</v>
      </c>
      <c r="AA64" s="24">
        <f>AA64 * AC64</f>
        <v/>
      </c>
      <c r="AB64" s="24">
        <f>AB64 * AC64</f>
        <v/>
      </c>
      <c r="AC64" s="20" t="n">
        <v>0.004616523604415735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>
        <f>I65 * AC65</f>
        <v/>
      </c>
      <c r="J65" s="21">
        <f>J65 * AC65</f>
        <v/>
      </c>
      <c r="K65" s="21">
        <f>K65 * AC65</f>
        <v/>
      </c>
      <c r="L65" s="21">
        <f>L65 * AC65</f>
        <v/>
      </c>
      <c r="M65" s="25">
        <f>M65 * AC65</f>
        <v/>
      </c>
      <c r="N65" s="25">
        <f>N65 * AC65</f>
        <v/>
      </c>
      <c r="O65" s="25">
        <f>O65 * AC65</f>
        <v/>
      </c>
      <c r="P65" s="25">
        <f>P65 * AC65</f>
        <v/>
      </c>
      <c r="Q65" s="25">
        <f>Q65 * AC65</f>
        <v/>
      </c>
      <c r="R65" s="25">
        <f>R65 * AC65</f>
        <v/>
      </c>
      <c r="S65" s="25">
        <f>S65 * AC65</f>
        <v/>
      </c>
      <c r="T65" s="25">
        <f>T65 * AC65</f>
        <v/>
      </c>
      <c r="U65" s="25">
        <f>U65 * AC65</f>
        <v/>
      </c>
      <c r="V65" s="25">
        <f>V65 * AC65</f>
        <v/>
      </c>
      <c r="W65" s="25">
        <f>W65 * AC65</f>
        <v/>
      </c>
      <c r="X65" s="25">
        <f>X65 * AC65</f>
        <v/>
      </c>
      <c r="Y65" s="25">
        <f>Y65 * AC65</f>
        <v/>
      </c>
      <c r="Z65" s="17" t="n">
        <v>0.4960507619348837</v>
      </c>
      <c r="AA65" s="25">
        <f>AA65 * AC65</f>
        <v/>
      </c>
      <c r="AB65" s="25">
        <f>AB65 * AC65</f>
        <v/>
      </c>
      <c r="AC65" s="22" t="n">
        <v>0.004239750102007553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>
        <f>I66 * AC66</f>
        <v/>
      </c>
      <c r="J66" s="19">
        <f>J66 * AC66</f>
        <v/>
      </c>
      <c r="K66" s="19">
        <f>K66 * AC66</f>
        <v/>
      </c>
      <c r="L66" s="19">
        <f>L66 * AC66</f>
        <v/>
      </c>
      <c r="M66" s="24">
        <f>M66 * AC66</f>
        <v/>
      </c>
      <c r="N66" s="24">
        <f>N66 * AC66</f>
        <v/>
      </c>
      <c r="O66" s="24">
        <f>O66 * AC66</f>
        <v/>
      </c>
      <c r="P66" s="24">
        <f>P66 * AC66</f>
        <v/>
      </c>
      <c r="Q66" s="24">
        <f>Q66 * AC66</f>
        <v/>
      </c>
      <c r="R66" s="24">
        <f>R66 * AC66</f>
        <v/>
      </c>
      <c r="S66" s="24">
        <f>S66 * AC66</f>
        <v/>
      </c>
      <c r="T66" s="24">
        <f>T66 * AC66</f>
        <v/>
      </c>
      <c r="U66" s="24">
        <f>U66 * AC66</f>
        <v/>
      </c>
      <c r="V66" s="24">
        <f>V66 * AC66</f>
        <v/>
      </c>
      <c r="W66" s="24">
        <f>W66 * AC66</f>
        <v/>
      </c>
      <c r="X66" s="24">
        <f>X66 * AC66</f>
        <v/>
      </c>
      <c r="Y66" s="24">
        <f>Y66 * AC66</f>
        <v/>
      </c>
      <c r="Z66" s="15" t="n">
        <v>0.4516722898573308</v>
      </c>
      <c r="AA66" s="24">
        <f>AA66 * AC66</f>
        <v/>
      </c>
      <c r="AB66" s="24">
        <f>AB66 * AC66</f>
        <v/>
      </c>
      <c r="AC66" s="20" t="n">
        <v>0.003893726636701128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>
        <f>I67 * AC67</f>
        <v/>
      </c>
      <c r="J67" s="21">
        <f>J67 * AC67</f>
        <v/>
      </c>
      <c r="K67" s="21">
        <f>K67 * AC67</f>
        <v/>
      </c>
      <c r="L67" s="21">
        <f>L67 * AC67</f>
        <v/>
      </c>
      <c r="M67" s="25">
        <f>M67 * AC67</f>
        <v/>
      </c>
      <c r="N67" s="25">
        <f>N67 * AC67</f>
        <v/>
      </c>
      <c r="O67" s="25">
        <f>O67 * AC67</f>
        <v/>
      </c>
      <c r="P67" s="25">
        <f>P67 * AC67</f>
        <v/>
      </c>
      <c r="Q67" s="25">
        <f>Q67 * AC67</f>
        <v/>
      </c>
      <c r="R67" s="25">
        <f>R67 * AC67</f>
        <v/>
      </c>
      <c r="S67" s="25">
        <f>S67 * AC67</f>
        <v/>
      </c>
      <c r="T67" s="25">
        <f>T67 * AC67</f>
        <v/>
      </c>
      <c r="U67" s="25">
        <f>U67 * AC67</f>
        <v/>
      </c>
      <c r="V67" s="25">
        <f>V67 * AC67</f>
        <v/>
      </c>
      <c r="W67" s="25">
        <f>W67 * AC67</f>
        <v/>
      </c>
      <c r="X67" s="25">
        <f>X67 * AC67</f>
        <v/>
      </c>
      <c r="Y67" s="25">
        <f>Y67 * AC67</f>
        <v/>
      </c>
      <c r="Z67" s="17" t="n">
        <v>0.4112335107039333</v>
      </c>
      <c r="AA67" s="25">
        <f>AA67 * AC67</f>
        <v/>
      </c>
      <c r="AB67" s="25">
        <f>AB67 * AC67</f>
        <v/>
      </c>
      <c r="AC67" s="22" t="n">
        <v>0.00357594357133855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>
        <f>I68 * AC68</f>
        <v/>
      </c>
      <c r="J68" s="19">
        <f>J68 * AC68</f>
        <v/>
      </c>
      <c r="K68" s="19">
        <f>K68 * AC68</f>
        <v/>
      </c>
      <c r="L68" s="19">
        <f>L68 * AC68</f>
        <v/>
      </c>
      <c r="M68" s="24">
        <f>M68 * AC68</f>
        <v/>
      </c>
      <c r="N68" s="24">
        <f>N68 * AC68</f>
        <v/>
      </c>
      <c r="O68" s="24">
        <f>O68 * AC68</f>
        <v/>
      </c>
      <c r="P68" s="24">
        <f>P68 * AC68</f>
        <v/>
      </c>
      <c r="Q68" s="24">
        <f>Q68 * AC68</f>
        <v/>
      </c>
      <c r="R68" s="24">
        <f>R68 * AC68</f>
        <v/>
      </c>
      <c r="S68" s="24">
        <f>S68 * AC68</f>
        <v/>
      </c>
      <c r="T68" s="24">
        <f>T68 * AC68</f>
        <v/>
      </c>
      <c r="U68" s="24">
        <f>U68 * AC68</f>
        <v/>
      </c>
      <c r="V68" s="24">
        <f>V68 * AC68</f>
        <v/>
      </c>
      <c r="W68" s="24">
        <f>W68 * AC68</f>
        <v/>
      </c>
      <c r="X68" s="24">
        <f>X68 * AC68</f>
        <v/>
      </c>
      <c r="Y68" s="24">
        <f>Y68 * AC68</f>
        <v/>
      </c>
      <c r="Z68" s="15" t="n">
        <v>0.3743869543267088</v>
      </c>
      <c r="AA68" s="24">
        <f>AA68 * AC68</f>
        <v/>
      </c>
      <c r="AB68" s="24">
        <f>AB68 * AC68</f>
        <v/>
      </c>
      <c r="AC68" s="20" t="n">
        <v>0.003284096090585165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>
        <f>I69 * AC69</f>
        <v/>
      </c>
      <c r="J69" s="21">
        <f>J69 * AC69</f>
        <v/>
      </c>
      <c r="K69" s="21">
        <f>K69 * AC69</f>
        <v/>
      </c>
      <c r="L69" s="21">
        <f>L69 * AC69</f>
        <v/>
      </c>
      <c r="M69" s="25">
        <f>M69 * AC69</f>
        <v/>
      </c>
      <c r="N69" s="25">
        <f>N69 * AC69</f>
        <v/>
      </c>
      <c r="O69" s="25">
        <f>O69 * AC69</f>
        <v/>
      </c>
      <c r="P69" s="25">
        <f>P69 * AC69</f>
        <v/>
      </c>
      <c r="Q69" s="25">
        <f>Q69 * AC69</f>
        <v/>
      </c>
      <c r="R69" s="25">
        <f>R69 * AC69</f>
        <v/>
      </c>
      <c r="S69" s="25">
        <f>S69 * AC69</f>
        <v/>
      </c>
      <c r="T69" s="25">
        <f>T69 * AC69</f>
        <v/>
      </c>
      <c r="U69" s="25">
        <f>U69 * AC69</f>
        <v/>
      </c>
      <c r="V69" s="25">
        <f>V69 * AC69</f>
        <v/>
      </c>
      <c r="W69" s="25">
        <f>W69 * AC69</f>
        <v/>
      </c>
      <c r="X69" s="25">
        <f>X69 * AC69</f>
        <v/>
      </c>
      <c r="Y69" s="25">
        <f>Y69 * AC69</f>
        <v/>
      </c>
      <c r="Z69" s="17" t="n">
        <v>0.3408156305624294</v>
      </c>
      <c r="AA69" s="25">
        <f>AA69 * AC69</f>
        <v/>
      </c>
      <c r="AB69" s="25">
        <f>AB69 * AC69</f>
        <v/>
      </c>
      <c r="AC69" s="22" t="n">
        <v>0.003016067527101145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>
        <f>I70 * AC70</f>
        <v/>
      </c>
      <c r="J70" s="19">
        <f>J70 * AC70</f>
        <v/>
      </c>
      <c r="K70" s="19">
        <f>K70 * AC70</f>
        <v/>
      </c>
      <c r="L70" s="19">
        <f>L70 * AC70</f>
        <v/>
      </c>
      <c r="M70" s="24">
        <f>M70 * AC70</f>
        <v/>
      </c>
      <c r="N70" s="24">
        <f>N70 * AC70</f>
        <v/>
      </c>
      <c r="O70" s="24">
        <f>O70 * AC70</f>
        <v/>
      </c>
      <c r="P70" s="24">
        <f>P70 * AC70</f>
        <v/>
      </c>
      <c r="Q70" s="24">
        <f>Q70 * AC70</f>
        <v/>
      </c>
      <c r="R70" s="24">
        <f>R70 * AC70</f>
        <v/>
      </c>
      <c r="S70" s="24">
        <f>S70 * AC70</f>
        <v/>
      </c>
      <c r="T70" s="24">
        <f>T70 * AC70</f>
        <v/>
      </c>
      <c r="U70" s="24">
        <f>U70 * AC70</f>
        <v/>
      </c>
      <c r="V70" s="24">
        <f>V70 * AC70</f>
        <v/>
      </c>
      <c r="W70" s="24">
        <f>W70 * AC70</f>
        <v/>
      </c>
      <c r="X70" s="24">
        <f>X70 * AC70</f>
        <v/>
      </c>
      <c r="Y70" s="24">
        <f>Y70 * AC70</f>
        <v/>
      </c>
      <c r="Z70" s="15" t="n">
        <v>0.3102303539962114</v>
      </c>
      <c r="AA70" s="24">
        <f>AA70 * AC70</f>
        <v/>
      </c>
      <c r="AB70" s="24">
        <f>AB70 * AC70</f>
        <v/>
      </c>
      <c r="AC70" s="20" t="n">
        <v>0.002769913874966173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>
        <f>I71 * AC71</f>
        <v/>
      </c>
      <c r="J71" s="21">
        <f>J71 * AC71</f>
        <v/>
      </c>
      <c r="K71" s="21">
        <f>K71 * AC71</f>
        <v/>
      </c>
      <c r="L71" s="21">
        <f>L71 * AC71</f>
        <v/>
      </c>
      <c r="M71" s="25">
        <f>M71 * AC71</f>
        <v/>
      </c>
      <c r="N71" s="25">
        <f>N71 * AC71</f>
        <v/>
      </c>
      <c r="O71" s="25">
        <f>O71 * AC71</f>
        <v/>
      </c>
      <c r="P71" s="25">
        <f>P71 * AC71</f>
        <v/>
      </c>
      <c r="Q71" s="25">
        <f>Q71 * AC71</f>
        <v/>
      </c>
      <c r="R71" s="25">
        <f>R71 * AC71</f>
        <v/>
      </c>
      <c r="S71" s="25">
        <f>S71 * AC71</f>
        <v/>
      </c>
      <c r="T71" s="25">
        <f>T71 * AC71</f>
        <v/>
      </c>
      <c r="U71" s="25">
        <f>U71 * AC71</f>
        <v/>
      </c>
      <c r="V71" s="25">
        <f>V71 * AC71</f>
        <v/>
      </c>
      <c r="W71" s="25">
        <f>W71 * AC71</f>
        <v/>
      </c>
      <c r="X71" s="25">
        <f>X71 * AC71</f>
        <v/>
      </c>
      <c r="Y71" s="25">
        <f>Y71 * AC71</f>
        <v/>
      </c>
      <c r="Z71" s="17" t="n">
        <v>0.282367331448174</v>
      </c>
      <c r="AA71" s="25">
        <f>AA71 * AC71</f>
        <v/>
      </c>
      <c r="AB71" s="25">
        <f>AB71 * AC71</f>
        <v/>
      </c>
      <c r="AC71" s="22" t="n">
        <v>0.002543849832866432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>
        <f>I72 * AC72</f>
        <v/>
      </c>
      <c r="J72" s="19">
        <f>J72 * AC72</f>
        <v/>
      </c>
      <c r="K72" s="19">
        <f>K72 * AC72</f>
        <v/>
      </c>
      <c r="L72" s="19">
        <f>L72 * AC72</f>
        <v/>
      </c>
      <c r="M72" s="24">
        <f>M72 * AC72</f>
        <v/>
      </c>
      <c r="N72" s="24">
        <f>N72 * AC72</f>
        <v/>
      </c>
      <c r="O72" s="24">
        <f>O72 * AC72</f>
        <v/>
      </c>
      <c r="P72" s="24">
        <f>P72 * AC72</f>
        <v/>
      </c>
      <c r="Q72" s="24">
        <f>Q72 * AC72</f>
        <v/>
      </c>
      <c r="R72" s="24">
        <f>R72 * AC72</f>
        <v/>
      </c>
      <c r="S72" s="24">
        <f>S72 * AC72</f>
        <v/>
      </c>
      <c r="T72" s="24">
        <f>T72 * AC72</f>
        <v/>
      </c>
      <c r="U72" s="24">
        <f>U72 * AC72</f>
        <v/>
      </c>
      <c r="V72" s="24">
        <f>V72 * AC72</f>
        <v/>
      </c>
      <c r="W72" s="24">
        <f>W72 * AC72</f>
        <v/>
      </c>
      <c r="X72" s="24">
        <f>X72 * AC72</f>
        <v/>
      </c>
      <c r="Y72" s="24">
        <f>Y72 * AC72</f>
        <v/>
      </c>
      <c r="Z72" s="15" t="n">
        <v>0.2569859385782875</v>
      </c>
      <c r="AA72" s="24">
        <f>AA72 * AC72</f>
        <v/>
      </c>
      <c r="AB72" s="24">
        <f>AB72 * AC72</f>
        <v/>
      </c>
      <c r="AC72" s="20" t="n">
        <v>0.002336235805257159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>
        <f>I73 * AC73</f>
        <v/>
      </c>
      <c r="J73" s="21">
        <f>J73 * AC73</f>
        <v/>
      </c>
      <c r="K73" s="21">
        <f>K73 * AC73</f>
        <v/>
      </c>
      <c r="L73" s="21">
        <f>L73 * AC73</f>
        <v/>
      </c>
      <c r="M73" s="25">
        <f>M73 * AC73</f>
        <v/>
      </c>
      <c r="N73" s="25">
        <f>N73 * AC73</f>
        <v/>
      </c>
      <c r="O73" s="25">
        <f>O73 * AC73</f>
        <v/>
      </c>
      <c r="P73" s="25">
        <f>P73 * AC73</f>
        <v/>
      </c>
      <c r="Q73" s="25">
        <f>Q73 * AC73</f>
        <v/>
      </c>
      <c r="R73" s="25">
        <f>R73 * AC73</f>
        <v/>
      </c>
      <c r="S73" s="25">
        <f>S73 * AC73</f>
        <v/>
      </c>
      <c r="T73" s="25">
        <f>T73 * AC73</f>
        <v/>
      </c>
      <c r="U73" s="25">
        <f>U73 * AC73</f>
        <v/>
      </c>
      <c r="V73" s="25">
        <f>V73 * AC73</f>
        <v/>
      </c>
      <c r="W73" s="25">
        <f>W73 * AC73</f>
        <v/>
      </c>
      <c r="X73" s="25">
        <f>X73 * AC73</f>
        <v/>
      </c>
      <c r="Y73" s="25">
        <f>Y73 * AC73</f>
        <v/>
      </c>
      <c r="Z73" s="17" t="n">
        <v>0.2338666951681199</v>
      </c>
      <c r="AA73" s="25">
        <f>AA73 * AC73</f>
        <v/>
      </c>
      <c r="AB73" s="25">
        <f>AB73 * AC73</f>
        <v/>
      </c>
      <c r="AC73" s="22" t="n">
        <v>0.002145566010716696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>
        <f>I74 * AC74</f>
        <v/>
      </c>
      <c r="J74" s="19">
        <f>J74 * AC74</f>
        <v/>
      </c>
      <c r="K74" s="19">
        <f>K74 * AC74</f>
        <v/>
      </c>
      <c r="L74" s="19">
        <f>L74 * AC74</f>
        <v/>
      </c>
      <c r="M74" s="24">
        <f>M74 * AC74</f>
        <v/>
      </c>
      <c r="N74" s="24">
        <f>N74 * AC74</f>
        <v/>
      </c>
      <c r="O74" s="24">
        <f>O74 * AC74</f>
        <v/>
      </c>
      <c r="P74" s="24">
        <f>P74 * AC74</f>
        <v/>
      </c>
      <c r="Q74" s="24">
        <f>Q74 * AC74</f>
        <v/>
      </c>
      <c r="R74" s="24">
        <f>R74 * AC74</f>
        <v/>
      </c>
      <c r="S74" s="24">
        <f>S74 * AC74</f>
        <v/>
      </c>
      <c r="T74" s="24">
        <f>T74 * AC74</f>
        <v/>
      </c>
      <c r="U74" s="24">
        <f>U74 * AC74</f>
        <v/>
      </c>
      <c r="V74" s="24">
        <f>V74 * AC74</f>
        <v/>
      </c>
      <c r="W74" s="24">
        <f>W74 * AC74</f>
        <v/>
      </c>
      <c r="X74" s="24">
        <f>X74 * AC74</f>
        <v/>
      </c>
      <c r="Y74" s="24">
        <f>Y74 * AC74</f>
        <v/>
      </c>
      <c r="Z74" s="15" t="n">
        <v>0.2128094165692713</v>
      </c>
      <c r="AA74" s="24">
        <f>AA74 * AC74</f>
        <v/>
      </c>
      <c r="AB74" s="24">
        <f>AB74 * AC74</f>
        <v/>
      </c>
      <c r="AC74" s="20" t="n">
        <v>0.001970457560826586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>
        <f>I75 * AC75</f>
        <v/>
      </c>
      <c r="J75" s="21">
        <f>J75 * AC75</f>
        <v/>
      </c>
      <c r="K75" s="21">
        <f>K75 * AC75</f>
        <v/>
      </c>
      <c r="L75" s="21">
        <f>L75 * AC75</f>
        <v/>
      </c>
      <c r="M75" s="25">
        <f>M75 * AC75</f>
        <v/>
      </c>
      <c r="N75" s="25">
        <f>N75 * AC75</f>
        <v/>
      </c>
      <c r="O75" s="25">
        <f>O75 * AC75</f>
        <v/>
      </c>
      <c r="P75" s="25">
        <f>P75 * AC75</f>
        <v/>
      </c>
      <c r="Q75" s="25">
        <f>Q75 * AC75</f>
        <v/>
      </c>
      <c r="R75" s="25">
        <f>R75 * AC75</f>
        <v/>
      </c>
      <c r="S75" s="25">
        <f>S75 * AC75</f>
        <v/>
      </c>
      <c r="T75" s="25">
        <f>T75 * AC75</f>
        <v/>
      </c>
      <c r="U75" s="25">
        <f>U75 * AC75</f>
        <v/>
      </c>
      <c r="V75" s="25">
        <f>V75 * AC75</f>
        <v/>
      </c>
      <c r="W75" s="25">
        <f>W75 * AC75</f>
        <v/>
      </c>
      <c r="X75" s="25">
        <f>X75 * AC75</f>
        <v/>
      </c>
      <c r="Y75" s="25">
        <f>Y75 * AC75</f>
        <v/>
      </c>
      <c r="Z75" s="17" t="n">
        <v>0.1936315260494929</v>
      </c>
      <c r="AA75" s="25">
        <f>AA75 * AC75</f>
        <v/>
      </c>
      <c r="AB75" s="25">
        <f>AB75 * AC75</f>
        <v/>
      </c>
      <c r="AC75" s="22" t="n">
        <v>0.001809640430369093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>
        <f>I76 * AC76</f>
        <v/>
      </c>
      <c r="J76" s="19">
        <f>J76 * AC76</f>
        <v/>
      </c>
      <c r="K76" s="19">
        <f>K76 * AC76</f>
        <v/>
      </c>
      <c r="L76" s="19">
        <f>L76 * AC76</f>
        <v/>
      </c>
      <c r="M76" s="24">
        <f>M76 * AC76</f>
        <v/>
      </c>
      <c r="N76" s="24">
        <f>N76 * AC76</f>
        <v/>
      </c>
      <c r="O76" s="24">
        <f>O76 * AC76</f>
        <v/>
      </c>
      <c r="P76" s="24">
        <f>P76 * AC76</f>
        <v/>
      </c>
      <c r="Q76" s="24">
        <f>Q76 * AC76</f>
        <v/>
      </c>
      <c r="R76" s="24">
        <f>R76 * AC76</f>
        <v/>
      </c>
      <c r="S76" s="24">
        <f>S76 * AC76</f>
        <v/>
      </c>
      <c r="T76" s="24">
        <f>T76 * AC76</f>
        <v/>
      </c>
      <c r="U76" s="24">
        <f>U76 * AC76</f>
        <v/>
      </c>
      <c r="V76" s="24">
        <f>V76 * AC76</f>
        <v/>
      </c>
      <c r="W76" s="24">
        <f>W76 * AC76</f>
        <v/>
      </c>
      <c r="X76" s="24">
        <f>X76 * AC76</f>
        <v/>
      </c>
      <c r="Y76" s="24">
        <f>Y76 * AC76</f>
        <v/>
      </c>
      <c r="Z76" s="15" t="n">
        <v>0.1761665154799714</v>
      </c>
      <c r="AA76" s="24">
        <f>AA76 * AC76</f>
        <v/>
      </c>
      <c r="AB76" s="24">
        <f>AB76 * AC76</f>
        <v/>
      </c>
      <c r="AC76" s="20" t="n">
        <v>0.001661948259245013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>
        <f>I77 * AC77</f>
        <v/>
      </c>
      <c r="J77" s="21">
        <f>J77 * AC77</f>
        <v/>
      </c>
      <c r="K77" s="21">
        <f>K77 * AC77</f>
        <v/>
      </c>
      <c r="L77" s="21">
        <f>L77 * AC77</f>
        <v/>
      </c>
      <c r="M77" s="25">
        <f>M77 * AC77</f>
        <v/>
      </c>
      <c r="N77" s="25">
        <f>N77 * AC77</f>
        <v/>
      </c>
      <c r="O77" s="25">
        <f>O77 * AC77</f>
        <v/>
      </c>
      <c r="P77" s="25">
        <f>P77 * AC77</f>
        <v/>
      </c>
      <c r="Q77" s="25">
        <f>Q77 * AC77</f>
        <v/>
      </c>
      <c r="R77" s="25">
        <f>R77 * AC77</f>
        <v/>
      </c>
      <c r="S77" s="25">
        <f>S77 * AC77</f>
        <v/>
      </c>
      <c r="T77" s="25">
        <f>T77 * AC77</f>
        <v/>
      </c>
      <c r="U77" s="25">
        <f>U77 * AC77</f>
        <v/>
      </c>
      <c r="V77" s="25">
        <f>V77 * AC77</f>
        <v/>
      </c>
      <c r="W77" s="25">
        <f>W77 * AC77</f>
        <v/>
      </c>
      <c r="X77" s="25">
        <f>X77 * AC77</f>
        <v/>
      </c>
      <c r="Y77" s="25">
        <f>Y77 * AC77</f>
        <v/>
      </c>
      <c r="Z77" s="17" t="n">
        <v>0.1602625343995209</v>
      </c>
      <c r="AA77" s="25">
        <f>AA77 * AC77</f>
        <v/>
      </c>
      <c r="AB77" s="25">
        <f>AB77 * AC77</f>
        <v/>
      </c>
      <c r="AC77" s="22" t="n">
        <v>0.001526309851424008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>
        <f>I78 * AC78</f>
        <v/>
      </c>
      <c r="J78" s="19">
        <f>J78 * AC78</f>
        <v/>
      </c>
      <c r="K78" s="19">
        <f>K78 * AC78</f>
        <v/>
      </c>
      <c r="L78" s="19">
        <f>L78 * AC78</f>
        <v/>
      </c>
      <c r="M78" s="24">
        <f>M78 * AC78</f>
        <v/>
      </c>
      <c r="N78" s="24">
        <f>N78 * AC78</f>
        <v/>
      </c>
      <c r="O78" s="24">
        <f>O78 * AC78</f>
        <v/>
      </c>
      <c r="P78" s="24">
        <f>P78 * AC78</f>
        <v/>
      </c>
      <c r="Q78" s="24">
        <f>Q78 * AC78</f>
        <v/>
      </c>
      <c r="R78" s="24">
        <f>R78 * AC78</f>
        <v/>
      </c>
      <c r="S78" s="24">
        <f>S78 * AC78</f>
        <v/>
      </c>
      <c r="T78" s="24">
        <f>T78 * AC78</f>
        <v/>
      </c>
      <c r="U78" s="24">
        <f>U78 * AC78</f>
        <v/>
      </c>
      <c r="V78" s="24">
        <f>V78 * AC78</f>
        <v/>
      </c>
      <c r="W78" s="24">
        <f>W78 * AC78</f>
        <v/>
      </c>
      <c r="X78" s="24">
        <f>X78 * AC78</f>
        <v/>
      </c>
      <c r="Y78" s="24">
        <f>Y78 * AC78</f>
        <v/>
      </c>
      <c r="Z78" s="15" t="n">
        <v>0.1457811107884169</v>
      </c>
      <c r="AA78" s="24">
        <f>AA78 * AC78</f>
        <v/>
      </c>
      <c r="AB78" s="24">
        <f>AB78 * AC78</f>
        <v/>
      </c>
      <c r="AC78" s="20" t="n">
        <v>0.001401741449888624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>
        <f>I79 * AC79</f>
        <v/>
      </c>
      <c r="J79" s="21">
        <f>J79 * AC79</f>
        <v/>
      </c>
      <c r="K79" s="21">
        <f>K79 * AC79</f>
        <v/>
      </c>
      <c r="L79" s="21">
        <f>L79 * AC79</f>
        <v/>
      </c>
      <c r="M79" s="25">
        <f>M79 * AC79</f>
        <v/>
      </c>
      <c r="N79" s="25">
        <f>N79 * AC79</f>
        <v/>
      </c>
      <c r="O79" s="25">
        <f>O79 * AC79</f>
        <v/>
      </c>
      <c r="P79" s="25">
        <f>P79 * AC79</f>
        <v/>
      </c>
      <c r="Q79" s="25">
        <f>Q79 * AC79</f>
        <v/>
      </c>
      <c r="R79" s="25">
        <f>R79 * AC79</f>
        <v/>
      </c>
      <c r="S79" s="25">
        <f>S79 * AC79</f>
        <v/>
      </c>
      <c r="T79" s="25">
        <f>T79 * AC79</f>
        <v/>
      </c>
      <c r="U79" s="25">
        <f>U79 * AC79</f>
        <v/>
      </c>
      <c r="V79" s="25">
        <f>V79 * AC79</f>
        <v/>
      </c>
      <c r="W79" s="25">
        <f>W79 * AC79</f>
        <v/>
      </c>
      <c r="X79" s="25">
        <f>X79 * AC79</f>
        <v/>
      </c>
      <c r="Y79" s="25">
        <f>Y79 * AC79</f>
        <v/>
      </c>
      <c r="Z79" s="17" t="n">
        <v>0.1325959773644754</v>
      </c>
      <c r="AA79" s="25">
        <f>AA79 * AC79</f>
        <v/>
      </c>
      <c r="AB79" s="25">
        <f>AB79 * AC79</f>
        <v/>
      </c>
      <c r="AC79" s="22" t="n">
        <v>0.001287339586062868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>
        <f>I80 * AC80</f>
        <v/>
      </c>
      <c r="J80" s="19">
        <f>J80 * AC80</f>
        <v/>
      </c>
      <c r="K80" s="19">
        <f>K80 * AC80</f>
        <v/>
      </c>
      <c r="L80" s="19">
        <f>L80 * AC80</f>
        <v/>
      </c>
      <c r="M80" s="24">
        <f>M80 * AC80</f>
        <v/>
      </c>
      <c r="N80" s="24">
        <f>N80 * AC80</f>
        <v/>
      </c>
      <c r="O80" s="24">
        <f>O80 * AC80</f>
        <v/>
      </c>
      <c r="P80" s="24">
        <f>P80 * AC80</f>
        <v/>
      </c>
      <c r="Q80" s="24">
        <f>Q80 * AC80</f>
        <v/>
      </c>
      <c r="R80" s="24">
        <f>R80 * AC80</f>
        <v/>
      </c>
      <c r="S80" s="24">
        <f>S80 * AC80</f>
        <v/>
      </c>
      <c r="T80" s="24">
        <f>T80 * AC80</f>
        <v/>
      </c>
      <c r="U80" s="24">
        <f>U80 * AC80</f>
        <v/>
      </c>
      <c r="V80" s="24">
        <f>V80 * AC80</f>
        <v/>
      </c>
      <c r="W80" s="24">
        <f>W80 * AC80</f>
        <v/>
      </c>
      <c r="X80" s="24">
        <f>X80 * AC80</f>
        <v/>
      </c>
      <c r="Y80" s="24">
        <f>Y80 * AC80</f>
        <v/>
      </c>
      <c r="Z80" s="15" t="n">
        <v>0.120592001768637</v>
      </c>
      <c r="AA80" s="24">
        <f>AA80 * AC80</f>
        <v/>
      </c>
      <c r="AB80" s="24">
        <f>AB80 * AC80</f>
        <v/>
      </c>
      <c r="AC80" s="20" t="n">
        <v>0.0011822745271435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>
        <f>I81 * AC81</f>
        <v/>
      </c>
      <c r="J81" s="21">
        <f>J81 * AC81</f>
        <v/>
      </c>
      <c r="K81" s="21">
        <f>K81 * AC81</f>
        <v/>
      </c>
      <c r="L81" s="21">
        <f>L81 * AC81</f>
        <v/>
      </c>
      <c r="M81" s="25">
        <f>M81 * AC81</f>
        <v/>
      </c>
      <c r="N81" s="25">
        <f>N81 * AC81</f>
        <v/>
      </c>
      <c r="O81" s="25">
        <f>O81 * AC81</f>
        <v/>
      </c>
      <c r="P81" s="25">
        <f>P81 * AC81</f>
        <v/>
      </c>
      <c r="Q81" s="25">
        <f>Q81 * AC81</f>
        <v/>
      </c>
      <c r="R81" s="25">
        <f>R81 * AC81</f>
        <v/>
      </c>
      <c r="S81" s="25">
        <f>S81 * AC81</f>
        <v/>
      </c>
      <c r="T81" s="25">
        <f>T81 * AC81</f>
        <v/>
      </c>
      <c r="U81" s="25">
        <f>U81 * AC81</f>
        <v/>
      </c>
      <c r="V81" s="25">
        <f>V81 * AC81</f>
        <v/>
      </c>
      <c r="W81" s="25">
        <f>W81 * AC81</f>
        <v/>
      </c>
      <c r="X81" s="25">
        <f>X81 * AC81</f>
        <v/>
      </c>
      <c r="Y81" s="25">
        <f>Y81 * AC81</f>
        <v/>
      </c>
      <c r="Z81" s="17" t="n">
        <v>0.109664210080367</v>
      </c>
      <c r="AA81" s="25">
        <f>AA81 * AC81</f>
        <v/>
      </c>
      <c r="AB81" s="25">
        <f>AB81 * AC81</f>
        <v/>
      </c>
      <c r="AC81" s="22" t="n">
        <v>0.001085784258221456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>
        <f>I82 * AC82</f>
        <v/>
      </c>
      <c r="J82" s="19">
        <f>J82 * AC82</f>
        <v/>
      </c>
      <c r="K82" s="19">
        <f>K82 * AC82</f>
        <v/>
      </c>
      <c r="L82" s="19">
        <f>L82 * AC82</f>
        <v/>
      </c>
      <c r="M82" s="24">
        <f>M82 * AC82</f>
        <v/>
      </c>
      <c r="N82" s="24">
        <f>N82 * AC82</f>
        <v/>
      </c>
      <c r="O82" s="24">
        <f>O82 * AC82</f>
        <v/>
      </c>
      <c r="P82" s="24">
        <f>P82 * AC82</f>
        <v/>
      </c>
      <c r="Q82" s="24">
        <f>Q82 * AC82</f>
        <v/>
      </c>
      <c r="R82" s="24">
        <f>R82 * AC82</f>
        <v/>
      </c>
      <c r="S82" s="24">
        <f>S82 * AC82</f>
        <v/>
      </c>
      <c r="T82" s="24">
        <f>T82 * AC82</f>
        <v/>
      </c>
      <c r="U82" s="24">
        <f>U82 * AC82</f>
        <v/>
      </c>
      <c r="V82" s="24">
        <f>V82 * AC82</f>
        <v/>
      </c>
      <c r="W82" s="24">
        <f>W82 * AC82</f>
        <v/>
      </c>
      <c r="X82" s="24">
        <f>X82 * AC82</f>
        <v/>
      </c>
      <c r="Y82" s="24">
        <f>Y82 * AC82</f>
        <v/>
      </c>
      <c r="Z82" s="15" t="n">
        <v>0.09971689555470076</v>
      </c>
      <c r="AA82" s="24">
        <f>AA82 * AC82</f>
        <v/>
      </c>
      <c r="AB82" s="24">
        <f>AB82 * AC82</f>
        <v/>
      </c>
      <c r="AC82" s="20" t="n">
        <v>0.0009971689555470075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>
        <f>I83 * AC83</f>
        <v/>
      </c>
      <c r="J83" s="21">
        <f>J83 * AC83</f>
        <v/>
      </c>
      <c r="K83" s="21">
        <f>K83 * AC83</f>
        <v/>
      </c>
      <c r="L83" s="21">
        <f>L83 * AC83</f>
        <v/>
      </c>
      <c r="M83" s="25">
        <f>M83 * AC83</f>
        <v/>
      </c>
      <c r="N83" s="25">
        <f>N83 * AC83</f>
        <v/>
      </c>
      <c r="O83" s="25">
        <f>O83 * AC83</f>
        <v/>
      </c>
      <c r="P83" s="25">
        <f>P83 * AC83</f>
        <v/>
      </c>
      <c r="Q83" s="25">
        <f>Q83 * AC83</f>
        <v/>
      </c>
      <c r="R83" s="25">
        <f>R83 * AC83</f>
        <v/>
      </c>
      <c r="S83" s="25">
        <f>S83 * AC83</f>
        <v/>
      </c>
      <c r="T83" s="25">
        <f>T83 * AC83</f>
        <v/>
      </c>
      <c r="U83" s="25">
        <f>U83 * AC83</f>
        <v/>
      </c>
      <c r="V83" s="25">
        <f>V83 * AC83</f>
        <v/>
      </c>
      <c r="W83" s="25">
        <f>W83 * AC83</f>
        <v/>
      </c>
      <c r="X83" s="25">
        <f>X83 * AC83</f>
        <v/>
      </c>
      <c r="Y83" s="25">
        <f>Y83 * AC83</f>
        <v/>
      </c>
      <c r="Z83" s="17" t="n">
        <v>0.09066280517458608</v>
      </c>
      <c r="AA83" s="25">
        <f>AA83 * AC83</f>
        <v/>
      </c>
      <c r="AB83" s="25">
        <f>AB83 * AC83</f>
        <v/>
      </c>
      <c r="AC83" s="22" t="n">
        <v>0.0009157859108544048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>
        <f>I84 * AC84</f>
        <v/>
      </c>
      <c r="J84" s="19">
        <f>J84 * AC84</f>
        <v/>
      </c>
      <c r="K84" s="19">
        <f>K84 * AC84</f>
        <v/>
      </c>
      <c r="L84" s="19">
        <f>L84 * AC84</f>
        <v/>
      </c>
      <c r="M84" s="24">
        <f>M84 * AC84</f>
        <v/>
      </c>
      <c r="N84" s="24">
        <f>N84 * AC84</f>
        <v/>
      </c>
      <c r="O84" s="24">
        <f>O84 * AC84</f>
        <v/>
      </c>
      <c r="P84" s="24">
        <f>P84 * AC84</f>
        <v/>
      </c>
      <c r="Q84" s="24">
        <f>Q84 * AC84</f>
        <v/>
      </c>
      <c r="R84" s="24">
        <f>R84 * AC84</f>
        <v/>
      </c>
      <c r="S84" s="24">
        <f>S84 * AC84</f>
        <v/>
      </c>
      <c r="T84" s="24">
        <f>T84 * AC84</f>
        <v/>
      </c>
      <c r="U84" s="24">
        <f>U84 * AC84</f>
        <v/>
      </c>
      <c r="V84" s="24">
        <f>V84 * AC84</f>
        <v/>
      </c>
      <c r="W84" s="24">
        <f>W84 * AC84</f>
        <v/>
      </c>
      <c r="X84" s="24">
        <f>X84 * AC84</f>
        <v/>
      </c>
      <c r="Y84" s="24">
        <f>Y84 * AC84</f>
        <v/>
      </c>
      <c r="Z84" s="15" t="n">
        <v>0.08242239725345105</v>
      </c>
      <c r="AA84" s="24">
        <f>AA84 * AC84</f>
        <v/>
      </c>
      <c r="AB84" s="24">
        <f>AB84 * AC84</f>
        <v/>
      </c>
      <c r="AC84" s="20" t="n">
        <v>0.000841044869933174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>
        <f>I85 * AC85</f>
        <v/>
      </c>
      <c r="J85" s="21">
        <f>J85 * AC85</f>
        <v/>
      </c>
      <c r="K85" s="21">
        <f>K85 * AC85</f>
        <v/>
      </c>
      <c r="L85" s="21">
        <f>L85 * AC85</f>
        <v/>
      </c>
      <c r="M85" s="25">
        <f>M85 * AC85</f>
        <v/>
      </c>
      <c r="N85" s="25">
        <f>N85 * AC85</f>
        <v/>
      </c>
      <c r="O85" s="25">
        <f>O85 * AC85</f>
        <v/>
      </c>
      <c r="P85" s="25">
        <f>P85 * AC85</f>
        <v/>
      </c>
      <c r="Q85" s="25">
        <f>Q85 * AC85</f>
        <v/>
      </c>
      <c r="R85" s="25">
        <f>R85 * AC85</f>
        <v/>
      </c>
      <c r="S85" s="25">
        <f>S85 * AC85</f>
        <v/>
      </c>
      <c r="T85" s="25">
        <f>T85 * AC85</f>
        <v/>
      </c>
      <c r="U85" s="25">
        <f>U85 * AC85</f>
        <v/>
      </c>
      <c r="V85" s="25">
        <f>V85 * AC85</f>
        <v/>
      </c>
      <c r="W85" s="25">
        <f>W85 * AC85</f>
        <v/>
      </c>
      <c r="X85" s="25">
        <f>X85 * AC85</f>
        <v/>
      </c>
      <c r="Y85" s="25">
        <f>Y85 * AC85</f>
        <v/>
      </c>
      <c r="Z85" s="17" t="n">
        <v>0.07492316390885892</v>
      </c>
      <c r="AA85" s="25">
        <f>AA85 * AC85</f>
        <v/>
      </c>
      <c r="AB85" s="25">
        <f>AB85 * AC85</f>
        <v/>
      </c>
      <c r="AC85" s="22" t="n">
        <v>0.0007724037516377208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>
        <f>I86 * AC86</f>
        <v/>
      </c>
      <c r="J86" s="19">
        <f>J86 * AC86</f>
        <v/>
      </c>
      <c r="K86" s="19">
        <f>K86 * AC86</f>
        <v/>
      </c>
      <c r="L86" s="19">
        <f>L86 * AC86</f>
        <v/>
      </c>
      <c r="M86" s="24">
        <f>M86 * AC86</f>
        <v/>
      </c>
      <c r="N86" s="24">
        <f>N86 * AC86</f>
        <v/>
      </c>
      <c r="O86" s="24">
        <f>O86 * AC86</f>
        <v/>
      </c>
      <c r="P86" s="24">
        <f>P86 * AC86</f>
        <v/>
      </c>
      <c r="Q86" s="24">
        <f>Q86 * AC86</f>
        <v/>
      </c>
      <c r="R86" s="24">
        <f>R86 * AC86</f>
        <v/>
      </c>
      <c r="S86" s="24">
        <f>S86 * AC86</f>
        <v/>
      </c>
      <c r="T86" s="24">
        <f>T86 * AC86</f>
        <v/>
      </c>
      <c r="U86" s="24">
        <f>U86 * AC86</f>
        <v/>
      </c>
      <c r="V86" s="24">
        <f>V86 * AC86</f>
        <v/>
      </c>
      <c r="W86" s="24">
        <f>W86 * AC86</f>
        <v/>
      </c>
      <c r="X86" s="24">
        <f>X86 * AC86</f>
        <v/>
      </c>
      <c r="Y86" s="24">
        <f>Y86 * AC86</f>
        <v/>
      </c>
      <c r="Z86" s="15" t="n">
        <v>0.0680990127634656</v>
      </c>
      <c r="AA86" s="24">
        <f>AA86 * AC86</f>
        <v/>
      </c>
      <c r="AB86" s="24">
        <f>AB86 * AC86</f>
        <v/>
      </c>
      <c r="AC86" s="20" t="n">
        <v>0.0007093647162861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>
        <f>I87 * AC87</f>
        <v/>
      </c>
      <c r="J87" s="21">
        <f>J87 * AC87</f>
        <v/>
      </c>
      <c r="K87" s="21">
        <f>K87 * AC87</f>
        <v/>
      </c>
      <c r="L87" s="21">
        <f>L87 * AC87</f>
        <v/>
      </c>
      <c r="M87" s="25">
        <f>M87 * AC87</f>
        <v/>
      </c>
      <c r="N87" s="25">
        <f>N87 * AC87</f>
        <v/>
      </c>
      <c r="O87" s="25">
        <f>O87 * AC87</f>
        <v/>
      </c>
      <c r="P87" s="25">
        <f>P87 * AC87</f>
        <v/>
      </c>
      <c r="Q87" s="25">
        <f>Q87 * AC87</f>
        <v/>
      </c>
      <c r="R87" s="25">
        <f>R87 * AC87</f>
        <v/>
      </c>
      <c r="S87" s="25">
        <f>S87 * AC87</f>
        <v/>
      </c>
      <c r="T87" s="25">
        <f>T87 * AC87</f>
        <v/>
      </c>
      <c r="U87" s="25">
        <f>U87 * AC87</f>
        <v/>
      </c>
      <c r="V87" s="25">
        <f>V87 * AC87</f>
        <v/>
      </c>
      <c r="W87" s="25">
        <f>W87 * AC87</f>
        <v/>
      </c>
      <c r="X87" s="25">
        <f>X87 * AC87</f>
        <v/>
      </c>
      <c r="Y87" s="25">
        <f>Y87 * AC87</f>
        <v/>
      </c>
      <c r="Z87" s="17" t="n">
        <v>0.06188970271862294</v>
      </c>
      <c r="AA87" s="25">
        <f>AA87 * AC87</f>
        <v/>
      </c>
      <c r="AB87" s="25">
        <f>AB87 * AC87</f>
        <v/>
      </c>
      <c r="AC87" s="22" t="n">
        <v>0.0006514705549328731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>
        <f>I88 * AC88</f>
        <v/>
      </c>
      <c r="J88" s="19">
        <f>J88 * AC88</f>
        <v/>
      </c>
      <c r="K88" s="19">
        <f>K88 * AC88</f>
        <v/>
      </c>
      <c r="L88" s="19">
        <f>L88 * AC88</f>
        <v/>
      </c>
      <c r="M88" s="24">
        <f>M88 * AC88</f>
        <v/>
      </c>
      <c r="N88" s="24">
        <f>N88 * AC88</f>
        <v/>
      </c>
      <c r="O88" s="24">
        <f>O88 * AC88</f>
        <v/>
      </c>
      <c r="P88" s="24">
        <f>P88 * AC88</f>
        <v/>
      </c>
      <c r="Q88" s="24">
        <f>Q88 * AC88</f>
        <v/>
      </c>
      <c r="R88" s="24">
        <f>R88 * AC88</f>
        <v/>
      </c>
      <c r="S88" s="24">
        <f>S88 * AC88</f>
        <v/>
      </c>
      <c r="T88" s="24">
        <f>T88 * AC88</f>
        <v/>
      </c>
      <c r="U88" s="24">
        <f>U88 * AC88</f>
        <v/>
      </c>
      <c r="V88" s="24">
        <f>V88 * AC88</f>
        <v/>
      </c>
      <c r="W88" s="24">
        <f>W88 * AC88</f>
        <v/>
      </c>
      <c r="X88" s="24">
        <f>X88 * AC88</f>
        <v/>
      </c>
      <c r="Y88" s="24">
        <f>Y88 * AC88</f>
        <v/>
      </c>
      <c r="Z88" s="15" t="n">
        <v/>
      </c>
      <c r="AA88" s="24">
        <f>AA88 * AC88</f>
        <v/>
      </c>
      <c r="AB88" s="24">
        <f>AB88 * AC88</f>
        <v/>
      </c>
      <c r="AC88" s="20" t="n"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>
        <f>I89 * AC89</f>
        <v/>
      </c>
      <c r="J89" s="21">
        <f>J89 * AC89</f>
        <v/>
      </c>
      <c r="K89" s="21">
        <f>K89 * AC89</f>
        <v/>
      </c>
      <c r="L89" s="21">
        <f>L89 * AC89</f>
        <v/>
      </c>
      <c r="M89" s="25">
        <f>M89 * AC89</f>
        <v/>
      </c>
      <c r="N89" s="25">
        <f>N89 * AC89</f>
        <v/>
      </c>
      <c r="O89" s="25">
        <f>O89 * AC89</f>
        <v/>
      </c>
      <c r="P89" s="25">
        <f>P89 * AC89</f>
        <v/>
      </c>
      <c r="Q89" s="25">
        <f>Q89 * AC89</f>
        <v/>
      </c>
      <c r="R89" s="25">
        <f>R89 * AC89</f>
        <v/>
      </c>
      <c r="S89" s="25">
        <f>S89 * AC89</f>
        <v/>
      </c>
      <c r="T89" s="25">
        <f>T89 * AC89</f>
        <v/>
      </c>
      <c r="U89" s="25">
        <f>U89 * AC89</f>
        <v/>
      </c>
      <c r="V89" s="25">
        <f>V89 * AC89</f>
        <v/>
      </c>
      <c r="W89" s="25">
        <f>W89 * AC89</f>
        <v/>
      </c>
      <c r="X89" s="25">
        <f>X89 * AC89</f>
        <v/>
      </c>
      <c r="Y89" s="25">
        <f>Y89 * AC89</f>
        <v/>
      </c>
      <c r="Z89" s="17" t="n">
        <v/>
      </c>
      <c r="AA89" s="25">
        <f>AA89 * AC89</f>
        <v/>
      </c>
      <c r="AB89" s="25">
        <f>AB89 * AC89</f>
        <v/>
      </c>
      <c r="AC89" s="22" t="n"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>
        <f>I90 * AC90</f>
        <v/>
      </c>
      <c r="J90" s="19">
        <f>J90 * AC90</f>
        <v/>
      </c>
      <c r="K90" s="19">
        <f>K90 * AC90</f>
        <v/>
      </c>
      <c r="L90" s="19">
        <f>L90 * AC90</f>
        <v/>
      </c>
      <c r="M90" s="24">
        <f>M90 * AC90</f>
        <v/>
      </c>
      <c r="N90" s="24">
        <f>N90 * AC90</f>
        <v/>
      </c>
      <c r="O90" s="24">
        <f>O90 * AC90</f>
        <v/>
      </c>
      <c r="P90" s="24">
        <f>P90 * AC90</f>
        <v/>
      </c>
      <c r="Q90" s="24">
        <f>Q90 * AC90</f>
        <v/>
      </c>
      <c r="R90" s="24">
        <f>R90 * AC90</f>
        <v/>
      </c>
      <c r="S90" s="24">
        <f>S90 * AC90</f>
        <v/>
      </c>
      <c r="T90" s="24">
        <f>T90 * AC90</f>
        <v/>
      </c>
      <c r="U90" s="24">
        <f>U90 * AC90</f>
        <v/>
      </c>
      <c r="V90" s="24">
        <f>V90 * AC90</f>
        <v/>
      </c>
      <c r="W90" s="24">
        <f>W90 * AC90</f>
        <v/>
      </c>
      <c r="X90" s="24">
        <f>X90 * AC90</f>
        <v/>
      </c>
      <c r="Y90" s="24">
        <f>Y90 * AC90</f>
        <v/>
      </c>
      <c r="Z90" s="15" t="n">
        <v/>
      </c>
      <c r="AA90" s="24">
        <f>AA90 * AC90</f>
        <v/>
      </c>
      <c r="AB90" s="24">
        <f>AB90 * AC90</f>
        <v/>
      </c>
      <c r="AC90" s="20" t="n"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>
        <f>I91 * AC91</f>
        <v/>
      </c>
      <c r="J91" s="21">
        <f>J91 * AC91</f>
        <v/>
      </c>
      <c r="K91" s="21">
        <f>K91 * AC91</f>
        <v/>
      </c>
      <c r="L91" s="21">
        <f>L91 * AC91</f>
        <v/>
      </c>
      <c r="M91" s="25">
        <f>M91 * AC91</f>
        <v/>
      </c>
      <c r="N91" s="25">
        <f>N91 * AC91</f>
        <v/>
      </c>
      <c r="O91" s="25">
        <f>O91 * AC91</f>
        <v/>
      </c>
      <c r="P91" s="25">
        <f>P91 * AC91</f>
        <v/>
      </c>
      <c r="Q91" s="25">
        <f>Q91 * AC91</f>
        <v/>
      </c>
      <c r="R91" s="25">
        <f>R91 * AC91</f>
        <v/>
      </c>
      <c r="S91" s="25">
        <f>S91 * AC91</f>
        <v/>
      </c>
      <c r="T91" s="25">
        <f>T91 * AC91</f>
        <v/>
      </c>
      <c r="U91" s="25">
        <f>U91 * AC91</f>
        <v/>
      </c>
      <c r="V91" s="25">
        <f>V91 * AC91</f>
        <v/>
      </c>
      <c r="W91" s="25">
        <f>W91 * AC91</f>
        <v/>
      </c>
      <c r="X91" s="25">
        <f>X91 * AC91</f>
        <v/>
      </c>
      <c r="Y91" s="25">
        <f>Y91 * AC91</f>
        <v/>
      </c>
      <c r="Z91" s="17" t="n">
        <v/>
      </c>
      <c r="AA91" s="25">
        <f>AA91 * AC91</f>
        <v/>
      </c>
      <c r="AB91" s="25">
        <f>AB91 * AC91</f>
        <v/>
      </c>
      <c r="AC91" s="22" t="n"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>
        <f>I92 * AC92</f>
        <v/>
      </c>
      <c r="J92" s="19">
        <f>J92 * AC92</f>
        <v/>
      </c>
      <c r="K92" s="19">
        <f>K92 * AC92</f>
        <v/>
      </c>
      <c r="L92" s="19">
        <f>L92 * AC92</f>
        <v/>
      </c>
      <c r="M92" s="24">
        <f>M92 * AC92</f>
        <v/>
      </c>
      <c r="N92" s="24">
        <f>N92 * AC92</f>
        <v/>
      </c>
      <c r="O92" s="24">
        <f>O92 * AC92</f>
        <v/>
      </c>
      <c r="P92" s="24">
        <f>P92 * AC92</f>
        <v/>
      </c>
      <c r="Q92" s="24">
        <f>Q92 * AC92</f>
        <v/>
      </c>
      <c r="R92" s="24">
        <f>R92 * AC92</f>
        <v/>
      </c>
      <c r="S92" s="24">
        <f>S92 * AC92</f>
        <v/>
      </c>
      <c r="T92" s="24">
        <f>T92 * AC92</f>
        <v/>
      </c>
      <c r="U92" s="24">
        <f>U92 * AC92</f>
        <v/>
      </c>
      <c r="V92" s="24">
        <f>V92 * AC92</f>
        <v/>
      </c>
      <c r="W92" s="24">
        <f>W92 * AC92</f>
        <v/>
      </c>
      <c r="X92" s="24">
        <f>X92 * AC92</f>
        <v/>
      </c>
      <c r="Y92" s="24">
        <f>Y92 * AC92</f>
        <v/>
      </c>
      <c r="Z92" s="15" t="n">
        <v/>
      </c>
      <c r="AA92" s="24">
        <f>AA92 * AC92</f>
        <v/>
      </c>
      <c r="AB92" s="24">
        <f>AB92 * AC92</f>
        <v/>
      </c>
      <c r="AC92" s="20" t="n"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>
        <f>I93 * AC93</f>
        <v/>
      </c>
      <c r="J93" s="21">
        <f>J93 * AC93</f>
        <v/>
      </c>
      <c r="K93" s="21">
        <f>K93 * AC93</f>
        <v/>
      </c>
      <c r="L93" s="21">
        <f>L93 * AC93</f>
        <v/>
      </c>
      <c r="M93" s="25">
        <f>M93 * AC93</f>
        <v/>
      </c>
      <c r="N93" s="25">
        <f>N93 * AC93</f>
        <v/>
      </c>
      <c r="O93" s="25">
        <f>O93 * AC93</f>
        <v/>
      </c>
      <c r="P93" s="25">
        <f>P93 * AC93</f>
        <v/>
      </c>
      <c r="Q93" s="25">
        <f>Q93 * AC93</f>
        <v/>
      </c>
      <c r="R93" s="25">
        <f>R93 * AC93</f>
        <v/>
      </c>
      <c r="S93" s="25">
        <f>S93 * AC93</f>
        <v/>
      </c>
      <c r="T93" s="25">
        <f>T93 * AC93</f>
        <v/>
      </c>
      <c r="U93" s="25">
        <f>U93 * AC93</f>
        <v/>
      </c>
      <c r="V93" s="25">
        <f>V93 * AC93</f>
        <v/>
      </c>
      <c r="W93" s="25">
        <f>W93 * AC93</f>
        <v/>
      </c>
      <c r="X93" s="25">
        <f>X93 * AC93</f>
        <v/>
      </c>
      <c r="Y93" s="25">
        <f>Y93 * AC93</f>
        <v/>
      </c>
      <c r="Z93" s="17" t="n">
        <v/>
      </c>
      <c r="AA93" s="25">
        <f>AA93 * AC93</f>
        <v/>
      </c>
      <c r="AB93" s="25">
        <f>AB93 * AC93</f>
        <v/>
      </c>
      <c r="AC93" s="22" t="n"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>
        <f>I94 * AC94</f>
        <v/>
      </c>
      <c r="J94" s="19">
        <f>J94 * AC94</f>
        <v/>
      </c>
      <c r="K94" s="19">
        <f>K94 * AC94</f>
        <v/>
      </c>
      <c r="L94" s="19">
        <f>L94 * AC94</f>
        <v/>
      </c>
      <c r="M94" s="24">
        <f>M94 * AC94</f>
        <v/>
      </c>
      <c r="N94" s="24">
        <f>N94 * AC94</f>
        <v/>
      </c>
      <c r="O94" s="24">
        <f>O94 * AC94</f>
        <v/>
      </c>
      <c r="P94" s="24">
        <f>P94 * AC94</f>
        <v/>
      </c>
      <c r="Q94" s="24">
        <f>Q94 * AC94</f>
        <v/>
      </c>
      <c r="R94" s="24">
        <f>R94 * AC94</f>
        <v/>
      </c>
      <c r="S94" s="24">
        <f>S94 * AC94</f>
        <v/>
      </c>
      <c r="T94" s="24">
        <f>T94 * AC94</f>
        <v/>
      </c>
      <c r="U94" s="24">
        <f>U94 * AC94</f>
        <v/>
      </c>
      <c r="V94" s="24">
        <f>V94 * AC94</f>
        <v/>
      </c>
      <c r="W94" s="24">
        <f>W94 * AC94</f>
        <v/>
      </c>
      <c r="X94" s="24">
        <f>X94 * AC94</f>
        <v/>
      </c>
      <c r="Y94" s="24">
        <f>Y94 * AC94</f>
        <v/>
      </c>
      <c r="Z94" s="15" t="n">
        <v/>
      </c>
      <c r="AA94" s="24">
        <f>AA94 * AC94</f>
        <v/>
      </c>
      <c r="AB94" s="24">
        <f>AB94 * AC94</f>
        <v/>
      </c>
      <c r="AC94" s="20" t="n"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>
        <f>I95 * AC95</f>
        <v/>
      </c>
      <c r="J95" s="21">
        <f>J95 * AC95</f>
        <v/>
      </c>
      <c r="K95" s="21">
        <f>K95 * AC95</f>
        <v/>
      </c>
      <c r="L95" s="21">
        <f>L95 * AC95</f>
        <v/>
      </c>
      <c r="M95" s="25">
        <f>M95 * AC95</f>
        <v/>
      </c>
      <c r="N95" s="25">
        <f>N95 * AC95</f>
        <v/>
      </c>
      <c r="O95" s="25">
        <f>O95 * AC95</f>
        <v/>
      </c>
      <c r="P95" s="25">
        <f>P95 * AC95</f>
        <v/>
      </c>
      <c r="Q95" s="25">
        <f>Q95 * AC95</f>
        <v/>
      </c>
      <c r="R95" s="25">
        <f>R95 * AC95</f>
        <v/>
      </c>
      <c r="S95" s="25">
        <f>S95 * AC95</f>
        <v/>
      </c>
      <c r="T95" s="25">
        <f>T95 * AC95</f>
        <v/>
      </c>
      <c r="U95" s="25">
        <f>U95 * AC95</f>
        <v/>
      </c>
      <c r="V95" s="25">
        <f>V95 * AC95</f>
        <v/>
      </c>
      <c r="W95" s="25">
        <f>W95 * AC95</f>
        <v/>
      </c>
      <c r="X95" s="25">
        <f>X95 * AC95</f>
        <v/>
      </c>
      <c r="Y95" s="25">
        <f>Y95 * AC95</f>
        <v/>
      </c>
      <c r="Z95" s="17" t="n">
        <v/>
      </c>
      <c r="AA95" s="25">
        <f>AA95 * AC95</f>
        <v/>
      </c>
      <c r="AB95" s="25">
        <f>AB95 * AC95</f>
        <v/>
      </c>
      <c r="AC95" s="22" t="n"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>
        <f>I96 * AC96</f>
        <v/>
      </c>
      <c r="J96" s="19">
        <f>J96 * AC96</f>
        <v/>
      </c>
      <c r="K96" s="19">
        <f>K96 * AC96</f>
        <v/>
      </c>
      <c r="L96" s="19">
        <f>L96 * AC96</f>
        <v/>
      </c>
      <c r="M96" s="24">
        <f>M96 * AC96</f>
        <v/>
      </c>
      <c r="N96" s="24">
        <f>N96 * AC96</f>
        <v/>
      </c>
      <c r="O96" s="24">
        <f>O96 * AC96</f>
        <v/>
      </c>
      <c r="P96" s="24">
        <f>P96 * AC96</f>
        <v/>
      </c>
      <c r="Q96" s="24">
        <f>Q96 * AC96</f>
        <v/>
      </c>
      <c r="R96" s="24">
        <f>R96 * AC96</f>
        <v/>
      </c>
      <c r="S96" s="24">
        <f>S96 * AC96</f>
        <v/>
      </c>
      <c r="T96" s="24">
        <f>T96 * AC96</f>
        <v/>
      </c>
      <c r="U96" s="24">
        <f>U96 * AC96</f>
        <v/>
      </c>
      <c r="V96" s="24">
        <f>V96 * AC96</f>
        <v/>
      </c>
      <c r="W96" s="24">
        <f>W96 * AC96</f>
        <v/>
      </c>
      <c r="X96" s="24">
        <f>X96 * AC96</f>
        <v/>
      </c>
      <c r="Y96" s="24">
        <f>Y96 * AC96</f>
        <v/>
      </c>
      <c r="Z96" s="15" t="n">
        <v/>
      </c>
      <c r="AA96" s="24">
        <f>AA96 * AC96</f>
        <v/>
      </c>
      <c r="AB96" s="24">
        <f>AB96 * AC96</f>
        <v/>
      </c>
      <c r="AC96" s="20" t="n"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>
        <f>I97 * AC97</f>
        <v/>
      </c>
      <c r="J97" s="21">
        <f>J97 * AC97</f>
        <v/>
      </c>
      <c r="K97" s="21">
        <f>K97 * AC97</f>
        <v/>
      </c>
      <c r="L97" s="21">
        <f>L97 * AC97</f>
        <v/>
      </c>
      <c r="M97" s="25">
        <f>M97 * AC97</f>
        <v/>
      </c>
      <c r="N97" s="25">
        <f>N97 * AC97</f>
        <v/>
      </c>
      <c r="O97" s="25">
        <f>O97 * AC97</f>
        <v/>
      </c>
      <c r="P97" s="25">
        <f>P97 * AC97</f>
        <v/>
      </c>
      <c r="Q97" s="25">
        <f>Q97 * AC97</f>
        <v/>
      </c>
      <c r="R97" s="25">
        <f>R97 * AC97</f>
        <v/>
      </c>
      <c r="S97" s="25">
        <f>S97 * AC97</f>
        <v/>
      </c>
      <c r="T97" s="25">
        <f>T97 * AC97</f>
        <v/>
      </c>
      <c r="U97" s="25">
        <f>U97 * AC97</f>
        <v/>
      </c>
      <c r="V97" s="25">
        <f>V97 * AC97</f>
        <v/>
      </c>
      <c r="W97" s="25">
        <f>W97 * AC97</f>
        <v/>
      </c>
      <c r="X97" s="25">
        <f>X97 * AC97</f>
        <v/>
      </c>
      <c r="Y97" s="25">
        <f>Y97 * AC97</f>
        <v/>
      </c>
      <c r="Z97" s="17" t="n">
        <v/>
      </c>
      <c r="AA97" s="25">
        <f>AA97 * AC97</f>
        <v/>
      </c>
      <c r="AB97" s="25">
        <f>AB97 * AC97</f>
        <v/>
      </c>
      <c r="AC97" s="22" t="n"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>
        <f>I98 * AC98</f>
        <v/>
      </c>
      <c r="J98" s="19">
        <f>J98 * AC98</f>
        <v/>
      </c>
      <c r="K98" s="19">
        <f>K98 * AC98</f>
        <v/>
      </c>
      <c r="L98" s="19">
        <f>L98 * AC98</f>
        <v/>
      </c>
      <c r="M98" s="24">
        <f>M98 * AC98</f>
        <v/>
      </c>
      <c r="N98" s="24">
        <f>N98 * AC98</f>
        <v/>
      </c>
      <c r="O98" s="24">
        <f>O98 * AC98</f>
        <v/>
      </c>
      <c r="P98" s="24">
        <f>P98 * AC98</f>
        <v/>
      </c>
      <c r="Q98" s="24">
        <f>Q98 * AC98</f>
        <v/>
      </c>
      <c r="R98" s="24">
        <f>R98 * AC98</f>
        <v/>
      </c>
      <c r="S98" s="24">
        <f>S98 * AC98</f>
        <v/>
      </c>
      <c r="T98" s="24">
        <f>T98 * AC98</f>
        <v/>
      </c>
      <c r="U98" s="24">
        <f>U98 * AC98</f>
        <v/>
      </c>
      <c r="V98" s="24">
        <f>V98 * AC98</f>
        <v/>
      </c>
      <c r="W98" s="24">
        <f>W98 * AC98</f>
        <v/>
      </c>
      <c r="X98" s="24">
        <f>X98 * AC98</f>
        <v/>
      </c>
      <c r="Y98" s="24">
        <f>Y98 * AC98</f>
        <v/>
      </c>
      <c r="Z98" s="15" t="n">
        <v/>
      </c>
      <c r="AA98" s="24">
        <f>AA98 * AC98</f>
        <v/>
      </c>
      <c r="AB98" s="24">
        <f>AB98 * AC98</f>
        <v/>
      </c>
      <c r="AC98" s="20" t="n"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>
        <f>I99 * AC99</f>
        <v/>
      </c>
      <c r="J99" s="21">
        <f>J99 * AC99</f>
        <v/>
      </c>
      <c r="K99" s="21">
        <f>K99 * AC99</f>
        <v/>
      </c>
      <c r="L99" s="21">
        <f>L99 * AC99</f>
        <v/>
      </c>
      <c r="M99" s="25">
        <f>M99 * AC99</f>
        <v/>
      </c>
      <c r="N99" s="25">
        <f>N99 * AC99</f>
        <v/>
      </c>
      <c r="O99" s="25">
        <f>O99 * AC99</f>
        <v/>
      </c>
      <c r="P99" s="25">
        <f>P99 * AC99</f>
        <v/>
      </c>
      <c r="Q99" s="25">
        <f>Q99 * AC99</f>
        <v/>
      </c>
      <c r="R99" s="25">
        <f>R99 * AC99</f>
        <v/>
      </c>
      <c r="S99" s="25">
        <f>S99 * AC99</f>
        <v/>
      </c>
      <c r="T99" s="25">
        <f>T99 * AC99</f>
        <v/>
      </c>
      <c r="U99" s="25">
        <f>U99 * AC99</f>
        <v/>
      </c>
      <c r="V99" s="25">
        <f>V99 * AC99</f>
        <v/>
      </c>
      <c r="W99" s="25">
        <f>W99 * AC99</f>
        <v/>
      </c>
      <c r="X99" s="25">
        <f>X99 * AC99</f>
        <v/>
      </c>
      <c r="Y99" s="25">
        <f>Y99 * AC99</f>
        <v/>
      </c>
      <c r="Z99" s="17" t="n">
        <v/>
      </c>
      <c r="AA99" s="25">
        <f>AA99 * AC99</f>
        <v/>
      </c>
      <c r="AB99" s="25">
        <f>AB99 * AC99</f>
        <v/>
      </c>
      <c r="AC99" s="22" t="n"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>
        <f>I100 * AC100</f>
        <v/>
      </c>
      <c r="J100" s="19">
        <f>J100 * AC100</f>
        <v/>
      </c>
      <c r="K100" s="19">
        <f>K100 * AC100</f>
        <v/>
      </c>
      <c r="L100" s="19">
        <f>L100 * AC100</f>
        <v/>
      </c>
      <c r="M100" s="24">
        <f>M100 * AC100</f>
        <v/>
      </c>
      <c r="N100" s="24">
        <f>N100 * AC100</f>
        <v/>
      </c>
      <c r="O100" s="24">
        <f>O100 * AC100</f>
        <v/>
      </c>
      <c r="P100" s="24">
        <f>P100 * AC100</f>
        <v/>
      </c>
      <c r="Q100" s="24">
        <f>Q100 * AC100</f>
        <v/>
      </c>
      <c r="R100" s="24">
        <f>R100 * AC100</f>
        <v/>
      </c>
      <c r="S100" s="24">
        <f>S100 * AC100</f>
        <v/>
      </c>
      <c r="T100" s="24">
        <f>T100 * AC100</f>
        <v/>
      </c>
      <c r="U100" s="24">
        <f>U100 * AC100</f>
        <v/>
      </c>
      <c r="V100" s="24">
        <f>V100 * AC100</f>
        <v/>
      </c>
      <c r="W100" s="24">
        <f>W100 * AC100</f>
        <v/>
      </c>
      <c r="X100" s="24">
        <f>X100 * AC100</f>
        <v/>
      </c>
      <c r="Y100" s="24">
        <f>Y100 * AC100</f>
        <v/>
      </c>
      <c r="Z100" s="15" t="n">
        <v/>
      </c>
      <c r="AA100" s="24">
        <f>AA100 * AC100</f>
        <v/>
      </c>
      <c r="AB100" s="24">
        <f>AB100 * AC100</f>
        <v/>
      </c>
      <c r="AC100" s="20" t="n"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>
        <f>I101 * AC101</f>
        <v/>
      </c>
      <c r="J101" s="21">
        <f>J101 * AC101</f>
        <v/>
      </c>
      <c r="K101" s="21">
        <f>K101 * AC101</f>
        <v/>
      </c>
      <c r="L101" s="21">
        <f>L101 * AC101</f>
        <v/>
      </c>
      <c r="M101" s="25">
        <f>M101 * AC101</f>
        <v/>
      </c>
      <c r="N101" s="25">
        <f>N101 * AC101</f>
        <v/>
      </c>
      <c r="O101" s="25">
        <f>O101 * AC101</f>
        <v/>
      </c>
      <c r="P101" s="25">
        <f>P101 * AC101</f>
        <v/>
      </c>
      <c r="Q101" s="25">
        <f>Q101 * AC101</f>
        <v/>
      </c>
      <c r="R101" s="25">
        <f>R101 * AC101</f>
        <v/>
      </c>
      <c r="S101" s="25">
        <f>S101 * AC101</f>
        <v/>
      </c>
      <c r="T101" s="25">
        <f>T101 * AC101</f>
        <v/>
      </c>
      <c r="U101" s="25">
        <f>U101 * AC101</f>
        <v/>
      </c>
      <c r="V101" s="25">
        <f>V101 * AC101</f>
        <v/>
      </c>
      <c r="W101" s="25">
        <f>W101 * AC101</f>
        <v/>
      </c>
      <c r="X101" s="25">
        <f>X101 * AC101</f>
        <v/>
      </c>
      <c r="Y101" s="25">
        <f>Y101 * AC101</f>
        <v/>
      </c>
      <c r="Z101" s="17" t="n">
        <v/>
      </c>
      <c r="AA101" s="25">
        <f>AA101 * AC101</f>
        <v/>
      </c>
      <c r="AB101" s="25">
        <f>AB101 * AC101</f>
        <v/>
      </c>
      <c r="AC101" s="22" t="n"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>
        <f>I102 * AC102</f>
        <v/>
      </c>
      <c r="J102" s="19">
        <f>J102 * AC102</f>
        <v/>
      </c>
      <c r="K102" s="19">
        <f>K102 * AC102</f>
        <v/>
      </c>
      <c r="L102" s="19">
        <f>L102 * AC102</f>
        <v/>
      </c>
      <c r="M102" s="24">
        <f>M102 * AC102</f>
        <v/>
      </c>
      <c r="N102" s="24">
        <f>N102 * AC102</f>
        <v/>
      </c>
      <c r="O102" s="24">
        <f>O102 * AC102</f>
        <v/>
      </c>
      <c r="P102" s="24">
        <f>P102 * AC102</f>
        <v/>
      </c>
      <c r="Q102" s="24">
        <f>Q102 * AC102</f>
        <v/>
      </c>
      <c r="R102" s="24">
        <f>R102 * AC102</f>
        <v/>
      </c>
      <c r="S102" s="24">
        <f>S102 * AC102</f>
        <v/>
      </c>
      <c r="T102" s="24">
        <f>T102 * AC102</f>
        <v/>
      </c>
      <c r="U102" s="24">
        <f>U102 * AC102</f>
        <v/>
      </c>
      <c r="V102" s="24">
        <f>V102 * AC102</f>
        <v/>
      </c>
      <c r="W102" s="24">
        <f>W102 * AC102</f>
        <v/>
      </c>
      <c r="X102" s="24">
        <f>X102 * AC102</f>
        <v/>
      </c>
      <c r="Y102" s="24">
        <f>Y102 * AC102</f>
        <v/>
      </c>
      <c r="Z102" s="15" t="n">
        <v/>
      </c>
      <c r="AA102" s="24">
        <f>AA102 * AC102</f>
        <v/>
      </c>
      <c r="AB102" s="24">
        <f>AB102 * AC102</f>
        <v/>
      </c>
      <c r="AC102" s="20" t="n"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>
        <f>I103 * AC103</f>
        <v/>
      </c>
      <c r="J103" s="21">
        <f>J103 * AC103</f>
        <v/>
      </c>
      <c r="K103" s="21">
        <f>K103 * AC103</f>
        <v/>
      </c>
      <c r="L103" s="21">
        <f>L103 * AC103</f>
        <v/>
      </c>
      <c r="M103" s="25">
        <f>M103 * AC103</f>
        <v/>
      </c>
      <c r="N103" s="25">
        <f>N103 * AC103</f>
        <v/>
      </c>
      <c r="O103" s="25">
        <f>O103 * AC103</f>
        <v/>
      </c>
      <c r="P103" s="25">
        <f>P103 * AC103</f>
        <v/>
      </c>
      <c r="Q103" s="25">
        <f>Q103 * AC103</f>
        <v/>
      </c>
      <c r="R103" s="25">
        <f>R103 * AC103</f>
        <v/>
      </c>
      <c r="S103" s="25">
        <f>S103 * AC103</f>
        <v/>
      </c>
      <c r="T103" s="25">
        <f>T103 * AC103</f>
        <v/>
      </c>
      <c r="U103" s="25">
        <f>U103 * AC103</f>
        <v/>
      </c>
      <c r="V103" s="25">
        <f>V103 * AC103</f>
        <v/>
      </c>
      <c r="W103" s="25">
        <f>W103 * AC103</f>
        <v/>
      </c>
      <c r="X103" s="25">
        <f>X103 * AC103</f>
        <v/>
      </c>
      <c r="Y103" s="25">
        <f>Y103 * AC103</f>
        <v/>
      </c>
      <c r="Z103" s="17" t="n">
        <v/>
      </c>
      <c r="AA103" s="25">
        <f>AA103 * AC103</f>
        <v/>
      </c>
      <c r="AB103" s="25">
        <f>AB103 * AC103</f>
        <v/>
      </c>
      <c r="AC103" s="22" t="n"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>
        <f>I104 * AC104</f>
        <v/>
      </c>
      <c r="J104" s="19">
        <f>J104 * AC104</f>
        <v/>
      </c>
      <c r="K104" s="19">
        <f>K104 * AC104</f>
        <v/>
      </c>
      <c r="L104" s="19">
        <f>L104 * AC104</f>
        <v/>
      </c>
      <c r="M104" s="24">
        <f>M104 * AC104</f>
        <v/>
      </c>
      <c r="N104" s="24">
        <f>N104 * AC104</f>
        <v/>
      </c>
      <c r="O104" s="24">
        <f>O104 * AC104</f>
        <v/>
      </c>
      <c r="P104" s="24">
        <f>P104 * AC104</f>
        <v/>
      </c>
      <c r="Q104" s="24">
        <f>Q104 * AC104</f>
        <v/>
      </c>
      <c r="R104" s="24">
        <f>R104 * AC104</f>
        <v/>
      </c>
      <c r="S104" s="24">
        <f>S104 * AC104</f>
        <v/>
      </c>
      <c r="T104" s="24">
        <f>T104 * AC104</f>
        <v/>
      </c>
      <c r="U104" s="24">
        <f>U104 * AC104</f>
        <v/>
      </c>
      <c r="V104" s="24">
        <f>V104 * AC104</f>
        <v/>
      </c>
      <c r="W104" s="24">
        <f>W104 * AC104</f>
        <v/>
      </c>
      <c r="X104" s="24">
        <f>X104 * AC104</f>
        <v/>
      </c>
      <c r="Y104" s="24">
        <f>Y104 * AC104</f>
        <v/>
      </c>
      <c r="Z104" s="15" t="n">
        <v/>
      </c>
      <c r="AA104" s="24">
        <f>AA104 * AC104</f>
        <v/>
      </c>
      <c r="AB104" s="24">
        <f>AB104 * AC104</f>
        <v/>
      </c>
      <c r="AC104" s="20" t="n"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>
        <f>I105 * AC105</f>
        <v/>
      </c>
      <c r="J105" s="21">
        <f>J105 * AC105</f>
        <v/>
      </c>
      <c r="K105" s="21">
        <f>K105 * AC105</f>
        <v/>
      </c>
      <c r="L105" s="21">
        <f>L105 * AC105</f>
        <v/>
      </c>
      <c r="M105" s="25">
        <f>M105 * AC105</f>
        <v/>
      </c>
      <c r="N105" s="25">
        <f>N105 * AC105</f>
        <v/>
      </c>
      <c r="O105" s="25">
        <f>O105 * AC105</f>
        <v/>
      </c>
      <c r="P105" s="25">
        <f>P105 * AC105</f>
        <v/>
      </c>
      <c r="Q105" s="25">
        <f>Q105 * AC105</f>
        <v/>
      </c>
      <c r="R105" s="25">
        <f>R105 * AC105</f>
        <v/>
      </c>
      <c r="S105" s="25">
        <f>S105 * AC105</f>
        <v/>
      </c>
      <c r="T105" s="25">
        <f>T105 * AC105</f>
        <v/>
      </c>
      <c r="U105" s="25">
        <f>U105 * AC105</f>
        <v/>
      </c>
      <c r="V105" s="25">
        <f>V105 * AC105</f>
        <v/>
      </c>
      <c r="W105" s="25">
        <f>W105 * AC105</f>
        <v/>
      </c>
      <c r="X105" s="25">
        <f>X105 * AC105</f>
        <v/>
      </c>
      <c r="Y105" s="25">
        <f>Y105 * AC105</f>
        <v/>
      </c>
      <c r="Z105" s="17" t="n">
        <v/>
      </c>
      <c r="AA105" s="25">
        <f>AA105 * AC105</f>
        <v/>
      </c>
      <c r="AB105" s="25">
        <f>AB105 * AC105</f>
        <v/>
      </c>
      <c r="AC105" s="22" t="n"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>
        <f>I106 * AC106</f>
        <v/>
      </c>
      <c r="J106" s="19">
        <f>J106 * AC106</f>
        <v/>
      </c>
      <c r="K106" s="19">
        <f>K106 * AC106</f>
        <v/>
      </c>
      <c r="L106" s="19">
        <f>L106 * AC106</f>
        <v/>
      </c>
      <c r="M106" s="24">
        <f>M106 * AC106</f>
        <v/>
      </c>
      <c r="N106" s="24">
        <f>N106 * AC106</f>
        <v/>
      </c>
      <c r="O106" s="24">
        <f>O106 * AC106</f>
        <v/>
      </c>
      <c r="P106" s="24">
        <f>P106 * AC106</f>
        <v/>
      </c>
      <c r="Q106" s="24">
        <f>Q106 * AC106</f>
        <v/>
      </c>
      <c r="R106" s="24">
        <f>R106 * AC106</f>
        <v/>
      </c>
      <c r="S106" s="24">
        <f>S106 * AC106</f>
        <v/>
      </c>
      <c r="T106" s="24">
        <f>T106 * AC106</f>
        <v/>
      </c>
      <c r="U106" s="24">
        <f>U106 * AC106</f>
        <v/>
      </c>
      <c r="V106" s="24">
        <f>V106 * AC106</f>
        <v/>
      </c>
      <c r="W106" s="24">
        <f>W106 * AC106</f>
        <v/>
      </c>
      <c r="X106" s="24">
        <f>X106 * AC106</f>
        <v/>
      </c>
      <c r="Y106" s="24">
        <f>Y106 * AC106</f>
        <v/>
      </c>
      <c r="Z106" s="15" t="n">
        <v/>
      </c>
      <c r="AA106" s="24">
        <f>AA106 * AC106</f>
        <v/>
      </c>
      <c r="AB106" s="24">
        <f>AB106 * AC106</f>
        <v/>
      </c>
      <c r="AC106" s="20" t="n"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>
        <f>I107 * AC107</f>
        <v/>
      </c>
      <c r="J107" s="21">
        <f>J107 * AC107</f>
        <v/>
      </c>
      <c r="K107" s="21">
        <f>K107 * AC107</f>
        <v/>
      </c>
      <c r="L107" s="21">
        <f>L107 * AC107</f>
        <v/>
      </c>
      <c r="M107" s="25">
        <f>M107 * AC107</f>
        <v/>
      </c>
      <c r="N107" s="25">
        <f>N107 * AC107</f>
        <v/>
      </c>
      <c r="O107" s="25">
        <f>O107 * AC107</f>
        <v/>
      </c>
      <c r="P107" s="25">
        <f>P107 * AC107</f>
        <v/>
      </c>
      <c r="Q107" s="25">
        <f>Q107 * AC107</f>
        <v/>
      </c>
      <c r="R107" s="25">
        <f>R107 * AC107</f>
        <v/>
      </c>
      <c r="S107" s="25">
        <f>S107 * AC107</f>
        <v/>
      </c>
      <c r="T107" s="25">
        <f>T107 * AC107</f>
        <v/>
      </c>
      <c r="U107" s="25">
        <f>U107 * AC107</f>
        <v/>
      </c>
      <c r="V107" s="25">
        <f>V107 * AC107</f>
        <v/>
      </c>
      <c r="W107" s="25">
        <f>W107 * AC107</f>
        <v/>
      </c>
      <c r="X107" s="25">
        <f>X107 * AC107</f>
        <v/>
      </c>
      <c r="Y107" s="25">
        <f>Y107 * AC107</f>
        <v/>
      </c>
      <c r="Z107" s="17" t="n">
        <v/>
      </c>
      <c r="AA107" s="25">
        <f>AA107 * AC107</f>
        <v/>
      </c>
      <c r="AB107" s="25">
        <f>AB107 * AC107</f>
        <v/>
      </c>
      <c r="AC107" s="22" t="n"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>
        <f>I108 * AC108</f>
        <v/>
      </c>
      <c r="J108" s="19">
        <f>J108 * AC108</f>
        <v/>
      </c>
      <c r="K108" s="19">
        <f>K108 * AC108</f>
        <v/>
      </c>
      <c r="L108" s="19">
        <f>L108 * AC108</f>
        <v/>
      </c>
      <c r="M108" s="24">
        <f>M108 * AC108</f>
        <v/>
      </c>
      <c r="N108" s="24">
        <f>N108 * AC108</f>
        <v/>
      </c>
      <c r="O108" s="24">
        <f>O108 * AC108</f>
        <v/>
      </c>
      <c r="P108" s="24">
        <f>P108 * AC108</f>
        <v/>
      </c>
      <c r="Q108" s="24">
        <f>Q108 * AC108</f>
        <v/>
      </c>
      <c r="R108" s="24">
        <f>R108 * AC108</f>
        <v/>
      </c>
      <c r="S108" s="24">
        <f>S108 * AC108</f>
        <v/>
      </c>
      <c r="T108" s="24">
        <f>T108 * AC108</f>
        <v/>
      </c>
      <c r="U108" s="24">
        <f>U108 * AC108</f>
        <v/>
      </c>
      <c r="V108" s="24">
        <f>V108 * AC108</f>
        <v/>
      </c>
      <c r="W108" s="24">
        <f>W108 * AC108</f>
        <v/>
      </c>
      <c r="X108" s="24">
        <f>X108 * AC108</f>
        <v/>
      </c>
      <c r="Y108" s="24">
        <f>Y108 * AC108</f>
        <v/>
      </c>
      <c r="Z108" s="15" t="n">
        <v/>
      </c>
      <c r="AA108" s="24">
        <f>AA108 * AC108</f>
        <v/>
      </c>
      <c r="AB108" s="24">
        <f>AB108 * AC108</f>
        <v/>
      </c>
      <c r="AC108" s="20" t="n"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>
        <f>I109 * AC109</f>
        <v/>
      </c>
      <c r="J109" s="21">
        <f>J109 * AC109</f>
        <v/>
      </c>
      <c r="K109" s="21">
        <f>K109 * AC109</f>
        <v/>
      </c>
      <c r="L109" s="21">
        <f>L109 * AC109</f>
        <v/>
      </c>
      <c r="M109" s="25">
        <f>M109 * AC109</f>
        <v/>
      </c>
      <c r="N109" s="25">
        <f>N109 * AC109</f>
        <v/>
      </c>
      <c r="O109" s="25">
        <f>O109 * AC109</f>
        <v/>
      </c>
      <c r="P109" s="25">
        <f>P109 * AC109</f>
        <v/>
      </c>
      <c r="Q109" s="25">
        <f>Q109 * AC109</f>
        <v/>
      </c>
      <c r="R109" s="25">
        <f>R109 * AC109</f>
        <v/>
      </c>
      <c r="S109" s="25">
        <f>S109 * AC109</f>
        <v/>
      </c>
      <c r="T109" s="25">
        <f>T109 * AC109</f>
        <v/>
      </c>
      <c r="U109" s="25">
        <f>U109 * AC109</f>
        <v/>
      </c>
      <c r="V109" s="25">
        <f>V109 * AC109</f>
        <v/>
      </c>
      <c r="W109" s="25">
        <f>W109 * AC109</f>
        <v/>
      </c>
      <c r="X109" s="25">
        <f>X109 * AC109</f>
        <v/>
      </c>
      <c r="Y109" s="25">
        <f>Y109 * AC109</f>
        <v/>
      </c>
      <c r="Z109" s="17" t="n">
        <v/>
      </c>
      <c r="AA109" s="25">
        <f>AA109 * AC109</f>
        <v/>
      </c>
      <c r="AB109" s="25">
        <f>AB109 * AC109</f>
        <v/>
      </c>
      <c r="AC109" s="22" t="n"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>
        <f>I110 * AC110</f>
        <v/>
      </c>
      <c r="J110" s="19">
        <f>J110 * AC110</f>
        <v/>
      </c>
      <c r="K110" s="19">
        <f>K110 * AC110</f>
        <v/>
      </c>
      <c r="L110" s="19">
        <f>L110 * AC110</f>
        <v/>
      </c>
      <c r="M110" s="24">
        <f>M110 * AC110</f>
        <v/>
      </c>
      <c r="N110" s="24">
        <f>N110 * AC110</f>
        <v/>
      </c>
      <c r="O110" s="24">
        <f>O110 * AC110</f>
        <v/>
      </c>
      <c r="P110" s="24">
        <f>P110 * AC110</f>
        <v/>
      </c>
      <c r="Q110" s="24">
        <f>Q110 * AC110</f>
        <v/>
      </c>
      <c r="R110" s="24">
        <f>R110 * AC110</f>
        <v/>
      </c>
      <c r="S110" s="24">
        <f>S110 * AC110</f>
        <v/>
      </c>
      <c r="T110" s="24">
        <f>T110 * AC110</f>
        <v/>
      </c>
      <c r="U110" s="24">
        <f>U110 * AC110</f>
        <v/>
      </c>
      <c r="V110" s="24">
        <f>V110 * AC110</f>
        <v/>
      </c>
      <c r="W110" s="24">
        <f>W110 * AC110</f>
        <v/>
      </c>
      <c r="X110" s="24">
        <f>X110 * AC110</f>
        <v/>
      </c>
      <c r="Y110" s="24">
        <f>Y110 * AC110</f>
        <v/>
      </c>
      <c r="Z110" s="15" t="n">
        <v/>
      </c>
      <c r="AA110" s="24">
        <f>AA110 * AC110</f>
        <v/>
      </c>
      <c r="AB110" s="24">
        <f>AB110 * AC110</f>
        <v/>
      </c>
      <c r="AC110" s="20" t="n"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>
        <f>I111 * AC111</f>
        <v/>
      </c>
      <c r="J111" s="21">
        <f>J111 * AC111</f>
        <v/>
      </c>
      <c r="K111" s="21">
        <f>K111 * AC111</f>
        <v/>
      </c>
      <c r="L111" s="21">
        <f>L111 * AC111</f>
        <v/>
      </c>
      <c r="M111" s="25">
        <f>M111 * AC111</f>
        <v/>
      </c>
      <c r="N111" s="25">
        <f>N111 * AC111</f>
        <v/>
      </c>
      <c r="O111" s="25">
        <f>O111 * AC111</f>
        <v/>
      </c>
      <c r="P111" s="25">
        <f>P111 * AC111</f>
        <v/>
      </c>
      <c r="Q111" s="25">
        <f>Q111 * AC111</f>
        <v/>
      </c>
      <c r="R111" s="25">
        <f>R111 * AC111</f>
        <v/>
      </c>
      <c r="S111" s="25">
        <f>S111 * AC111</f>
        <v/>
      </c>
      <c r="T111" s="25">
        <f>T111 * AC111</f>
        <v/>
      </c>
      <c r="U111" s="25">
        <f>U111 * AC111</f>
        <v/>
      </c>
      <c r="V111" s="25">
        <f>V111 * AC111</f>
        <v/>
      </c>
      <c r="W111" s="25">
        <f>W111 * AC111</f>
        <v/>
      </c>
      <c r="X111" s="25">
        <f>X111 * AC111</f>
        <v/>
      </c>
      <c r="Y111" s="25">
        <f>Y111 * AC111</f>
        <v/>
      </c>
      <c r="Z111" s="17" t="n">
        <v/>
      </c>
      <c r="AA111" s="25">
        <f>AA111 * AC111</f>
        <v/>
      </c>
      <c r="AB111" s="25">
        <f>AB111 * AC111</f>
        <v/>
      </c>
      <c r="AC111" s="22" t="n"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>
        <f>I112 * AC112</f>
        <v/>
      </c>
      <c r="J112" s="19">
        <f>J112 * AC112</f>
        <v/>
      </c>
      <c r="K112" s="19">
        <f>K112 * AC112</f>
        <v/>
      </c>
      <c r="L112" s="19">
        <f>L112 * AC112</f>
        <v/>
      </c>
      <c r="M112" s="24">
        <f>M112 * AC112</f>
        <v/>
      </c>
      <c r="N112" s="24">
        <f>N112 * AC112</f>
        <v/>
      </c>
      <c r="O112" s="24">
        <f>O112 * AC112</f>
        <v/>
      </c>
      <c r="P112" s="24">
        <f>P112 * AC112</f>
        <v/>
      </c>
      <c r="Q112" s="24">
        <f>Q112 * AC112</f>
        <v/>
      </c>
      <c r="R112" s="24">
        <f>R112 * AC112</f>
        <v/>
      </c>
      <c r="S112" s="24">
        <f>S112 * AC112</f>
        <v/>
      </c>
      <c r="T112" s="24">
        <f>T112 * AC112</f>
        <v/>
      </c>
      <c r="U112" s="24">
        <f>U112 * AC112</f>
        <v/>
      </c>
      <c r="V112" s="24">
        <f>V112 * AC112</f>
        <v/>
      </c>
      <c r="W112" s="24">
        <f>W112 * AC112</f>
        <v/>
      </c>
      <c r="X112" s="24">
        <f>X112 * AC112</f>
        <v/>
      </c>
      <c r="Y112" s="24">
        <f>Y112 * AC112</f>
        <v/>
      </c>
      <c r="Z112" s="15" t="n">
        <v/>
      </c>
      <c r="AA112" s="24">
        <f>AA112 * AC112</f>
        <v/>
      </c>
      <c r="AB112" s="24">
        <f>AB112 * AC112</f>
        <v/>
      </c>
      <c r="AC112" s="20" t="n"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>
        <f>I113 * AC113</f>
        <v/>
      </c>
      <c r="J113" s="21">
        <f>J113 * AC113</f>
        <v/>
      </c>
      <c r="K113" s="21">
        <f>K113 * AC113</f>
        <v/>
      </c>
      <c r="L113" s="21">
        <f>L113 * AC113</f>
        <v/>
      </c>
      <c r="M113" s="25">
        <f>M113 * AC113</f>
        <v/>
      </c>
      <c r="N113" s="25">
        <f>N113 * AC113</f>
        <v/>
      </c>
      <c r="O113" s="25">
        <f>O113 * AC113</f>
        <v/>
      </c>
      <c r="P113" s="25">
        <f>P113 * AC113</f>
        <v/>
      </c>
      <c r="Q113" s="25">
        <f>Q113 * AC113</f>
        <v/>
      </c>
      <c r="R113" s="25">
        <f>R113 * AC113</f>
        <v/>
      </c>
      <c r="S113" s="25">
        <f>S113 * AC113</f>
        <v/>
      </c>
      <c r="T113" s="25">
        <f>T113 * AC113</f>
        <v/>
      </c>
      <c r="U113" s="25">
        <f>U113 * AC113</f>
        <v/>
      </c>
      <c r="V113" s="25">
        <f>V113 * AC113</f>
        <v/>
      </c>
      <c r="W113" s="25">
        <f>W113 * AC113</f>
        <v/>
      </c>
      <c r="X113" s="25">
        <f>X113 * AC113</f>
        <v/>
      </c>
      <c r="Y113" s="25">
        <f>Y113 * AC113</f>
        <v/>
      </c>
      <c r="Z113" s="17" t="n">
        <v/>
      </c>
      <c r="AA113" s="25">
        <f>AA113 * AC113</f>
        <v/>
      </c>
      <c r="AB113" s="25">
        <f>AB113 * AC113</f>
        <v/>
      </c>
      <c r="AC113" s="22" t="n"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>
        <f>I114 * AC114</f>
        <v/>
      </c>
      <c r="J114" s="19">
        <f>J114 * AC114</f>
        <v/>
      </c>
      <c r="K114" s="19">
        <f>K114 * AC114</f>
        <v/>
      </c>
      <c r="L114" s="19">
        <f>L114 * AC114</f>
        <v/>
      </c>
      <c r="M114" s="24">
        <f>M114 * AC114</f>
        <v/>
      </c>
      <c r="N114" s="24">
        <f>N114 * AC114</f>
        <v/>
      </c>
      <c r="O114" s="24">
        <f>O114 * AC114</f>
        <v/>
      </c>
      <c r="P114" s="24">
        <f>P114 * AC114</f>
        <v/>
      </c>
      <c r="Q114" s="24">
        <f>Q114 * AC114</f>
        <v/>
      </c>
      <c r="R114" s="24">
        <f>R114 * AC114</f>
        <v/>
      </c>
      <c r="S114" s="24">
        <f>S114 * AC114</f>
        <v/>
      </c>
      <c r="T114" s="24">
        <f>T114 * AC114</f>
        <v/>
      </c>
      <c r="U114" s="24">
        <f>U114 * AC114</f>
        <v/>
      </c>
      <c r="V114" s="24">
        <f>V114 * AC114</f>
        <v/>
      </c>
      <c r="W114" s="24">
        <f>W114 * AC114</f>
        <v/>
      </c>
      <c r="X114" s="24">
        <f>X114 * AC114</f>
        <v/>
      </c>
      <c r="Y114" s="24">
        <f>Y114 * AC114</f>
        <v/>
      </c>
      <c r="Z114" s="15" t="n">
        <v/>
      </c>
      <c r="AA114" s="24">
        <f>AA114 * AC114</f>
        <v/>
      </c>
      <c r="AB114" s="24">
        <f>AB114 * AC114</f>
        <v/>
      </c>
      <c r="AC114" s="20" t="n"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>
        <f>I115 * AC115</f>
        <v/>
      </c>
      <c r="J115" s="21">
        <f>J115 * AC115</f>
        <v/>
      </c>
      <c r="K115" s="21">
        <f>K115 * AC115</f>
        <v/>
      </c>
      <c r="L115" s="21">
        <f>L115 * AC115</f>
        <v/>
      </c>
      <c r="M115" s="25">
        <f>M115 * AC115</f>
        <v/>
      </c>
      <c r="N115" s="25">
        <f>N115 * AC115</f>
        <v/>
      </c>
      <c r="O115" s="25">
        <f>O115 * AC115</f>
        <v/>
      </c>
      <c r="P115" s="25">
        <f>P115 * AC115</f>
        <v/>
      </c>
      <c r="Q115" s="25">
        <f>Q115 * AC115</f>
        <v/>
      </c>
      <c r="R115" s="25">
        <f>R115 * AC115</f>
        <v/>
      </c>
      <c r="S115" s="25">
        <f>S115 * AC115</f>
        <v/>
      </c>
      <c r="T115" s="25">
        <f>T115 * AC115</f>
        <v/>
      </c>
      <c r="U115" s="25">
        <f>U115 * AC115</f>
        <v/>
      </c>
      <c r="V115" s="25">
        <f>V115 * AC115</f>
        <v/>
      </c>
      <c r="W115" s="25">
        <f>W115 * AC115</f>
        <v/>
      </c>
      <c r="X115" s="25">
        <f>X115 * AC115</f>
        <v/>
      </c>
      <c r="Y115" s="25">
        <f>Y115 * AC115</f>
        <v/>
      </c>
      <c r="Z115" s="17" t="n">
        <v/>
      </c>
      <c r="AA115" s="25">
        <f>AA115 * AC115</f>
        <v/>
      </c>
      <c r="AB115" s="25">
        <f>AB115 * AC115</f>
        <v/>
      </c>
      <c r="AC115" s="22" t="n"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>
        <f>I116 * AC116</f>
        <v/>
      </c>
      <c r="J116" s="19">
        <f>J116 * AC116</f>
        <v/>
      </c>
      <c r="K116" s="19">
        <f>K116 * AC116</f>
        <v/>
      </c>
      <c r="L116" s="19">
        <f>L116 * AC116</f>
        <v/>
      </c>
      <c r="M116" s="24">
        <f>M116 * AC116</f>
        <v/>
      </c>
      <c r="N116" s="24">
        <f>N116 * AC116</f>
        <v/>
      </c>
      <c r="O116" s="24">
        <f>O116 * AC116</f>
        <v/>
      </c>
      <c r="P116" s="24">
        <f>P116 * AC116</f>
        <v/>
      </c>
      <c r="Q116" s="24">
        <f>Q116 * AC116</f>
        <v/>
      </c>
      <c r="R116" s="24">
        <f>R116 * AC116</f>
        <v/>
      </c>
      <c r="S116" s="24">
        <f>S116 * AC116</f>
        <v/>
      </c>
      <c r="T116" s="24">
        <f>T116 * AC116</f>
        <v/>
      </c>
      <c r="U116" s="24">
        <f>U116 * AC116</f>
        <v/>
      </c>
      <c r="V116" s="24">
        <f>V116 * AC116</f>
        <v/>
      </c>
      <c r="W116" s="24">
        <f>W116 * AC116</f>
        <v/>
      </c>
      <c r="X116" s="24">
        <f>X116 * AC116</f>
        <v/>
      </c>
      <c r="Y116" s="24">
        <f>Y116 * AC116</f>
        <v/>
      </c>
      <c r="Z116" s="15" t="n">
        <v/>
      </c>
      <c r="AA116" s="24">
        <f>AA116 * AC116</f>
        <v/>
      </c>
      <c r="AB116" s="24">
        <f>AB116 * AC116</f>
        <v/>
      </c>
      <c r="AC116" s="20" t="n"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>
        <f>I117 * AC117</f>
        <v/>
      </c>
      <c r="J117" s="21">
        <f>J117 * AC117</f>
        <v/>
      </c>
      <c r="K117" s="21">
        <f>K117 * AC117</f>
        <v/>
      </c>
      <c r="L117" s="21">
        <f>L117 * AC117</f>
        <v/>
      </c>
      <c r="M117" s="25">
        <f>M117 * AC117</f>
        <v/>
      </c>
      <c r="N117" s="25">
        <f>N117 * AC117</f>
        <v/>
      </c>
      <c r="O117" s="25">
        <f>O117 * AC117</f>
        <v/>
      </c>
      <c r="P117" s="25">
        <f>P117 * AC117</f>
        <v/>
      </c>
      <c r="Q117" s="25">
        <f>Q117 * AC117</f>
        <v/>
      </c>
      <c r="R117" s="25">
        <f>R117 * AC117</f>
        <v/>
      </c>
      <c r="S117" s="25">
        <f>S117 * AC117</f>
        <v/>
      </c>
      <c r="T117" s="25">
        <f>T117 * AC117</f>
        <v/>
      </c>
      <c r="U117" s="25">
        <f>U117 * AC117</f>
        <v/>
      </c>
      <c r="V117" s="25">
        <f>V117 * AC117</f>
        <v/>
      </c>
      <c r="W117" s="25">
        <f>W117 * AC117</f>
        <v/>
      </c>
      <c r="X117" s="25">
        <f>X117 * AC117</f>
        <v/>
      </c>
      <c r="Y117" s="25">
        <f>Y117 * AC117</f>
        <v/>
      </c>
      <c r="Z117" s="17" t="n">
        <v/>
      </c>
      <c r="AA117" s="25">
        <f>AA117 * AC117</f>
        <v/>
      </c>
      <c r="AB117" s="25">
        <f>AB117 * AC117</f>
        <v/>
      </c>
      <c r="AC117" s="22" t="n"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>
        <f>I118 * AC118</f>
        <v/>
      </c>
      <c r="J118" s="19">
        <f>J118 * AC118</f>
        <v/>
      </c>
      <c r="K118" s="19">
        <f>K118 * AC118</f>
        <v/>
      </c>
      <c r="L118" s="19">
        <f>L118 * AC118</f>
        <v/>
      </c>
      <c r="M118" s="24">
        <f>M118 * AC118</f>
        <v/>
      </c>
      <c r="N118" s="24">
        <f>N118 * AC118</f>
        <v/>
      </c>
      <c r="O118" s="24">
        <f>O118 * AC118</f>
        <v/>
      </c>
      <c r="P118" s="24">
        <f>P118 * AC118</f>
        <v/>
      </c>
      <c r="Q118" s="24">
        <f>Q118 * AC118</f>
        <v/>
      </c>
      <c r="R118" s="24">
        <f>R118 * AC118</f>
        <v/>
      </c>
      <c r="S118" s="24">
        <f>S118 * AC118</f>
        <v/>
      </c>
      <c r="T118" s="24">
        <f>T118 * AC118</f>
        <v/>
      </c>
      <c r="U118" s="24">
        <f>U118 * AC118</f>
        <v/>
      </c>
      <c r="V118" s="24">
        <f>V118 * AC118</f>
        <v/>
      </c>
      <c r="W118" s="24">
        <f>W118 * AC118</f>
        <v/>
      </c>
      <c r="X118" s="24">
        <f>X118 * AC118</f>
        <v/>
      </c>
      <c r="Y118" s="24">
        <f>Y118 * AC118</f>
        <v/>
      </c>
      <c r="Z118" s="15" t="n">
        <v/>
      </c>
      <c r="AA118" s="24">
        <f>AA118 * AC118</f>
        <v/>
      </c>
      <c r="AB118" s="24">
        <f>AB118 * AC118</f>
        <v/>
      </c>
      <c r="AC118" s="20" t="n"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>
        <f>I119 * AC119</f>
        <v/>
      </c>
      <c r="J119" s="21">
        <f>J119 * AC119</f>
        <v/>
      </c>
      <c r="K119" s="21">
        <f>K119 * AC119</f>
        <v/>
      </c>
      <c r="L119" s="21">
        <f>L119 * AC119</f>
        <v/>
      </c>
      <c r="M119" s="25">
        <f>M119 * AC119</f>
        <v/>
      </c>
      <c r="N119" s="25">
        <f>N119 * AC119</f>
        <v/>
      </c>
      <c r="O119" s="25">
        <f>O119 * AC119</f>
        <v/>
      </c>
      <c r="P119" s="25">
        <f>P119 * AC119</f>
        <v/>
      </c>
      <c r="Q119" s="25">
        <f>Q119 * AC119</f>
        <v/>
      </c>
      <c r="R119" s="25">
        <f>R119 * AC119</f>
        <v/>
      </c>
      <c r="S119" s="25">
        <f>S119 * AC119</f>
        <v/>
      </c>
      <c r="T119" s="25">
        <f>T119 * AC119</f>
        <v/>
      </c>
      <c r="U119" s="25">
        <f>U119 * AC119</f>
        <v/>
      </c>
      <c r="V119" s="25">
        <f>V119 * AC119</f>
        <v/>
      </c>
      <c r="W119" s="25">
        <f>W119 * AC119</f>
        <v/>
      </c>
      <c r="X119" s="25">
        <f>X119 * AC119</f>
        <v/>
      </c>
      <c r="Y119" s="25">
        <f>Y119 * AC119</f>
        <v/>
      </c>
      <c r="Z119" s="17" t="n">
        <v/>
      </c>
      <c r="AA119" s="25">
        <f>AA119 * AC119</f>
        <v/>
      </c>
      <c r="AB119" s="25">
        <f>AB119 * AC119</f>
        <v/>
      </c>
      <c r="AC119" s="22" t="n"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>
        <f>I120 * AC120</f>
        <v/>
      </c>
      <c r="J120" s="19">
        <f>J120 * AC120</f>
        <v/>
      </c>
      <c r="K120" s="19">
        <f>K120 * AC120</f>
        <v/>
      </c>
      <c r="L120" s="19">
        <f>L120 * AC120</f>
        <v/>
      </c>
      <c r="M120" s="24">
        <f>M120 * AC120</f>
        <v/>
      </c>
      <c r="N120" s="24">
        <f>N120 * AC120</f>
        <v/>
      </c>
      <c r="O120" s="24">
        <f>O120 * AC120</f>
        <v/>
      </c>
      <c r="P120" s="24">
        <f>P120 * AC120</f>
        <v/>
      </c>
      <c r="Q120" s="24">
        <f>Q120 * AC120</f>
        <v/>
      </c>
      <c r="R120" s="24">
        <f>R120 * AC120</f>
        <v/>
      </c>
      <c r="S120" s="24">
        <f>S120 * AC120</f>
        <v/>
      </c>
      <c r="T120" s="24">
        <f>T120 * AC120</f>
        <v/>
      </c>
      <c r="U120" s="24">
        <f>U120 * AC120</f>
        <v/>
      </c>
      <c r="V120" s="24">
        <f>V120 * AC120</f>
        <v/>
      </c>
      <c r="W120" s="24">
        <f>W120 * AC120</f>
        <v/>
      </c>
      <c r="X120" s="24">
        <f>X120 * AC120</f>
        <v/>
      </c>
      <c r="Y120" s="24">
        <f>Y120 * AC120</f>
        <v/>
      </c>
      <c r="Z120" s="15" t="n">
        <v/>
      </c>
      <c r="AA120" s="24">
        <f>AA120 * AC120</f>
        <v/>
      </c>
      <c r="AB120" s="24">
        <f>AB120 * AC120</f>
        <v/>
      </c>
      <c r="AC120" s="20" t="n"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>
        <f>I121 * AC121</f>
        <v/>
      </c>
      <c r="J121" s="21">
        <f>J121 * AC121</f>
        <v/>
      </c>
      <c r="K121" s="21">
        <f>K121 * AC121</f>
        <v/>
      </c>
      <c r="L121" s="21">
        <f>L121 * AC121</f>
        <v/>
      </c>
      <c r="M121" s="25">
        <f>M121 * AC121</f>
        <v/>
      </c>
      <c r="N121" s="25">
        <f>N121 * AC121</f>
        <v/>
      </c>
      <c r="O121" s="25">
        <f>O121 * AC121</f>
        <v/>
      </c>
      <c r="P121" s="25">
        <f>P121 * AC121</f>
        <v/>
      </c>
      <c r="Q121" s="25">
        <f>Q121 * AC121</f>
        <v/>
      </c>
      <c r="R121" s="25">
        <f>R121 * AC121</f>
        <v/>
      </c>
      <c r="S121" s="25">
        <f>S121 * AC121</f>
        <v/>
      </c>
      <c r="T121" s="25">
        <f>T121 * AC121</f>
        <v/>
      </c>
      <c r="U121" s="25">
        <f>U121 * AC121</f>
        <v/>
      </c>
      <c r="V121" s="25">
        <f>V121 * AC121</f>
        <v/>
      </c>
      <c r="W121" s="25">
        <f>W121 * AC121</f>
        <v/>
      </c>
      <c r="X121" s="25">
        <f>X121 * AC121</f>
        <v/>
      </c>
      <c r="Y121" s="25">
        <f>Y121 * AC121</f>
        <v/>
      </c>
      <c r="Z121" s="17" t="n">
        <v/>
      </c>
      <c r="AA121" s="25">
        <f>AA121 * AC121</f>
        <v/>
      </c>
      <c r="AB121" s="25">
        <f>AB121 * AC121</f>
        <v/>
      </c>
      <c r="AC121" s="22" t="n"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>
        <f>I122 * AC122</f>
        <v/>
      </c>
      <c r="J122" s="19">
        <f>J122 * AC122</f>
        <v/>
      </c>
      <c r="K122" s="19">
        <f>K122 * AC122</f>
        <v/>
      </c>
      <c r="L122" s="19">
        <f>L122 * AC122</f>
        <v/>
      </c>
      <c r="M122" s="24">
        <f>M122 * AC122</f>
        <v/>
      </c>
      <c r="N122" s="24">
        <f>N122 * AC122</f>
        <v/>
      </c>
      <c r="O122" s="24">
        <f>O122 * AC122</f>
        <v/>
      </c>
      <c r="P122" s="24">
        <f>P122 * AC122</f>
        <v/>
      </c>
      <c r="Q122" s="24">
        <f>Q122 * AC122</f>
        <v/>
      </c>
      <c r="R122" s="24">
        <f>R122 * AC122</f>
        <v/>
      </c>
      <c r="S122" s="24">
        <f>S122 * AC122</f>
        <v/>
      </c>
      <c r="T122" s="24">
        <f>T122 * AC122</f>
        <v/>
      </c>
      <c r="U122" s="24">
        <f>U122 * AC122</f>
        <v/>
      </c>
      <c r="V122" s="24">
        <f>V122 * AC122</f>
        <v/>
      </c>
      <c r="W122" s="24">
        <f>W122 * AC122</f>
        <v/>
      </c>
      <c r="X122" s="24">
        <f>X122 * AC122</f>
        <v/>
      </c>
      <c r="Y122" s="24">
        <f>Y122 * AC122</f>
        <v/>
      </c>
      <c r="Z122" s="15" t="n">
        <v/>
      </c>
      <c r="AA122" s="24">
        <f>AA122 * AC122</f>
        <v/>
      </c>
      <c r="AB122" s="24">
        <f>AB122 * AC122</f>
        <v/>
      </c>
      <c r="AC122" s="20" t="n"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>
        <f>I123 * AC123</f>
        <v/>
      </c>
      <c r="J123" s="21">
        <f>J123 * AC123</f>
        <v/>
      </c>
      <c r="K123" s="21">
        <f>K123 * AC123</f>
        <v/>
      </c>
      <c r="L123" s="21">
        <f>L123 * AC123</f>
        <v/>
      </c>
      <c r="M123" s="25">
        <f>M123 * AC123</f>
        <v/>
      </c>
      <c r="N123" s="25">
        <f>N123 * AC123</f>
        <v/>
      </c>
      <c r="O123" s="25">
        <f>O123 * AC123</f>
        <v/>
      </c>
      <c r="P123" s="25">
        <f>P123 * AC123</f>
        <v/>
      </c>
      <c r="Q123" s="25">
        <f>Q123 * AC123</f>
        <v/>
      </c>
      <c r="R123" s="25">
        <f>R123 * AC123</f>
        <v/>
      </c>
      <c r="S123" s="25">
        <f>S123 * AC123</f>
        <v/>
      </c>
      <c r="T123" s="25">
        <f>T123 * AC123</f>
        <v/>
      </c>
      <c r="U123" s="25">
        <f>U123 * AC123</f>
        <v/>
      </c>
      <c r="V123" s="25">
        <f>V123 * AC123</f>
        <v/>
      </c>
      <c r="W123" s="25">
        <f>W123 * AC123</f>
        <v/>
      </c>
      <c r="X123" s="25">
        <f>X123 * AC123</f>
        <v/>
      </c>
      <c r="Y123" s="25">
        <f>Y123 * AC123</f>
        <v/>
      </c>
      <c r="Z123" s="17" t="n">
        <v/>
      </c>
      <c r="AA123" s="25">
        <f>AA123 * AC123</f>
        <v/>
      </c>
      <c r="AB123" s="25">
        <f>AB123 * AC123</f>
        <v/>
      </c>
      <c r="AC123" s="22" t="n"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>
        <f>I124 * AC124</f>
        <v/>
      </c>
      <c r="J124" s="19">
        <f>J124 * AC124</f>
        <v/>
      </c>
      <c r="K124" s="19">
        <f>K124 * AC124</f>
        <v/>
      </c>
      <c r="L124" s="19">
        <f>L124 * AC124</f>
        <v/>
      </c>
      <c r="M124" s="24">
        <f>M124 * AC124</f>
        <v/>
      </c>
      <c r="N124" s="24">
        <f>N124 * AC124</f>
        <v/>
      </c>
      <c r="O124" s="24">
        <f>O124 * AC124</f>
        <v/>
      </c>
      <c r="P124" s="24">
        <f>P124 * AC124</f>
        <v/>
      </c>
      <c r="Q124" s="24">
        <f>Q124 * AC124</f>
        <v/>
      </c>
      <c r="R124" s="24">
        <f>R124 * AC124</f>
        <v/>
      </c>
      <c r="S124" s="24">
        <f>S124 * AC124</f>
        <v/>
      </c>
      <c r="T124" s="24">
        <f>T124 * AC124</f>
        <v/>
      </c>
      <c r="U124" s="24">
        <f>U124 * AC124</f>
        <v/>
      </c>
      <c r="V124" s="24">
        <f>V124 * AC124</f>
        <v/>
      </c>
      <c r="W124" s="24">
        <f>W124 * AC124</f>
        <v/>
      </c>
      <c r="X124" s="24">
        <f>X124 * AC124</f>
        <v/>
      </c>
      <c r="Y124" s="24">
        <f>Y124 * AC124</f>
        <v/>
      </c>
      <c r="Z124" s="15" t="n">
        <v/>
      </c>
      <c r="AA124" s="24">
        <f>AA124 * AC124</f>
        <v/>
      </c>
      <c r="AB124" s="24">
        <f>AB124 * AC124</f>
        <v/>
      </c>
      <c r="AC124" s="20" t="n"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>
        <f>I125 * AC125</f>
        <v/>
      </c>
      <c r="J125" s="21">
        <f>J125 * AC125</f>
        <v/>
      </c>
      <c r="K125" s="21">
        <f>K125 * AC125</f>
        <v/>
      </c>
      <c r="L125" s="21">
        <f>L125 * AC125</f>
        <v/>
      </c>
      <c r="M125" s="25">
        <f>M125 * AC125</f>
        <v/>
      </c>
      <c r="N125" s="25">
        <f>N125 * AC125</f>
        <v/>
      </c>
      <c r="O125" s="25">
        <f>O125 * AC125</f>
        <v/>
      </c>
      <c r="P125" s="25">
        <f>P125 * AC125</f>
        <v/>
      </c>
      <c r="Q125" s="25">
        <f>Q125 * AC125</f>
        <v/>
      </c>
      <c r="R125" s="25">
        <f>R125 * AC125</f>
        <v/>
      </c>
      <c r="S125" s="25">
        <f>S125 * AC125</f>
        <v/>
      </c>
      <c r="T125" s="25">
        <f>T125 * AC125</f>
        <v/>
      </c>
      <c r="U125" s="25">
        <f>U125 * AC125</f>
        <v/>
      </c>
      <c r="V125" s="25">
        <f>V125 * AC125</f>
        <v/>
      </c>
      <c r="W125" s="25">
        <f>W125 * AC125</f>
        <v/>
      </c>
      <c r="X125" s="25">
        <f>X125 * AC125</f>
        <v/>
      </c>
      <c r="Y125" s="25">
        <f>Y125 * AC125</f>
        <v/>
      </c>
      <c r="Z125" s="17" t="n">
        <v/>
      </c>
      <c r="AA125" s="25">
        <f>AA125 * AC125</f>
        <v/>
      </c>
      <c r="AB125" s="25">
        <f>AB125 * AC125</f>
        <v/>
      </c>
      <c r="AC125" s="22" t="n"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>
        <f>I126 * AC126</f>
        <v/>
      </c>
      <c r="J126" s="19">
        <f>J126 * AC126</f>
        <v/>
      </c>
      <c r="K126" s="19">
        <f>K126 * AC126</f>
        <v/>
      </c>
      <c r="L126" s="19">
        <f>L126 * AC126</f>
        <v/>
      </c>
      <c r="M126" s="24">
        <f>M126 * AC126</f>
        <v/>
      </c>
      <c r="N126" s="24">
        <f>N126 * AC126</f>
        <v/>
      </c>
      <c r="O126" s="24">
        <f>O126 * AC126</f>
        <v/>
      </c>
      <c r="P126" s="24">
        <f>P126 * AC126</f>
        <v/>
      </c>
      <c r="Q126" s="24">
        <f>Q126 * AC126</f>
        <v/>
      </c>
      <c r="R126" s="24">
        <f>R126 * AC126</f>
        <v/>
      </c>
      <c r="S126" s="24">
        <f>S126 * AC126</f>
        <v/>
      </c>
      <c r="T126" s="24">
        <f>T126 * AC126</f>
        <v/>
      </c>
      <c r="U126" s="24">
        <f>U126 * AC126</f>
        <v/>
      </c>
      <c r="V126" s="24">
        <f>V126 * AC126</f>
        <v/>
      </c>
      <c r="W126" s="24">
        <f>W126 * AC126</f>
        <v/>
      </c>
      <c r="X126" s="24">
        <f>X126 * AC126</f>
        <v/>
      </c>
      <c r="Y126" s="24">
        <f>Y126 * AC126</f>
        <v/>
      </c>
      <c r="Z126" s="15" t="n">
        <v/>
      </c>
      <c r="AA126" s="24">
        <f>AA126 * AC126</f>
        <v/>
      </c>
      <c r="AB126" s="24">
        <f>AB126 * AC126</f>
        <v/>
      </c>
      <c r="AC126" s="20" t="n"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>
        <f>I127 * AC127</f>
        <v/>
      </c>
      <c r="J127" s="21">
        <f>J127 * AC127</f>
        <v/>
      </c>
      <c r="K127" s="21">
        <f>K127 * AC127</f>
        <v/>
      </c>
      <c r="L127" s="21">
        <f>L127 * AC127</f>
        <v/>
      </c>
      <c r="M127" s="25">
        <f>M127 * AC127</f>
        <v/>
      </c>
      <c r="N127" s="25">
        <f>N127 * AC127</f>
        <v/>
      </c>
      <c r="O127" s="25">
        <f>O127 * AC127</f>
        <v/>
      </c>
      <c r="P127" s="25">
        <f>P127 * AC127</f>
        <v/>
      </c>
      <c r="Q127" s="25">
        <f>Q127 * AC127</f>
        <v/>
      </c>
      <c r="R127" s="25">
        <f>R127 * AC127</f>
        <v/>
      </c>
      <c r="S127" s="25">
        <f>S127 * AC127</f>
        <v/>
      </c>
      <c r="T127" s="25">
        <f>T127 * AC127</f>
        <v/>
      </c>
      <c r="U127" s="25">
        <f>U127 * AC127</f>
        <v/>
      </c>
      <c r="V127" s="25">
        <f>V127 * AC127</f>
        <v/>
      </c>
      <c r="W127" s="25">
        <f>W127 * AC127</f>
        <v/>
      </c>
      <c r="X127" s="25">
        <f>X127 * AC127</f>
        <v/>
      </c>
      <c r="Y127" s="25">
        <f>Y127 * AC127</f>
        <v/>
      </c>
      <c r="Z127" s="17" t="n">
        <v/>
      </c>
      <c r="AA127" s="25">
        <f>AA127 * AC127</f>
        <v/>
      </c>
      <c r="AB127" s="25">
        <f>AB127 * AC127</f>
        <v/>
      </c>
      <c r="AC127" s="22" t="n"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>
        <f>I128 * AC128</f>
        <v/>
      </c>
      <c r="J128" s="19">
        <f>J128 * AC128</f>
        <v/>
      </c>
      <c r="K128" s="19">
        <f>K128 * AC128</f>
        <v/>
      </c>
      <c r="L128" s="19">
        <f>L128 * AC128</f>
        <v/>
      </c>
      <c r="M128" s="24">
        <f>M128 * AC128</f>
        <v/>
      </c>
      <c r="N128" s="24">
        <f>N128 * AC128</f>
        <v/>
      </c>
      <c r="O128" s="24">
        <f>O128 * AC128</f>
        <v/>
      </c>
      <c r="P128" s="24">
        <f>P128 * AC128</f>
        <v/>
      </c>
      <c r="Q128" s="24">
        <f>Q128 * AC128</f>
        <v/>
      </c>
      <c r="R128" s="24">
        <f>R128 * AC128</f>
        <v/>
      </c>
      <c r="S128" s="24">
        <f>S128 * AC128</f>
        <v/>
      </c>
      <c r="T128" s="24">
        <f>T128 * AC128</f>
        <v/>
      </c>
      <c r="U128" s="24">
        <f>U128 * AC128</f>
        <v/>
      </c>
      <c r="V128" s="24">
        <f>V128 * AC128</f>
        <v/>
      </c>
      <c r="W128" s="24">
        <f>W128 * AC128</f>
        <v/>
      </c>
      <c r="X128" s="24">
        <f>X128 * AC128</f>
        <v/>
      </c>
      <c r="Y128" s="24">
        <f>Y128 * AC128</f>
        <v/>
      </c>
      <c r="Z128" s="15" t="n">
        <v/>
      </c>
      <c r="AA128" s="24">
        <f>AA128 * AC128</f>
        <v/>
      </c>
      <c r="AB128" s="24">
        <f>AB128 * AC128</f>
        <v/>
      </c>
      <c r="AC128" s="20" t="n"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>
        <f>I129 * AC129</f>
        <v/>
      </c>
      <c r="J129" s="21">
        <f>J129 * AC129</f>
        <v/>
      </c>
      <c r="K129" s="21">
        <f>K129 * AC129</f>
        <v/>
      </c>
      <c r="L129" s="21">
        <f>L129 * AC129</f>
        <v/>
      </c>
      <c r="M129" s="25">
        <f>M129 * AC129</f>
        <v/>
      </c>
      <c r="N129" s="25">
        <f>N129 * AC129</f>
        <v/>
      </c>
      <c r="O129" s="25">
        <f>O129 * AC129</f>
        <v/>
      </c>
      <c r="P129" s="25">
        <f>P129 * AC129</f>
        <v/>
      </c>
      <c r="Q129" s="25">
        <f>Q129 * AC129</f>
        <v/>
      </c>
      <c r="R129" s="25">
        <f>R129 * AC129</f>
        <v/>
      </c>
      <c r="S129" s="25">
        <f>S129 * AC129</f>
        <v/>
      </c>
      <c r="T129" s="25">
        <f>T129 * AC129</f>
        <v/>
      </c>
      <c r="U129" s="25">
        <f>U129 * AC129</f>
        <v/>
      </c>
      <c r="V129" s="25">
        <f>V129 * AC129</f>
        <v/>
      </c>
      <c r="W129" s="25">
        <f>W129 * AC129</f>
        <v/>
      </c>
      <c r="X129" s="25">
        <f>X129 * AC129</f>
        <v/>
      </c>
      <c r="Y129" s="25">
        <f>Y129 * AC129</f>
        <v/>
      </c>
      <c r="Z129" s="17" t="n">
        <v/>
      </c>
      <c r="AA129" s="25">
        <f>AA129 * AC129</f>
        <v/>
      </c>
      <c r="AB129" s="25">
        <f>AB129 * AC129</f>
        <v/>
      </c>
      <c r="AC129" s="22" t="n"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>
        <f>I130 * AC130</f>
        <v/>
      </c>
      <c r="J130" s="19">
        <f>J130 * AC130</f>
        <v/>
      </c>
      <c r="K130" s="19">
        <f>K130 * AC130</f>
        <v/>
      </c>
      <c r="L130" s="19">
        <f>L130 * AC130</f>
        <v/>
      </c>
      <c r="M130" s="24">
        <f>M130 * AC130</f>
        <v/>
      </c>
      <c r="N130" s="24">
        <f>N130 * AC130</f>
        <v/>
      </c>
      <c r="O130" s="24">
        <f>O130 * AC130</f>
        <v/>
      </c>
      <c r="P130" s="24">
        <f>P130 * AC130</f>
        <v/>
      </c>
      <c r="Q130" s="24">
        <f>Q130 * AC130</f>
        <v/>
      </c>
      <c r="R130" s="24">
        <f>R130 * AC130</f>
        <v/>
      </c>
      <c r="S130" s="24">
        <f>S130 * AC130</f>
        <v/>
      </c>
      <c r="T130" s="24">
        <f>T130 * AC130</f>
        <v/>
      </c>
      <c r="U130" s="24">
        <f>U130 * AC130</f>
        <v/>
      </c>
      <c r="V130" s="24">
        <f>V130 * AC130</f>
        <v/>
      </c>
      <c r="W130" s="24">
        <f>W130 * AC130</f>
        <v/>
      </c>
      <c r="X130" s="24">
        <f>X130 * AC130</f>
        <v/>
      </c>
      <c r="Y130" s="24">
        <f>Y130 * AC130</f>
        <v/>
      </c>
      <c r="Z130" s="15" t="n">
        <v/>
      </c>
      <c r="AA130" s="24">
        <f>AA130 * AC130</f>
        <v/>
      </c>
      <c r="AB130" s="24">
        <f>AB130 * AC130</f>
        <v/>
      </c>
      <c r="AC130" s="20" t="n"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>
        <f>I131 * AC131</f>
        <v/>
      </c>
      <c r="J131" s="21">
        <f>J131 * AC131</f>
        <v/>
      </c>
      <c r="K131" s="21">
        <f>K131 * AC131</f>
        <v/>
      </c>
      <c r="L131" s="21">
        <f>L131 * AC131</f>
        <v/>
      </c>
      <c r="M131" s="25">
        <f>M131 * AC131</f>
        <v/>
      </c>
      <c r="N131" s="25">
        <f>N131 * AC131</f>
        <v/>
      </c>
      <c r="O131" s="25">
        <f>O131 * AC131</f>
        <v/>
      </c>
      <c r="P131" s="25">
        <f>P131 * AC131</f>
        <v/>
      </c>
      <c r="Q131" s="25">
        <f>Q131 * AC131</f>
        <v/>
      </c>
      <c r="R131" s="25">
        <f>R131 * AC131</f>
        <v/>
      </c>
      <c r="S131" s="25">
        <f>S131 * AC131</f>
        <v/>
      </c>
      <c r="T131" s="25">
        <f>T131 * AC131</f>
        <v/>
      </c>
      <c r="U131" s="25">
        <f>U131 * AC131</f>
        <v/>
      </c>
      <c r="V131" s="25">
        <f>V131 * AC131</f>
        <v/>
      </c>
      <c r="W131" s="25">
        <f>W131 * AC131</f>
        <v/>
      </c>
      <c r="X131" s="25">
        <f>X131 * AC131</f>
        <v/>
      </c>
      <c r="Y131" s="25">
        <f>Y131 * AC131</f>
        <v/>
      </c>
      <c r="Z131" s="17" t="n">
        <v/>
      </c>
      <c r="AA131" s="25">
        <f>AA131 * AC131</f>
        <v/>
      </c>
      <c r="AB131" s="25">
        <f>AB131 * AC131</f>
        <v/>
      </c>
      <c r="AC131" s="22" t="n"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>
        <f>I132 * AC132</f>
        <v/>
      </c>
      <c r="J132" s="19">
        <f>J132 * AC132</f>
        <v/>
      </c>
      <c r="K132" s="19">
        <f>K132 * AC132</f>
        <v/>
      </c>
      <c r="L132" s="19">
        <f>L132 * AC132</f>
        <v/>
      </c>
      <c r="M132" s="24">
        <f>M132 * AC132</f>
        <v/>
      </c>
      <c r="N132" s="24">
        <f>N132 * AC132</f>
        <v/>
      </c>
      <c r="O132" s="24">
        <f>O132 * AC132</f>
        <v/>
      </c>
      <c r="P132" s="24">
        <f>P132 * AC132</f>
        <v/>
      </c>
      <c r="Q132" s="24">
        <f>Q132 * AC132</f>
        <v/>
      </c>
      <c r="R132" s="24">
        <f>R132 * AC132</f>
        <v/>
      </c>
      <c r="S132" s="24">
        <f>S132 * AC132</f>
        <v/>
      </c>
      <c r="T132" s="24">
        <f>T132 * AC132</f>
        <v/>
      </c>
      <c r="U132" s="24">
        <f>U132 * AC132</f>
        <v/>
      </c>
      <c r="V132" s="24">
        <f>V132 * AC132</f>
        <v/>
      </c>
      <c r="W132" s="24">
        <f>W132 * AC132</f>
        <v/>
      </c>
      <c r="X132" s="24">
        <f>X132 * AC132</f>
        <v/>
      </c>
      <c r="Y132" s="24">
        <f>Y132 * AC132</f>
        <v/>
      </c>
      <c r="Z132" s="15" t="n">
        <v/>
      </c>
      <c r="AA132" s="24">
        <f>AA132 * AC132</f>
        <v/>
      </c>
      <c r="AB132" s="24">
        <f>AB132 * AC132</f>
        <v/>
      </c>
      <c r="AC132" s="20" t="n"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>
        <f>I133 * AC133</f>
        <v/>
      </c>
      <c r="J133" s="21">
        <f>J133 * AC133</f>
        <v/>
      </c>
      <c r="K133" s="21">
        <f>K133 * AC133</f>
        <v/>
      </c>
      <c r="L133" s="21">
        <f>L133 * AC133</f>
        <v/>
      </c>
      <c r="M133" s="25">
        <f>M133 * AC133</f>
        <v/>
      </c>
      <c r="N133" s="25">
        <f>N133 * AC133</f>
        <v/>
      </c>
      <c r="O133" s="25">
        <f>O133 * AC133</f>
        <v/>
      </c>
      <c r="P133" s="25">
        <f>P133 * AC133</f>
        <v/>
      </c>
      <c r="Q133" s="25">
        <f>Q133 * AC133</f>
        <v/>
      </c>
      <c r="R133" s="25">
        <f>R133 * AC133</f>
        <v/>
      </c>
      <c r="S133" s="25">
        <f>S133 * AC133</f>
        <v/>
      </c>
      <c r="T133" s="25">
        <f>T133 * AC133</f>
        <v/>
      </c>
      <c r="U133" s="25">
        <f>U133 * AC133</f>
        <v/>
      </c>
      <c r="V133" s="25">
        <f>V133 * AC133</f>
        <v/>
      </c>
      <c r="W133" s="25">
        <f>W133 * AC133</f>
        <v/>
      </c>
      <c r="X133" s="25">
        <f>X133 * AC133</f>
        <v/>
      </c>
      <c r="Y133" s="25">
        <f>Y133 * AC133</f>
        <v/>
      </c>
      <c r="Z133" s="17" t="n">
        <v/>
      </c>
      <c r="AA133" s="25">
        <f>AA133 * AC133</f>
        <v/>
      </c>
      <c r="AB133" s="25">
        <f>AB133 * AC133</f>
        <v/>
      </c>
      <c r="AC133" s="22" t="n"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>
        <f>I134 * AC134</f>
        <v/>
      </c>
      <c r="J134" s="19">
        <f>J134 * AC134</f>
        <v/>
      </c>
      <c r="K134" s="19">
        <f>K134 * AC134</f>
        <v/>
      </c>
      <c r="L134" s="19">
        <f>L134 * AC134</f>
        <v/>
      </c>
      <c r="M134" s="24">
        <f>M134 * AC134</f>
        <v/>
      </c>
      <c r="N134" s="24">
        <f>N134 * AC134</f>
        <v/>
      </c>
      <c r="O134" s="24">
        <f>O134 * AC134</f>
        <v/>
      </c>
      <c r="P134" s="24">
        <f>P134 * AC134</f>
        <v/>
      </c>
      <c r="Q134" s="24">
        <f>Q134 * AC134</f>
        <v/>
      </c>
      <c r="R134" s="24">
        <f>R134 * AC134</f>
        <v/>
      </c>
      <c r="S134" s="24">
        <f>S134 * AC134</f>
        <v/>
      </c>
      <c r="T134" s="24">
        <f>T134 * AC134</f>
        <v/>
      </c>
      <c r="U134" s="24">
        <f>U134 * AC134</f>
        <v/>
      </c>
      <c r="V134" s="24">
        <f>V134 * AC134</f>
        <v/>
      </c>
      <c r="W134" s="24">
        <f>W134 * AC134</f>
        <v/>
      </c>
      <c r="X134" s="24">
        <f>X134 * AC134</f>
        <v/>
      </c>
      <c r="Y134" s="24">
        <f>Y134 * AC134</f>
        <v/>
      </c>
      <c r="Z134" s="15" t="n">
        <v/>
      </c>
      <c r="AA134" s="24">
        <f>AA134 * AC134</f>
        <v/>
      </c>
      <c r="AB134" s="24">
        <f>AB134 * AC134</f>
        <v/>
      </c>
      <c r="AC134" s="20" t="n"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>
        <f>I135 * AC135</f>
        <v/>
      </c>
      <c r="J135" s="21">
        <f>J135 * AC135</f>
        <v/>
      </c>
      <c r="K135" s="21">
        <f>K135 * AC135</f>
        <v/>
      </c>
      <c r="L135" s="21">
        <f>L135 * AC135</f>
        <v/>
      </c>
      <c r="M135" s="25">
        <f>M135 * AC135</f>
        <v/>
      </c>
      <c r="N135" s="25">
        <f>N135 * AC135</f>
        <v/>
      </c>
      <c r="O135" s="25">
        <f>O135 * AC135</f>
        <v/>
      </c>
      <c r="P135" s="25">
        <f>P135 * AC135</f>
        <v/>
      </c>
      <c r="Q135" s="25">
        <f>Q135 * AC135</f>
        <v/>
      </c>
      <c r="R135" s="25">
        <f>R135 * AC135</f>
        <v/>
      </c>
      <c r="S135" s="25">
        <f>S135 * AC135</f>
        <v/>
      </c>
      <c r="T135" s="25">
        <f>T135 * AC135</f>
        <v/>
      </c>
      <c r="U135" s="25">
        <f>U135 * AC135</f>
        <v/>
      </c>
      <c r="V135" s="25">
        <f>V135 * AC135</f>
        <v/>
      </c>
      <c r="W135" s="25">
        <f>W135 * AC135</f>
        <v/>
      </c>
      <c r="X135" s="25">
        <f>X135 * AC135</f>
        <v/>
      </c>
      <c r="Y135" s="25">
        <f>Y135 * AC135</f>
        <v/>
      </c>
      <c r="Z135" s="17" t="n">
        <v/>
      </c>
      <c r="AA135" s="25">
        <f>AA135 * AC135</f>
        <v/>
      </c>
      <c r="AB135" s="25">
        <f>AB135 * AC135</f>
        <v/>
      </c>
      <c r="AC135" s="22" t="n"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>
        <f>I136 * AC136</f>
        <v/>
      </c>
      <c r="J136" s="19">
        <f>J136 * AC136</f>
        <v/>
      </c>
      <c r="K136" s="19">
        <f>K136 * AC136</f>
        <v/>
      </c>
      <c r="L136" s="19">
        <f>L136 * AC136</f>
        <v/>
      </c>
      <c r="M136" s="24">
        <f>M136 * AC136</f>
        <v/>
      </c>
      <c r="N136" s="24">
        <f>N136 * AC136</f>
        <v/>
      </c>
      <c r="O136" s="24">
        <f>O136 * AC136</f>
        <v/>
      </c>
      <c r="P136" s="24">
        <f>P136 * AC136</f>
        <v/>
      </c>
      <c r="Q136" s="24">
        <f>Q136 * AC136</f>
        <v/>
      </c>
      <c r="R136" s="24">
        <f>R136 * AC136</f>
        <v/>
      </c>
      <c r="S136" s="24">
        <f>S136 * AC136</f>
        <v/>
      </c>
      <c r="T136" s="24">
        <f>T136 * AC136</f>
        <v/>
      </c>
      <c r="U136" s="24">
        <f>U136 * AC136</f>
        <v/>
      </c>
      <c r="V136" s="24">
        <f>V136 * AC136</f>
        <v/>
      </c>
      <c r="W136" s="24">
        <f>W136 * AC136</f>
        <v/>
      </c>
      <c r="X136" s="24">
        <f>X136 * AC136</f>
        <v/>
      </c>
      <c r="Y136" s="24">
        <f>Y136 * AC136</f>
        <v/>
      </c>
      <c r="Z136" s="15" t="n">
        <v/>
      </c>
      <c r="AA136" s="24">
        <f>AA136 * AC136</f>
        <v/>
      </c>
      <c r="AB136" s="24">
        <f>AB136 * AC136</f>
        <v/>
      </c>
      <c r="AC136" s="20" t="n"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>
        <f>I137 * AC137</f>
        <v/>
      </c>
      <c r="J137" s="21">
        <f>J137 * AC137</f>
        <v/>
      </c>
      <c r="K137" s="21">
        <f>K137 * AC137</f>
        <v/>
      </c>
      <c r="L137" s="21">
        <f>L137 * AC137</f>
        <v/>
      </c>
      <c r="M137" s="25">
        <f>M137 * AC137</f>
        <v/>
      </c>
      <c r="N137" s="25">
        <f>N137 * AC137</f>
        <v/>
      </c>
      <c r="O137" s="25">
        <f>O137 * AC137</f>
        <v/>
      </c>
      <c r="P137" s="25">
        <f>P137 * AC137</f>
        <v/>
      </c>
      <c r="Q137" s="25">
        <f>Q137 * AC137</f>
        <v/>
      </c>
      <c r="R137" s="25">
        <f>R137 * AC137</f>
        <v/>
      </c>
      <c r="S137" s="25">
        <f>S137 * AC137</f>
        <v/>
      </c>
      <c r="T137" s="25">
        <f>T137 * AC137</f>
        <v/>
      </c>
      <c r="U137" s="25">
        <f>U137 * AC137</f>
        <v/>
      </c>
      <c r="V137" s="25">
        <f>V137 * AC137</f>
        <v/>
      </c>
      <c r="W137" s="25">
        <f>W137 * AC137</f>
        <v/>
      </c>
      <c r="X137" s="25">
        <f>X137 * AC137</f>
        <v/>
      </c>
      <c r="Y137" s="25">
        <f>Y137 * AC137</f>
        <v/>
      </c>
      <c r="Z137" s="17" t="n">
        <v/>
      </c>
      <c r="AA137" s="25">
        <f>AA137 * AC137</f>
        <v/>
      </c>
      <c r="AB137" s="25">
        <f>AB137 * AC137</f>
        <v/>
      </c>
      <c r="AC137" s="22" t="n"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>
        <f>I138 * AC138</f>
        <v/>
      </c>
      <c r="J138" s="19">
        <f>J138 * AC138</f>
        <v/>
      </c>
      <c r="K138" s="19">
        <f>K138 * AC138</f>
        <v/>
      </c>
      <c r="L138" s="19">
        <f>L138 * AC138</f>
        <v/>
      </c>
      <c r="M138" s="24">
        <f>M138 * AC138</f>
        <v/>
      </c>
      <c r="N138" s="24">
        <f>N138 * AC138</f>
        <v/>
      </c>
      <c r="O138" s="24">
        <f>O138 * AC138</f>
        <v/>
      </c>
      <c r="P138" s="24">
        <f>P138 * AC138</f>
        <v/>
      </c>
      <c r="Q138" s="24">
        <f>Q138 * AC138</f>
        <v/>
      </c>
      <c r="R138" s="24">
        <f>R138 * AC138</f>
        <v/>
      </c>
      <c r="S138" s="24">
        <f>S138 * AC138</f>
        <v/>
      </c>
      <c r="T138" s="24">
        <f>T138 * AC138</f>
        <v/>
      </c>
      <c r="U138" s="24">
        <f>U138 * AC138</f>
        <v/>
      </c>
      <c r="V138" s="24">
        <f>V138 * AC138</f>
        <v/>
      </c>
      <c r="W138" s="24">
        <f>W138 * AC138</f>
        <v/>
      </c>
      <c r="X138" s="24">
        <f>X138 * AC138</f>
        <v/>
      </c>
      <c r="Y138" s="24">
        <f>Y138 * AC138</f>
        <v/>
      </c>
      <c r="Z138" s="15" t="n">
        <v/>
      </c>
      <c r="AA138" s="24">
        <f>AA138 * AC138</f>
        <v/>
      </c>
      <c r="AB138" s="24">
        <f>AB138 * AC138</f>
        <v/>
      </c>
      <c r="AC138" s="20" t="n"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>
        <f>I139 * AC139</f>
        <v/>
      </c>
      <c r="J139" s="21">
        <f>J139 * AC139</f>
        <v/>
      </c>
      <c r="K139" s="21">
        <f>K139 * AC139</f>
        <v/>
      </c>
      <c r="L139" s="21">
        <f>L139 * AC139</f>
        <v/>
      </c>
      <c r="M139" s="25">
        <f>M139 * AC139</f>
        <v/>
      </c>
      <c r="N139" s="25">
        <f>N139 * AC139</f>
        <v/>
      </c>
      <c r="O139" s="25">
        <f>O139 * AC139</f>
        <v/>
      </c>
      <c r="P139" s="25">
        <f>P139 * AC139</f>
        <v/>
      </c>
      <c r="Q139" s="25">
        <f>Q139 * AC139</f>
        <v/>
      </c>
      <c r="R139" s="25">
        <f>R139 * AC139</f>
        <v/>
      </c>
      <c r="S139" s="25">
        <f>S139 * AC139</f>
        <v/>
      </c>
      <c r="T139" s="25">
        <f>T139 * AC139</f>
        <v/>
      </c>
      <c r="U139" s="25">
        <f>U139 * AC139</f>
        <v/>
      </c>
      <c r="V139" s="25">
        <f>V139 * AC139</f>
        <v/>
      </c>
      <c r="W139" s="25">
        <f>W139 * AC139</f>
        <v/>
      </c>
      <c r="X139" s="25">
        <f>X139 * AC139</f>
        <v/>
      </c>
      <c r="Y139" s="25">
        <f>Y139 * AC139</f>
        <v/>
      </c>
      <c r="Z139" s="17" t="n">
        <v/>
      </c>
      <c r="AA139" s="25">
        <f>AA139 * AC139</f>
        <v/>
      </c>
      <c r="AB139" s="25">
        <f>AB139 * AC139</f>
        <v/>
      </c>
      <c r="AC139" s="22" t="n"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>
        <f>I140 * AC140</f>
        <v/>
      </c>
      <c r="J140" s="19">
        <f>J140 * AC140</f>
        <v/>
      </c>
      <c r="K140" s="19">
        <f>K140 * AC140</f>
        <v/>
      </c>
      <c r="L140" s="19">
        <f>L140 * AC140</f>
        <v/>
      </c>
      <c r="M140" s="24">
        <f>M140 * AC140</f>
        <v/>
      </c>
      <c r="N140" s="24">
        <f>N140 * AC140</f>
        <v/>
      </c>
      <c r="O140" s="24">
        <f>O140 * AC140</f>
        <v/>
      </c>
      <c r="P140" s="24">
        <f>P140 * AC140</f>
        <v/>
      </c>
      <c r="Q140" s="24">
        <f>Q140 * AC140</f>
        <v/>
      </c>
      <c r="R140" s="24">
        <f>R140 * AC140</f>
        <v/>
      </c>
      <c r="S140" s="24">
        <f>S140 * AC140</f>
        <v/>
      </c>
      <c r="T140" s="24">
        <f>T140 * AC140</f>
        <v/>
      </c>
      <c r="U140" s="24">
        <f>U140 * AC140</f>
        <v/>
      </c>
      <c r="V140" s="24">
        <f>V140 * AC140</f>
        <v/>
      </c>
      <c r="W140" s="24">
        <f>W140 * AC140</f>
        <v/>
      </c>
      <c r="X140" s="24">
        <f>X140 * AC140</f>
        <v/>
      </c>
      <c r="Y140" s="24">
        <f>Y140 * AC140</f>
        <v/>
      </c>
      <c r="Z140" s="15" t="n">
        <v/>
      </c>
      <c r="AA140" s="24">
        <f>AA140 * AC140</f>
        <v/>
      </c>
      <c r="AB140" s="24">
        <f>AB140 * AC140</f>
        <v/>
      </c>
      <c r="AC140" s="20" t="n"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>
        <f>I141 * AC141</f>
        <v/>
      </c>
      <c r="J141" s="21">
        <f>J141 * AC141</f>
        <v/>
      </c>
      <c r="K141" s="21">
        <f>K141 * AC141</f>
        <v/>
      </c>
      <c r="L141" s="21">
        <f>L141 * AC141</f>
        <v/>
      </c>
      <c r="M141" s="25">
        <f>M141 * AC141</f>
        <v/>
      </c>
      <c r="N141" s="25">
        <f>N141 * AC141</f>
        <v/>
      </c>
      <c r="O141" s="25">
        <f>O141 * AC141</f>
        <v/>
      </c>
      <c r="P141" s="25">
        <f>P141 * AC141</f>
        <v/>
      </c>
      <c r="Q141" s="25">
        <f>Q141 * AC141</f>
        <v/>
      </c>
      <c r="R141" s="25">
        <f>R141 * AC141</f>
        <v/>
      </c>
      <c r="S141" s="25">
        <f>S141 * AC141</f>
        <v/>
      </c>
      <c r="T141" s="25">
        <f>T141 * AC141</f>
        <v/>
      </c>
      <c r="U141" s="25">
        <f>U141 * AC141</f>
        <v/>
      </c>
      <c r="V141" s="25">
        <f>V141 * AC141</f>
        <v/>
      </c>
      <c r="W141" s="25">
        <f>W141 * AC141</f>
        <v/>
      </c>
      <c r="X141" s="25">
        <f>X141 * AC141</f>
        <v/>
      </c>
      <c r="Y141" s="25">
        <f>Y141 * AC141</f>
        <v/>
      </c>
      <c r="Z141" s="17" t="n">
        <v/>
      </c>
      <c r="AA141" s="25">
        <f>AA141 * AC141</f>
        <v/>
      </c>
      <c r="AB141" s="25">
        <f>AB141 * AC141</f>
        <v/>
      </c>
      <c r="AC141" s="22" t="n"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>
        <f>I142 * AC142</f>
        <v/>
      </c>
      <c r="J142" s="19">
        <f>J142 * AC142</f>
        <v/>
      </c>
      <c r="K142" s="19">
        <f>K142 * AC142</f>
        <v/>
      </c>
      <c r="L142" s="19">
        <f>L142 * AC142</f>
        <v/>
      </c>
      <c r="M142" s="24">
        <f>M142 * AC142</f>
        <v/>
      </c>
      <c r="N142" s="24">
        <f>N142 * AC142</f>
        <v/>
      </c>
      <c r="O142" s="24">
        <f>O142 * AC142</f>
        <v/>
      </c>
      <c r="P142" s="24">
        <f>P142 * AC142</f>
        <v/>
      </c>
      <c r="Q142" s="24">
        <f>Q142 * AC142</f>
        <v/>
      </c>
      <c r="R142" s="24">
        <f>R142 * AC142</f>
        <v/>
      </c>
      <c r="S142" s="24">
        <f>S142 * AC142</f>
        <v/>
      </c>
      <c r="T142" s="24">
        <f>T142 * AC142</f>
        <v/>
      </c>
      <c r="U142" s="24">
        <f>U142 * AC142</f>
        <v/>
      </c>
      <c r="V142" s="24">
        <f>V142 * AC142</f>
        <v/>
      </c>
      <c r="W142" s="24">
        <f>W142 * AC142</f>
        <v/>
      </c>
      <c r="X142" s="24">
        <f>X142 * AC142</f>
        <v/>
      </c>
      <c r="Y142" s="24">
        <f>Y142 * AC142</f>
        <v/>
      </c>
      <c r="Z142" s="15" t="n">
        <v/>
      </c>
      <c r="AA142" s="24">
        <f>AA142 * AC142</f>
        <v/>
      </c>
      <c r="AB142" s="24">
        <f>AB142 * AC142</f>
        <v/>
      </c>
      <c r="AC142" s="20" t="n"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>
        <f>I143 * AC143</f>
        <v/>
      </c>
      <c r="J143" s="21">
        <f>J143 * AC143</f>
        <v/>
      </c>
      <c r="K143" s="21">
        <f>K143 * AC143</f>
        <v/>
      </c>
      <c r="L143" s="21">
        <f>L143 * AC143</f>
        <v/>
      </c>
      <c r="M143" s="25">
        <f>M143 * AC143</f>
        <v/>
      </c>
      <c r="N143" s="25">
        <f>N143 * AC143</f>
        <v/>
      </c>
      <c r="O143" s="25">
        <f>O143 * AC143</f>
        <v/>
      </c>
      <c r="P143" s="25">
        <f>P143 * AC143</f>
        <v/>
      </c>
      <c r="Q143" s="25">
        <f>Q143 * AC143</f>
        <v/>
      </c>
      <c r="R143" s="25">
        <f>R143 * AC143</f>
        <v/>
      </c>
      <c r="S143" s="25">
        <f>S143 * AC143</f>
        <v/>
      </c>
      <c r="T143" s="25">
        <f>T143 * AC143</f>
        <v/>
      </c>
      <c r="U143" s="25">
        <f>U143 * AC143</f>
        <v/>
      </c>
      <c r="V143" s="25">
        <f>V143 * AC143</f>
        <v/>
      </c>
      <c r="W143" s="25">
        <f>W143 * AC143</f>
        <v/>
      </c>
      <c r="X143" s="25">
        <f>X143 * AC143</f>
        <v/>
      </c>
      <c r="Y143" s="25">
        <f>Y143 * AC143</f>
        <v/>
      </c>
      <c r="Z143" s="17" t="n">
        <v/>
      </c>
      <c r="AA143" s="25">
        <f>AA143 * AC143</f>
        <v/>
      </c>
      <c r="AB143" s="25">
        <f>AB143 * AC143</f>
        <v/>
      </c>
      <c r="AC143" s="22" t="n"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>
        <f>I144 * AC144</f>
        <v/>
      </c>
      <c r="J144" s="19">
        <f>J144 * AC144</f>
        <v/>
      </c>
      <c r="K144" s="19">
        <f>K144 * AC144</f>
        <v/>
      </c>
      <c r="L144" s="19">
        <f>L144 * AC144</f>
        <v/>
      </c>
      <c r="M144" s="24">
        <f>M144 * AC144</f>
        <v/>
      </c>
      <c r="N144" s="24">
        <f>N144 * AC144</f>
        <v/>
      </c>
      <c r="O144" s="24">
        <f>O144 * AC144</f>
        <v/>
      </c>
      <c r="P144" s="24">
        <f>P144 * AC144</f>
        <v/>
      </c>
      <c r="Q144" s="24">
        <f>Q144 * AC144</f>
        <v/>
      </c>
      <c r="R144" s="24">
        <f>R144 * AC144</f>
        <v/>
      </c>
      <c r="S144" s="24">
        <f>S144 * AC144</f>
        <v/>
      </c>
      <c r="T144" s="24">
        <f>T144 * AC144</f>
        <v/>
      </c>
      <c r="U144" s="24">
        <f>U144 * AC144</f>
        <v/>
      </c>
      <c r="V144" s="24">
        <f>V144 * AC144</f>
        <v/>
      </c>
      <c r="W144" s="24">
        <f>W144 * AC144</f>
        <v/>
      </c>
      <c r="X144" s="24">
        <f>X144 * AC144</f>
        <v/>
      </c>
      <c r="Y144" s="24">
        <f>Y144 * AC144</f>
        <v/>
      </c>
      <c r="Z144" s="15" t="n">
        <v/>
      </c>
      <c r="AA144" s="24">
        <f>AA144 * AC144</f>
        <v/>
      </c>
      <c r="AB144" s="24">
        <f>AB144 * AC144</f>
        <v/>
      </c>
      <c r="AC144" s="20" t="n"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>
        <f>I145 * AC145</f>
        <v/>
      </c>
      <c r="J145" s="21">
        <f>J145 * AC145</f>
        <v/>
      </c>
      <c r="K145" s="21">
        <f>K145 * AC145</f>
        <v/>
      </c>
      <c r="L145" s="21">
        <f>L145 * AC145</f>
        <v/>
      </c>
      <c r="M145" s="25">
        <f>M145 * AC145</f>
        <v/>
      </c>
      <c r="N145" s="25">
        <f>N145 * AC145</f>
        <v/>
      </c>
      <c r="O145" s="25">
        <f>O145 * AC145</f>
        <v/>
      </c>
      <c r="P145" s="25">
        <f>P145 * AC145</f>
        <v/>
      </c>
      <c r="Q145" s="25">
        <f>Q145 * AC145</f>
        <v/>
      </c>
      <c r="R145" s="25">
        <f>R145 * AC145</f>
        <v/>
      </c>
      <c r="S145" s="25">
        <f>S145 * AC145</f>
        <v/>
      </c>
      <c r="T145" s="25">
        <f>T145 * AC145</f>
        <v/>
      </c>
      <c r="U145" s="25">
        <f>U145 * AC145</f>
        <v/>
      </c>
      <c r="V145" s="25">
        <f>V145 * AC145</f>
        <v/>
      </c>
      <c r="W145" s="25">
        <f>W145 * AC145</f>
        <v/>
      </c>
      <c r="X145" s="25">
        <f>X145 * AC145</f>
        <v/>
      </c>
      <c r="Y145" s="25">
        <f>Y145 * AC145</f>
        <v/>
      </c>
      <c r="Z145" s="17" t="n">
        <v/>
      </c>
      <c r="AA145" s="25">
        <f>AA145 * AC145</f>
        <v/>
      </c>
      <c r="AB145" s="25">
        <f>AB145 * AC145</f>
        <v/>
      </c>
      <c r="AC145" s="22" t="n"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>
        <f>I146 * AC146</f>
        <v/>
      </c>
      <c r="J146" s="19">
        <f>J146 * AC146</f>
        <v/>
      </c>
      <c r="K146" s="19">
        <f>K146 * AC146</f>
        <v/>
      </c>
      <c r="L146" s="19">
        <f>L146 * AC146</f>
        <v/>
      </c>
      <c r="M146" s="24">
        <f>M146 * AC146</f>
        <v/>
      </c>
      <c r="N146" s="24">
        <f>N146 * AC146</f>
        <v/>
      </c>
      <c r="O146" s="24">
        <f>O146 * AC146</f>
        <v/>
      </c>
      <c r="P146" s="24">
        <f>P146 * AC146</f>
        <v/>
      </c>
      <c r="Q146" s="24">
        <f>Q146 * AC146</f>
        <v/>
      </c>
      <c r="R146" s="24">
        <f>R146 * AC146</f>
        <v/>
      </c>
      <c r="S146" s="24">
        <f>S146 * AC146</f>
        <v/>
      </c>
      <c r="T146" s="24">
        <f>T146 * AC146</f>
        <v/>
      </c>
      <c r="U146" s="24">
        <f>U146 * AC146</f>
        <v/>
      </c>
      <c r="V146" s="24">
        <f>V146 * AC146</f>
        <v/>
      </c>
      <c r="W146" s="24">
        <f>W146 * AC146</f>
        <v/>
      </c>
      <c r="X146" s="24">
        <f>X146 * AC146</f>
        <v/>
      </c>
      <c r="Y146" s="24">
        <f>Y146 * AC146</f>
        <v/>
      </c>
      <c r="Z146" s="15" t="n">
        <v/>
      </c>
      <c r="AA146" s="24">
        <f>AA146 * AC146</f>
        <v/>
      </c>
      <c r="AB146" s="24">
        <f>AB146 * AC146</f>
        <v/>
      </c>
      <c r="AC146" s="20" t="n"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>
        <f>I147 * AC147</f>
        <v/>
      </c>
      <c r="J147" s="21">
        <f>J147 * AC147</f>
        <v/>
      </c>
      <c r="K147" s="21">
        <f>K147 * AC147</f>
        <v/>
      </c>
      <c r="L147" s="21">
        <f>L147 * AC147</f>
        <v/>
      </c>
      <c r="M147" s="25">
        <f>M147 * AC147</f>
        <v/>
      </c>
      <c r="N147" s="25">
        <f>N147 * AC147</f>
        <v/>
      </c>
      <c r="O147" s="25">
        <f>O147 * AC147</f>
        <v/>
      </c>
      <c r="P147" s="25">
        <f>P147 * AC147</f>
        <v/>
      </c>
      <c r="Q147" s="25">
        <f>Q147 * AC147</f>
        <v/>
      </c>
      <c r="R147" s="25">
        <f>R147 * AC147</f>
        <v/>
      </c>
      <c r="S147" s="25">
        <f>S147 * AC147</f>
        <v/>
      </c>
      <c r="T147" s="25">
        <f>T147 * AC147</f>
        <v/>
      </c>
      <c r="U147" s="25">
        <f>U147 * AC147</f>
        <v/>
      </c>
      <c r="V147" s="25">
        <f>V147 * AC147</f>
        <v/>
      </c>
      <c r="W147" s="25">
        <f>W147 * AC147</f>
        <v/>
      </c>
      <c r="X147" s="25">
        <f>X147 * AC147</f>
        <v/>
      </c>
      <c r="Y147" s="25">
        <f>Y147 * AC147</f>
        <v/>
      </c>
      <c r="Z147" s="17" t="n">
        <v/>
      </c>
      <c r="AA147" s="25">
        <f>AA147 * AC147</f>
        <v/>
      </c>
      <c r="AB147" s="25">
        <f>AB147 * AC147</f>
        <v/>
      </c>
      <c r="AC147" s="22" t="n"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>
        <f>I148 * AC148</f>
        <v/>
      </c>
      <c r="J148" s="19">
        <f>J148 * AC148</f>
        <v/>
      </c>
      <c r="K148" s="19">
        <f>K148 * AC148</f>
        <v/>
      </c>
      <c r="L148" s="19">
        <f>L148 * AC148</f>
        <v/>
      </c>
      <c r="M148" s="24">
        <f>M148 * AC148</f>
        <v/>
      </c>
      <c r="N148" s="24">
        <f>N148 * AC148</f>
        <v/>
      </c>
      <c r="O148" s="24">
        <f>O148 * AC148</f>
        <v/>
      </c>
      <c r="P148" s="24">
        <f>P148 * AC148</f>
        <v/>
      </c>
      <c r="Q148" s="24">
        <f>Q148 * AC148</f>
        <v/>
      </c>
      <c r="R148" s="24">
        <f>R148 * AC148</f>
        <v/>
      </c>
      <c r="S148" s="24">
        <f>S148 * AC148</f>
        <v/>
      </c>
      <c r="T148" s="24">
        <f>T148 * AC148</f>
        <v/>
      </c>
      <c r="U148" s="24">
        <f>U148 * AC148</f>
        <v/>
      </c>
      <c r="V148" s="24">
        <f>V148 * AC148</f>
        <v/>
      </c>
      <c r="W148" s="24">
        <f>W148 * AC148</f>
        <v/>
      </c>
      <c r="X148" s="24">
        <f>X148 * AC148</f>
        <v/>
      </c>
      <c r="Y148" s="24">
        <f>Y148 * AC148</f>
        <v/>
      </c>
      <c r="Z148" s="15" t="n">
        <v/>
      </c>
      <c r="AA148" s="24">
        <f>AA148 * AC148</f>
        <v/>
      </c>
      <c r="AB148" s="24">
        <f>AB148 * AC148</f>
        <v/>
      </c>
      <c r="AC148" s="20" t="n"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>
        <f>I149 * AC149</f>
        <v/>
      </c>
      <c r="J149" s="21">
        <f>J149 * AC149</f>
        <v/>
      </c>
      <c r="K149" s="21">
        <f>K149 * AC149</f>
        <v/>
      </c>
      <c r="L149" s="21">
        <f>L149 * AC149</f>
        <v/>
      </c>
      <c r="M149" s="25">
        <f>M149 * AC149</f>
        <v/>
      </c>
      <c r="N149" s="25">
        <f>N149 * AC149</f>
        <v/>
      </c>
      <c r="O149" s="25">
        <f>O149 * AC149</f>
        <v/>
      </c>
      <c r="P149" s="25">
        <f>P149 * AC149</f>
        <v/>
      </c>
      <c r="Q149" s="25">
        <f>Q149 * AC149</f>
        <v/>
      </c>
      <c r="R149" s="25">
        <f>R149 * AC149</f>
        <v/>
      </c>
      <c r="S149" s="25">
        <f>S149 * AC149</f>
        <v/>
      </c>
      <c r="T149" s="25">
        <f>T149 * AC149</f>
        <v/>
      </c>
      <c r="U149" s="25">
        <f>U149 * AC149</f>
        <v/>
      </c>
      <c r="V149" s="25">
        <f>V149 * AC149</f>
        <v/>
      </c>
      <c r="W149" s="25">
        <f>W149 * AC149</f>
        <v/>
      </c>
      <c r="X149" s="25">
        <f>X149 * AC149</f>
        <v/>
      </c>
      <c r="Y149" s="25">
        <f>Y149 * AC149</f>
        <v/>
      </c>
      <c r="Z149" s="17" t="n">
        <v/>
      </c>
      <c r="AA149" s="25">
        <f>AA149 * AC149</f>
        <v/>
      </c>
      <c r="AB149" s="25">
        <f>AB149 * AC149</f>
        <v/>
      </c>
      <c r="AC149" s="22" t="n"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>
        <f>I150 * AC150</f>
        <v/>
      </c>
      <c r="J150" s="19">
        <f>J150 * AC150</f>
        <v/>
      </c>
      <c r="K150" s="19">
        <f>K150 * AC150</f>
        <v/>
      </c>
      <c r="L150" s="19">
        <f>L150 * AC150</f>
        <v/>
      </c>
      <c r="M150" s="24">
        <f>M150 * AC150</f>
        <v/>
      </c>
      <c r="N150" s="24">
        <f>N150 * AC150</f>
        <v/>
      </c>
      <c r="O150" s="24">
        <f>O150 * AC150</f>
        <v/>
      </c>
      <c r="P150" s="24">
        <f>P150 * AC150</f>
        <v/>
      </c>
      <c r="Q150" s="24">
        <f>Q150 * AC150</f>
        <v/>
      </c>
      <c r="R150" s="24">
        <f>R150 * AC150</f>
        <v/>
      </c>
      <c r="S150" s="24">
        <f>S150 * AC150</f>
        <v/>
      </c>
      <c r="T150" s="24">
        <f>T150 * AC150</f>
        <v/>
      </c>
      <c r="U150" s="24">
        <f>U150 * AC150</f>
        <v/>
      </c>
      <c r="V150" s="24">
        <f>V150 * AC150</f>
        <v/>
      </c>
      <c r="W150" s="24">
        <f>W150 * AC150</f>
        <v/>
      </c>
      <c r="X150" s="24">
        <f>X150 * AC150</f>
        <v/>
      </c>
      <c r="Y150" s="24">
        <f>Y150 * AC150</f>
        <v/>
      </c>
      <c r="Z150" s="15" t="n">
        <v/>
      </c>
      <c r="AA150" s="24">
        <f>AA150 * AC150</f>
        <v/>
      </c>
      <c r="AB150" s="24">
        <f>AB150 * AC150</f>
        <v/>
      </c>
      <c r="AC150" s="20" t="n"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>
        <f>I151 * AC151</f>
        <v/>
      </c>
      <c r="J151" s="21">
        <f>J151 * AC151</f>
        <v/>
      </c>
      <c r="K151" s="21">
        <f>K151 * AC151</f>
        <v/>
      </c>
      <c r="L151" s="21">
        <f>L151 * AC151</f>
        <v/>
      </c>
      <c r="M151" s="25">
        <f>M151 * AC151</f>
        <v/>
      </c>
      <c r="N151" s="25">
        <f>N151 * AC151</f>
        <v/>
      </c>
      <c r="O151" s="25">
        <f>O151 * AC151</f>
        <v/>
      </c>
      <c r="P151" s="25">
        <f>P151 * AC151</f>
        <v/>
      </c>
      <c r="Q151" s="25">
        <f>Q151 * AC151</f>
        <v/>
      </c>
      <c r="R151" s="25">
        <f>R151 * AC151</f>
        <v/>
      </c>
      <c r="S151" s="25">
        <f>S151 * AC151</f>
        <v/>
      </c>
      <c r="T151" s="25">
        <f>T151 * AC151</f>
        <v/>
      </c>
      <c r="U151" s="25">
        <f>U151 * AC151</f>
        <v/>
      </c>
      <c r="V151" s="25">
        <f>V151 * AC151</f>
        <v/>
      </c>
      <c r="W151" s="25">
        <f>W151 * AC151</f>
        <v/>
      </c>
      <c r="X151" s="25">
        <f>X151 * AC151</f>
        <v/>
      </c>
      <c r="Y151" s="25">
        <f>Y151 * AC151</f>
        <v/>
      </c>
      <c r="Z151" s="17" t="n">
        <v/>
      </c>
      <c r="AA151" s="25">
        <f>AA151 * AC151</f>
        <v/>
      </c>
      <c r="AB151" s="25">
        <f>AB151 * AC151</f>
        <v/>
      </c>
      <c r="AC151" s="22" t="n"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>
        <f>I152 * AC152</f>
        <v/>
      </c>
      <c r="J152" s="19">
        <f>J152 * AC152</f>
        <v/>
      </c>
      <c r="K152" s="19">
        <f>K152 * AC152</f>
        <v/>
      </c>
      <c r="L152" s="19">
        <f>L152 * AC152</f>
        <v/>
      </c>
      <c r="M152" s="24">
        <f>M152 * AC152</f>
        <v/>
      </c>
      <c r="N152" s="24">
        <f>N152 * AC152</f>
        <v/>
      </c>
      <c r="O152" s="24">
        <f>O152 * AC152</f>
        <v/>
      </c>
      <c r="P152" s="24">
        <f>P152 * AC152</f>
        <v/>
      </c>
      <c r="Q152" s="24">
        <f>Q152 * AC152</f>
        <v/>
      </c>
      <c r="R152" s="24">
        <f>R152 * AC152</f>
        <v/>
      </c>
      <c r="S152" s="24">
        <f>S152 * AC152</f>
        <v/>
      </c>
      <c r="T152" s="24">
        <f>T152 * AC152</f>
        <v/>
      </c>
      <c r="U152" s="24">
        <f>U152 * AC152</f>
        <v/>
      </c>
      <c r="V152" s="24">
        <f>V152 * AC152</f>
        <v/>
      </c>
      <c r="W152" s="24">
        <f>W152 * AC152</f>
        <v/>
      </c>
      <c r="X152" s="24">
        <f>X152 * AC152</f>
        <v/>
      </c>
      <c r="Y152" s="24">
        <f>Y152 * AC152</f>
        <v/>
      </c>
      <c r="Z152" s="15" t="n">
        <v/>
      </c>
      <c r="AA152" s="24">
        <f>AA152 * AC152</f>
        <v/>
      </c>
      <c r="AB152" s="24">
        <f>AB152 * AC152</f>
        <v/>
      </c>
      <c r="AC152" s="20" t="n"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>
        <f>I153 * AC153</f>
        <v/>
      </c>
      <c r="J153" s="21">
        <f>J153 * AC153</f>
        <v/>
      </c>
      <c r="K153" s="21">
        <f>K153 * AC153</f>
        <v/>
      </c>
      <c r="L153" s="21">
        <f>L153 * AC153</f>
        <v/>
      </c>
      <c r="M153" s="25">
        <f>M153 * AC153</f>
        <v/>
      </c>
      <c r="N153" s="25">
        <f>N153 * AC153</f>
        <v/>
      </c>
      <c r="O153" s="25">
        <f>O153 * AC153</f>
        <v/>
      </c>
      <c r="P153" s="25">
        <f>P153 * AC153</f>
        <v/>
      </c>
      <c r="Q153" s="25">
        <f>Q153 * AC153</f>
        <v/>
      </c>
      <c r="R153" s="25">
        <f>R153 * AC153</f>
        <v/>
      </c>
      <c r="S153" s="25">
        <f>S153 * AC153</f>
        <v/>
      </c>
      <c r="T153" s="25">
        <f>T153 * AC153</f>
        <v/>
      </c>
      <c r="U153" s="25">
        <f>U153 * AC153</f>
        <v/>
      </c>
      <c r="V153" s="25">
        <f>V153 * AC153</f>
        <v/>
      </c>
      <c r="W153" s="25">
        <f>W153 * AC153</f>
        <v/>
      </c>
      <c r="X153" s="25">
        <f>X153 * AC153</f>
        <v/>
      </c>
      <c r="Y153" s="25">
        <f>Y153 * AC153</f>
        <v/>
      </c>
      <c r="Z153" s="17" t="n">
        <v/>
      </c>
      <c r="AA153" s="25">
        <f>AA153 * AC153</f>
        <v/>
      </c>
      <c r="AB153" s="25">
        <f>AB153 * AC153</f>
        <v/>
      </c>
      <c r="AC153" s="22" t="n"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>
        <f>I154 * AC154</f>
        <v/>
      </c>
      <c r="J154" s="19">
        <f>J154 * AC154</f>
        <v/>
      </c>
      <c r="K154" s="19">
        <f>K154 * AC154</f>
        <v/>
      </c>
      <c r="L154" s="19">
        <f>L154 * AC154</f>
        <v/>
      </c>
      <c r="M154" s="24">
        <f>M154 * AC154</f>
        <v/>
      </c>
      <c r="N154" s="24">
        <f>N154 * AC154</f>
        <v/>
      </c>
      <c r="O154" s="24">
        <f>O154 * AC154</f>
        <v/>
      </c>
      <c r="P154" s="24">
        <f>P154 * AC154</f>
        <v/>
      </c>
      <c r="Q154" s="24">
        <f>Q154 * AC154</f>
        <v/>
      </c>
      <c r="R154" s="24">
        <f>R154 * AC154</f>
        <v/>
      </c>
      <c r="S154" s="24">
        <f>S154 * AC154</f>
        <v/>
      </c>
      <c r="T154" s="24">
        <f>T154 * AC154</f>
        <v/>
      </c>
      <c r="U154" s="24">
        <f>U154 * AC154</f>
        <v/>
      </c>
      <c r="V154" s="24">
        <f>V154 * AC154</f>
        <v/>
      </c>
      <c r="W154" s="24">
        <f>W154 * AC154</f>
        <v/>
      </c>
      <c r="X154" s="24">
        <f>X154 * AC154</f>
        <v/>
      </c>
      <c r="Y154" s="24">
        <f>Y154 * AC154</f>
        <v/>
      </c>
      <c r="Z154" s="15" t="n">
        <v/>
      </c>
      <c r="AA154" s="24">
        <f>AA154 * AC154</f>
        <v/>
      </c>
      <c r="AB154" s="24">
        <f>AB154 * AC154</f>
        <v/>
      </c>
      <c r="AC154" s="20" t="n"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>
        <f>I155 * AC155</f>
        <v/>
      </c>
      <c r="J155" s="21">
        <f>J155 * AC155</f>
        <v/>
      </c>
      <c r="K155" s="21">
        <f>K155 * AC155</f>
        <v/>
      </c>
      <c r="L155" s="21">
        <f>L155 * AC155</f>
        <v/>
      </c>
      <c r="M155" s="25">
        <f>M155 * AC155</f>
        <v/>
      </c>
      <c r="N155" s="25">
        <f>N155 * AC155</f>
        <v/>
      </c>
      <c r="O155" s="25">
        <f>O155 * AC155</f>
        <v/>
      </c>
      <c r="P155" s="25">
        <f>P155 * AC155</f>
        <v/>
      </c>
      <c r="Q155" s="25">
        <f>Q155 * AC155</f>
        <v/>
      </c>
      <c r="R155" s="25">
        <f>R155 * AC155</f>
        <v/>
      </c>
      <c r="S155" s="25">
        <f>S155 * AC155</f>
        <v/>
      </c>
      <c r="T155" s="25">
        <f>T155 * AC155</f>
        <v/>
      </c>
      <c r="U155" s="25">
        <f>U155 * AC155</f>
        <v/>
      </c>
      <c r="V155" s="25">
        <f>V155 * AC155</f>
        <v/>
      </c>
      <c r="W155" s="25">
        <f>W155 * AC155</f>
        <v/>
      </c>
      <c r="X155" s="25">
        <f>X155 * AC155</f>
        <v/>
      </c>
      <c r="Y155" s="25">
        <f>Y155 * AC155</f>
        <v/>
      </c>
      <c r="Z155" s="17" t="n">
        <v/>
      </c>
      <c r="AA155" s="25">
        <f>AA155 * AC155</f>
        <v/>
      </c>
      <c r="AB155" s="25">
        <f>AB155 * AC155</f>
        <v/>
      </c>
      <c r="AC155" s="22" t="n"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>
        <f>I156 * AC156</f>
        <v/>
      </c>
      <c r="J156" s="19">
        <f>J156 * AC156</f>
        <v/>
      </c>
      <c r="K156" s="19">
        <f>K156 * AC156</f>
        <v/>
      </c>
      <c r="L156" s="19">
        <f>L156 * AC156</f>
        <v/>
      </c>
      <c r="M156" s="24">
        <f>M156 * AC156</f>
        <v/>
      </c>
      <c r="N156" s="24">
        <f>N156 * AC156</f>
        <v/>
      </c>
      <c r="O156" s="24">
        <f>O156 * AC156</f>
        <v/>
      </c>
      <c r="P156" s="24">
        <f>P156 * AC156</f>
        <v/>
      </c>
      <c r="Q156" s="24">
        <f>Q156 * AC156</f>
        <v/>
      </c>
      <c r="R156" s="24">
        <f>R156 * AC156</f>
        <v/>
      </c>
      <c r="S156" s="24">
        <f>S156 * AC156</f>
        <v/>
      </c>
      <c r="T156" s="24">
        <f>T156 * AC156</f>
        <v/>
      </c>
      <c r="U156" s="24">
        <f>U156 * AC156</f>
        <v/>
      </c>
      <c r="V156" s="24">
        <f>V156 * AC156</f>
        <v/>
      </c>
      <c r="W156" s="24">
        <f>W156 * AC156</f>
        <v/>
      </c>
      <c r="X156" s="24">
        <f>X156 * AC156</f>
        <v/>
      </c>
      <c r="Y156" s="24">
        <f>Y156 * AC156</f>
        <v/>
      </c>
      <c r="Z156" s="15" t="n">
        <v/>
      </c>
      <c r="AA156" s="24">
        <f>AA156 * AC156</f>
        <v/>
      </c>
      <c r="AB156" s="24">
        <f>AB156 * AC156</f>
        <v/>
      </c>
      <c r="AC156" s="20" t="n"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>
        <f>I157 * AC157</f>
        <v/>
      </c>
      <c r="J157" s="21">
        <f>J157 * AC157</f>
        <v/>
      </c>
      <c r="K157" s="21">
        <f>K157 * AC157</f>
        <v/>
      </c>
      <c r="L157" s="21">
        <f>L157 * AC157</f>
        <v/>
      </c>
      <c r="M157" s="25">
        <f>M157 * AC157</f>
        <v/>
      </c>
      <c r="N157" s="25">
        <f>N157 * AC157</f>
        <v/>
      </c>
      <c r="O157" s="25">
        <f>O157 * AC157</f>
        <v/>
      </c>
      <c r="P157" s="25">
        <f>P157 * AC157</f>
        <v/>
      </c>
      <c r="Q157" s="25">
        <f>Q157 * AC157</f>
        <v/>
      </c>
      <c r="R157" s="25">
        <f>R157 * AC157</f>
        <v/>
      </c>
      <c r="S157" s="25">
        <f>S157 * AC157</f>
        <v/>
      </c>
      <c r="T157" s="25">
        <f>T157 * AC157</f>
        <v/>
      </c>
      <c r="U157" s="25">
        <f>U157 * AC157</f>
        <v/>
      </c>
      <c r="V157" s="25">
        <f>V157 * AC157</f>
        <v/>
      </c>
      <c r="W157" s="25">
        <f>W157 * AC157</f>
        <v/>
      </c>
      <c r="X157" s="25">
        <f>X157 * AC157</f>
        <v/>
      </c>
      <c r="Y157" s="25">
        <f>Y157 * AC157</f>
        <v/>
      </c>
      <c r="Z157" s="17" t="n">
        <v/>
      </c>
      <c r="AA157" s="25">
        <f>AA157 * AC157</f>
        <v/>
      </c>
      <c r="AB157" s="25">
        <f>AB157 * AC157</f>
        <v/>
      </c>
      <c r="AC157" s="22" t="n"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>
        <f>I158 * AC158</f>
        <v/>
      </c>
      <c r="J158" s="19">
        <f>J158 * AC158</f>
        <v/>
      </c>
      <c r="K158" s="19">
        <f>K158 * AC158</f>
        <v/>
      </c>
      <c r="L158" s="19">
        <f>L158 * AC158</f>
        <v/>
      </c>
      <c r="M158" s="24">
        <f>M158 * AC158</f>
        <v/>
      </c>
      <c r="N158" s="24">
        <f>N158 * AC158</f>
        <v/>
      </c>
      <c r="O158" s="24">
        <f>O158 * AC158</f>
        <v/>
      </c>
      <c r="P158" s="24">
        <f>P158 * AC158</f>
        <v/>
      </c>
      <c r="Q158" s="24">
        <f>Q158 * AC158</f>
        <v/>
      </c>
      <c r="R158" s="24">
        <f>R158 * AC158</f>
        <v/>
      </c>
      <c r="S158" s="24">
        <f>S158 * AC158</f>
        <v/>
      </c>
      <c r="T158" s="24">
        <f>T158 * AC158</f>
        <v/>
      </c>
      <c r="U158" s="24">
        <f>U158 * AC158</f>
        <v/>
      </c>
      <c r="V158" s="24">
        <f>V158 * AC158</f>
        <v/>
      </c>
      <c r="W158" s="24">
        <f>W158 * AC158</f>
        <v/>
      </c>
      <c r="X158" s="24">
        <f>X158 * AC158</f>
        <v/>
      </c>
      <c r="Y158" s="24">
        <f>Y158 * AC158</f>
        <v/>
      </c>
      <c r="Z158" s="15" t="n">
        <v/>
      </c>
      <c r="AA158" s="24">
        <f>AA158 * AC158</f>
        <v/>
      </c>
      <c r="AB158" s="24">
        <f>AB158 * AC158</f>
        <v/>
      </c>
      <c r="AC158" s="20" t="n"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>
        <f>I159 * AC159</f>
        <v/>
      </c>
      <c r="J159" s="21">
        <f>J159 * AC159</f>
        <v/>
      </c>
      <c r="K159" s="21">
        <f>K159 * AC159</f>
        <v/>
      </c>
      <c r="L159" s="21">
        <f>L159 * AC159</f>
        <v/>
      </c>
      <c r="M159" s="25">
        <f>M159 * AC159</f>
        <v/>
      </c>
      <c r="N159" s="25">
        <f>N159 * AC159</f>
        <v/>
      </c>
      <c r="O159" s="25">
        <f>O159 * AC159</f>
        <v/>
      </c>
      <c r="P159" s="25">
        <f>P159 * AC159</f>
        <v/>
      </c>
      <c r="Q159" s="25">
        <f>Q159 * AC159</f>
        <v/>
      </c>
      <c r="R159" s="25">
        <f>R159 * AC159</f>
        <v/>
      </c>
      <c r="S159" s="25">
        <f>S159 * AC159</f>
        <v/>
      </c>
      <c r="T159" s="25">
        <f>T159 * AC159</f>
        <v/>
      </c>
      <c r="U159" s="25">
        <f>U159 * AC159</f>
        <v/>
      </c>
      <c r="V159" s="25">
        <f>V159 * AC159</f>
        <v/>
      </c>
      <c r="W159" s="25">
        <f>W159 * AC159</f>
        <v/>
      </c>
      <c r="X159" s="25">
        <f>X159 * AC159</f>
        <v/>
      </c>
      <c r="Y159" s="25">
        <f>Y159 * AC159</f>
        <v/>
      </c>
      <c r="Z159" s="17" t="n">
        <v/>
      </c>
      <c r="AA159" s="25">
        <f>AA159 * AC159</f>
        <v/>
      </c>
      <c r="AB159" s="25">
        <f>AB159 * AC159</f>
        <v/>
      </c>
      <c r="AC159" s="22" t="n"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>
        <f>I160 * AC160</f>
        <v/>
      </c>
      <c r="J160" s="19">
        <f>J160 * AC160</f>
        <v/>
      </c>
      <c r="K160" s="19">
        <f>K160 * AC160</f>
        <v/>
      </c>
      <c r="L160" s="19">
        <f>L160 * AC160</f>
        <v/>
      </c>
      <c r="M160" s="24">
        <f>M160 * AC160</f>
        <v/>
      </c>
      <c r="N160" s="24">
        <f>N160 * AC160</f>
        <v/>
      </c>
      <c r="O160" s="24">
        <f>O160 * AC160</f>
        <v/>
      </c>
      <c r="P160" s="24">
        <f>P160 * AC160</f>
        <v/>
      </c>
      <c r="Q160" s="24">
        <f>Q160 * AC160</f>
        <v/>
      </c>
      <c r="R160" s="24">
        <f>R160 * AC160</f>
        <v/>
      </c>
      <c r="S160" s="24">
        <f>S160 * AC160</f>
        <v/>
      </c>
      <c r="T160" s="24">
        <f>T160 * AC160</f>
        <v/>
      </c>
      <c r="U160" s="24">
        <f>U160 * AC160</f>
        <v/>
      </c>
      <c r="V160" s="24">
        <f>V160 * AC160</f>
        <v/>
      </c>
      <c r="W160" s="24">
        <f>W160 * AC160</f>
        <v/>
      </c>
      <c r="X160" s="24">
        <f>X160 * AC160</f>
        <v/>
      </c>
      <c r="Y160" s="24">
        <f>Y160 * AC160</f>
        <v/>
      </c>
      <c r="Z160" s="15" t="n">
        <v/>
      </c>
      <c r="AA160" s="24">
        <f>AA160 * AC160</f>
        <v/>
      </c>
      <c r="AB160" s="24">
        <f>AB160 * AC160</f>
        <v/>
      </c>
      <c r="AC160" s="20" t="n"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>
        <f>I161 * AC161</f>
        <v/>
      </c>
      <c r="J161" s="21">
        <f>J161 * AC161</f>
        <v/>
      </c>
      <c r="K161" s="21">
        <f>K161 * AC161</f>
        <v/>
      </c>
      <c r="L161" s="21">
        <f>L161 * AC161</f>
        <v/>
      </c>
      <c r="M161" s="25">
        <f>M161 * AC161</f>
        <v/>
      </c>
      <c r="N161" s="25">
        <f>N161 * AC161</f>
        <v/>
      </c>
      <c r="O161" s="25">
        <f>O161 * AC161</f>
        <v/>
      </c>
      <c r="P161" s="25">
        <f>P161 * AC161</f>
        <v/>
      </c>
      <c r="Q161" s="25">
        <f>Q161 * AC161</f>
        <v/>
      </c>
      <c r="R161" s="25">
        <f>R161 * AC161</f>
        <v/>
      </c>
      <c r="S161" s="25">
        <f>S161 * AC161</f>
        <v/>
      </c>
      <c r="T161" s="25">
        <f>T161 * AC161</f>
        <v/>
      </c>
      <c r="U161" s="25">
        <f>U161 * AC161</f>
        <v/>
      </c>
      <c r="V161" s="25">
        <f>V161 * AC161</f>
        <v/>
      </c>
      <c r="W161" s="25">
        <f>W161 * AC161</f>
        <v/>
      </c>
      <c r="X161" s="25">
        <f>X161 * AC161</f>
        <v/>
      </c>
      <c r="Y161" s="25">
        <f>Y161 * AC161</f>
        <v/>
      </c>
      <c r="Z161" s="17" t="n">
        <v/>
      </c>
      <c r="AA161" s="25">
        <f>AA161 * AC161</f>
        <v/>
      </c>
      <c r="AB161" s="25">
        <f>AB161 * AC161</f>
        <v/>
      </c>
      <c r="AC161" s="22" t="n"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>
        <f>I162 * AC162</f>
        <v/>
      </c>
      <c r="J162" s="19">
        <f>J162 * AC162</f>
        <v/>
      </c>
      <c r="K162" s="19">
        <f>K162 * AC162</f>
        <v/>
      </c>
      <c r="L162" s="19">
        <f>L162 * AC162</f>
        <v/>
      </c>
      <c r="M162" s="24">
        <f>M162 * AC162</f>
        <v/>
      </c>
      <c r="N162" s="24">
        <f>N162 * AC162</f>
        <v/>
      </c>
      <c r="O162" s="24">
        <f>O162 * AC162</f>
        <v/>
      </c>
      <c r="P162" s="24">
        <f>P162 * AC162</f>
        <v/>
      </c>
      <c r="Q162" s="24">
        <f>Q162 * AC162</f>
        <v/>
      </c>
      <c r="R162" s="24">
        <f>R162 * AC162</f>
        <v/>
      </c>
      <c r="S162" s="24">
        <f>S162 * AC162</f>
        <v/>
      </c>
      <c r="T162" s="24">
        <f>T162 * AC162</f>
        <v/>
      </c>
      <c r="U162" s="24">
        <f>U162 * AC162</f>
        <v/>
      </c>
      <c r="V162" s="24">
        <f>V162 * AC162</f>
        <v/>
      </c>
      <c r="W162" s="24">
        <f>W162 * AC162</f>
        <v/>
      </c>
      <c r="X162" s="24">
        <f>X162 * AC162</f>
        <v/>
      </c>
      <c r="Y162" s="24">
        <f>Y162 * AC162</f>
        <v/>
      </c>
      <c r="Z162" s="15" t="n">
        <v/>
      </c>
      <c r="AA162" s="24">
        <f>AA162 * AC162</f>
        <v/>
      </c>
      <c r="AB162" s="24">
        <f>AB162 * AC162</f>
        <v/>
      </c>
      <c r="AC162" s="20" t="n"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>
        <f>I163 * AC163</f>
        <v/>
      </c>
      <c r="J163" s="21">
        <f>J163 * AC163</f>
        <v/>
      </c>
      <c r="K163" s="21">
        <f>K163 * AC163</f>
        <v/>
      </c>
      <c r="L163" s="21">
        <f>L163 * AC163</f>
        <v/>
      </c>
      <c r="M163" s="25">
        <f>M163 * AC163</f>
        <v/>
      </c>
      <c r="N163" s="25">
        <f>N163 * AC163</f>
        <v/>
      </c>
      <c r="O163" s="25">
        <f>O163 * AC163</f>
        <v/>
      </c>
      <c r="P163" s="25">
        <f>P163 * AC163</f>
        <v/>
      </c>
      <c r="Q163" s="25">
        <f>Q163 * AC163</f>
        <v/>
      </c>
      <c r="R163" s="25">
        <f>R163 * AC163</f>
        <v/>
      </c>
      <c r="S163" s="25">
        <f>S163 * AC163</f>
        <v/>
      </c>
      <c r="T163" s="25">
        <f>T163 * AC163</f>
        <v/>
      </c>
      <c r="U163" s="25">
        <f>U163 * AC163</f>
        <v/>
      </c>
      <c r="V163" s="25">
        <f>V163 * AC163</f>
        <v/>
      </c>
      <c r="W163" s="25">
        <f>W163 * AC163</f>
        <v/>
      </c>
      <c r="X163" s="25">
        <f>X163 * AC163</f>
        <v/>
      </c>
      <c r="Y163" s="25">
        <f>Y163 * AC163</f>
        <v/>
      </c>
      <c r="Z163" s="17" t="n">
        <v/>
      </c>
      <c r="AA163" s="25">
        <f>AA163 * AC163</f>
        <v/>
      </c>
      <c r="AB163" s="25">
        <f>AB163 * AC163</f>
        <v/>
      </c>
      <c r="AC163" s="22" t="n"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>
        <f>I164 * AC164</f>
        <v/>
      </c>
      <c r="J164" s="19">
        <f>J164 * AC164</f>
        <v/>
      </c>
      <c r="K164" s="19">
        <f>K164 * AC164</f>
        <v/>
      </c>
      <c r="L164" s="19">
        <f>L164 * AC164</f>
        <v/>
      </c>
      <c r="M164" s="24">
        <f>M164 * AC164</f>
        <v/>
      </c>
      <c r="N164" s="24">
        <f>N164 * AC164</f>
        <v/>
      </c>
      <c r="O164" s="24">
        <f>O164 * AC164</f>
        <v/>
      </c>
      <c r="P164" s="24">
        <f>P164 * AC164</f>
        <v/>
      </c>
      <c r="Q164" s="24">
        <f>Q164 * AC164</f>
        <v/>
      </c>
      <c r="R164" s="24">
        <f>R164 * AC164</f>
        <v/>
      </c>
      <c r="S164" s="24">
        <f>S164 * AC164</f>
        <v/>
      </c>
      <c r="T164" s="24">
        <f>T164 * AC164</f>
        <v/>
      </c>
      <c r="U164" s="24">
        <f>U164 * AC164</f>
        <v/>
      </c>
      <c r="V164" s="24">
        <f>V164 * AC164</f>
        <v/>
      </c>
      <c r="W164" s="24">
        <f>W164 * AC164</f>
        <v/>
      </c>
      <c r="X164" s="24">
        <f>X164 * AC164</f>
        <v/>
      </c>
      <c r="Y164" s="24">
        <f>Y164 * AC164</f>
        <v/>
      </c>
      <c r="Z164" s="15" t="n">
        <v/>
      </c>
      <c r="AA164" s="24">
        <f>AA164 * AC164</f>
        <v/>
      </c>
      <c r="AB164" s="24">
        <f>AB164 * AC164</f>
        <v/>
      </c>
      <c r="AC164" s="20" t="n"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>
        <f>I165 * AC165</f>
        <v/>
      </c>
      <c r="J165" s="21">
        <f>J165 * AC165</f>
        <v/>
      </c>
      <c r="K165" s="21">
        <f>K165 * AC165</f>
        <v/>
      </c>
      <c r="L165" s="21">
        <f>L165 * AC165</f>
        <v/>
      </c>
      <c r="M165" s="25">
        <f>M165 * AC165</f>
        <v/>
      </c>
      <c r="N165" s="25">
        <f>N165 * AC165</f>
        <v/>
      </c>
      <c r="O165" s="25">
        <f>O165 * AC165</f>
        <v/>
      </c>
      <c r="P165" s="25">
        <f>P165 * AC165</f>
        <v/>
      </c>
      <c r="Q165" s="25">
        <f>Q165 * AC165</f>
        <v/>
      </c>
      <c r="R165" s="25">
        <f>R165 * AC165</f>
        <v/>
      </c>
      <c r="S165" s="25">
        <f>S165 * AC165</f>
        <v/>
      </c>
      <c r="T165" s="25">
        <f>T165 * AC165</f>
        <v/>
      </c>
      <c r="U165" s="25">
        <f>U165 * AC165</f>
        <v/>
      </c>
      <c r="V165" s="25">
        <f>V165 * AC165</f>
        <v/>
      </c>
      <c r="W165" s="25">
        <f>W165 * AC165</f>
        <v/>
      </c>
      <c r="X165" s="25">
        <f>X165 * AC165</f>
        <v/>
      </c>
      <c r="Y165" s="25">
        <f>Y165 * AC165</f>
        <v/>
      </c>
      <c r="Z165" s="17" t="n">
        <v/>
      </c>
      <c r="AA165" s="25">
        <f>AA165 * AC165</f>
        <v/>
      </c>
      <c r="AB165" s="25">
        <f>AB165 * AC165</f>
        <v/>
      </c>
      <c r="AC165" s="22" t="n"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>
        <f>I166 * AC166</f>
        <v/>
      </c>
      <c r="J166" s="19">
        <f>J166 * AC166</f>
        <v/>
      </c>
      <c r="K166" s="19">
        <f>K166 * AC166</f>
        <v/>
      </c>
      <c r="L166" s="19">
        <f>L166 * AC166</f>
        <v/>
      </c>
      <c r="M166" s="24">
        <f>M166 * AC166</f>
        <v/>
      </c>
      <c r="N166" s="24">
        <f>N166 * AC166</f>
        <v/>
      </c>
      <c r="O166" s="24">
        <f>O166 * AC166</f>
        <v/>
      </c>
      <c r="P166" s="24">
        <f>P166 * AC166</f>
        <v/>
      </c>
      <c r="Q166" s="24">
        <f>Q166 * AC166</f>
        <v/>
      </c>
      <c r="R166" s="24">
        <f>R166 * AC166</f>
        <v/>
      </c>
      <c r="S166" s="24">
        <f>S166 * AC166</f>
        <v/>
      </c>
      <c r="T166" s="24">
        <f>T166 * AC166</f>
        <v/>
      </c>
      <c r="U166" s="24">
        <f>U166 * AC166</f>
        <v/>
      </c>
      <c r="V166" s="24">
        <f>V166 * AC166</f>
        <v/>
      </c>
      <c r="W166" s="24">
        <f>W166 * AC166</f>
        <v/>
      </c>
      <c r="X166" s="24">
        <f>X166 * AC166</f>
        <v/>
      </c>
      <c r="Y166" s="24">
        <f>Y166 * AC166</f>
        <v/>
      </c>
      <c r="Z166" s="15" t="n">
        <v/>
      </c>
      <c r="AA166" s="24">
        <f>AA166 * AC166</f>
        <v/>
      </c>
      <c r="AB166" s="24">
        <f>AB166 * AC166</f>
        <v/>
      </c>
      <c r="AC166" s="20" t="n"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>
        <f>I167 * AC167</f>
        <v/>
      </c>
      <c r="J167" s="21">
        <f>J167 * AC167</f>
        <v/>
      </c>
      <c r="K167" s="21">
        <f>K167 * AC167</f>
        <v/>
      </c>
      <c r="L167" s="21">
        <f>L167 * AC167</f>
        <v/>
      </c>
      <c r="M167" s="25">
        <f>M167 * AC167</f>
        <v/>
      </c>
      <c r="N167" s="25">
        <f>N167 * AC167</f>
        <v/>
      </c>
      <c r="O167" s="25">
        <f>O167 * AC167</f>
        <v/>
      </c>
      <c r="P167" s="25">
        <f>P167 * AC167</f>
        <v/>
      </c>
      <c r="Q167" s="25">
        <f>Q167 * AC167</f>
        <v/>
      </c>
      <c r="R167" s="25">
        <f>R167 * AC167</f>
        <v/>
      </c>
      <c r="S167" s="25">
        <f>S167 * AC167</f>
        <v/>
      </c>
      <c r="T167" s="25">
        <f>T167 * AC167</f>
        <v/>
      </c>
      <c r="U167" s="25">
        <f>U167 * AC167</f>
        <v/>
      </c>
      <c r="V167" s="25">
        <f>V167 * AC167</f>
        <v/>
      </c>
      <c r="W167" s="25">
        <f>W167 * AC167</f>
        <v/>
      </c>
      <c r="X167" s="25">
        <f>X167 * AC167</f>
        <v/>
      </c>
      <c r="Y167" s="25">
        <f>Y167 * AC167</f>
        <v/>
      </c>
      <c r="Z167" s="17" t="n">
        <v/>
      </c>
      <c r="AA167" s="25">
        <f>AA167 * AC167</f>
        <v/>
      </c>
      <c r="AB167" s="25">
        <f>AB167 * AC167</f>
        <v/>
      </c>
      <c r="AC167" s="22" t="n"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>
        <f>I168 * AC168</f>
        <v/>
      </c>
      <c r="J168" s="19">
        <f>J168 * AC168</f>
        <v/>
      </c>
      <c r="K168" s="19">
        <f>K168 * AC168</f>
        <v/>
      </c>
      <c r="L168" s="19">
        <f>L168 * AC168</f>
        <v/>
      </c>
      <c r="M168" s="24">
        <f>M168 * AC168</f>
        <v/>
      </c>
      <c r="N168" s="24">
        <f>N168 * AC168</f>
        <v/>
      </c>
      <c r="O168" s="24">
        <f>O168 * AC168</f>
        <v/>
      </c>
      <c r="P168" s="24">
        <f>P168 * AC168</f>
        <v/>
      </c>
      <c r="Q168" s="24">
        <f>Q168 * AC168</f>
        <v/>
      </c>
      <c r="R168" s="24">
        <f>R168 * AC168</f>
        <v/>
      </c>
      <c r="S168" s="24">
        <f>S168 * AC168</f>
        <v/>
      </c>
      <c r="T168" s="24">
        <f>T168 * AC168</f>
        <v/>
      </c>
      <c r="U168" s="24">
        <f>U168 * AC168</f>
        <v/>
      </c>
      <c r="V168" s="24">
        <f>V168 * AC168</f>
        <v/>
      </c>
      <c r="W168" s="24">
        <f>W168 * AC168</f>
        <v/>
      </c>
      <c r="X168" s="24">
        <f>X168 * AC168</f>
        <v/>
      </c>
      <c r="Y168" s="24">
        <f>Y168 * AC168</f>
        <v/>
      </c>
      <c r="Z168" s="15" t="n">
        <v/>
      </c>
      <c r="AA168" s="24">
        <f>AA168 * AC168</f>
        <v/>
      </c>
      <c r="AB168" s="24">
        <f>AB168 * AC168</f>
        <v/>
      </c>
      <c r="AC168" s="20" t="n"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>
        <f>I169 * AC169</f>
        <v/>
      </c>
      <c r="J169" s="21">
        <f>J169 * AC169</f>
        <v/>
      </c>
      <c r="K169" s="21">
        <f>K169 * AC169</f>
        <v/>
      </c>
      <c r="L169" s="21">
        <f>L169 * AC169</f>
        <v/>
      </c>
      <c r="M169" s="25">
        <f>M169 * AC169</f>
        <v/>
      </c>
      <c r="N169" s="25">
        <f>N169 * AC169</f>
        <v/>
      </c>
      <c r="O169" s="25">
        <f>O169 * AC169</f>
        <v/>
      </c>
      <c r="P169" s="25">
        <f>P169 * AC169</f>
        <v/>
      </c>
      <c r="Q169" s="25">
        <f>Q169 * AC169</f>
        <v/>
      </c>
      <c r="R169" s="25">
        <f>R169 * AC169</f>
        <v/>
      </c>
      <c r="S169" s="25">
        <f>S169 * AC169</f>
        <v/>
      </c>
      <c r="T169" s="25">
        <f>T169 * AC169</f>
        <v/>
      </c>
      <c r="U169" s="25">
        <f>U169 * AC169</f>
        <v/>
      </c>
      <c r="V169" s="25">
        <f>V169 * AC169</f>
        <v/>
      </c>
      <c r="W169" s="25">
        <f>W169 * AC169</f>
        <v/>
      </c>
      <c r="X169" s="25">
        <f>X169 * AC169</f>
        <v/>
      </c>
      <c r="Y169" s="25">
        <f>Y169 * AC169</f>
        <v/>
      </c>
      <c r="Z169" s="17" t="n">
        <v/>
      </c>
      <c r="AA169" s="25">
        <f>AA169 * AC169</f>
        <v/>
      </c>
      <c r="AB169" s="25">
        <f>AB169 * AC169</f>
        <v/>
      </c>
      <c r="AC169" s="22" t="n"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>
        <f>I170 * AC170</f>
        <v/>
      </c>
      <c r="J170" s="19">
        <f>J170 * AC170</f>
        <v/>
      </c>
      <c r="K170" s="19">
        <f>K170 * AC170</f>
        <v/>
      </c>
      <c r="L170" s="19">
        <f>L170 * AC170</f>
        <v/>
      </c>
      <c r="M170" s="24">
        <f>M170 * AC170</f>
        <v/>
      </c>
      <c r="N170" s="24">
        <f>N170 * AC170</f>
        <v/>
      </c>
      <c r="O170" s="24">
        <f>O170 * AC170</f>
        <v/>
      </c>
      <c r="P170" s="24">
        <f>P170 * AC170</f>
        <v/>
      </c>
      <c r="Q170" s="24">
        <f>Q170 * AC170</f>
        <v/>
      </c>
      <c r="R170" s="24">
        <f>R170 * AC170</f>
        <v/>
      </c>
      <c r="S170" s="24">
        <f>S170 * AC170</f>
        <v/>
      </c>
      <c r="T170" s="24">
        <f>T170 * AC170</f>
        <v/>
      </c>
      <c r="U170" s="24">
        <f>U170 * AC170</f>
        <v/>
      </c>
      <c r="V170" s="24">
        <f>V170 * AC170</f>
        <v/>
      </c>
      <c r="W170" s="24">
        <f>W170 * AC170</f>
        <v/>
      </c>
      <c r="X170" s="24">
        <f>X170 * AC170</f>
        <v/>
      </c>
      <c r="Y170" s="24">
        <f>Y170 * AC170</f>
        <v/>
      </c>
      <c r="Z170" s="15" t="n">
        <v/>
      </c>
      <c r="AA170" s="24">
        <f>AA170 * AC170</f>
        <v/>
      </c>
      <c r="AB170" s="24">
        <f>AB170 * AC170</f>
        <v/>
      </c>
      <c r="AC170" s="20" t="n"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>
        <f>I171 * AC171</f>
        <v/>
      </c>
      <c r="J171" s="21">
        <f>J171 * AC171</f>
        <v/>
      </c>
      <c r="K171" s="21">
        <f>K171 * AC171</f>
        <v/>
      </c>
      <c r="L171" s="21">
        <f>L171 * AC171</f>
        <v/>
      </c>
      <c r="M171" s="25">
        <f>M171 * AC171</f>
        <v/>
      </c>
      <c r="N171" s="25">
        <f>N171 * AC171</f>
        <v/>
      </c>
      <c r="O171" s="25">
        <f>O171 * AC171</f>
        <v/>
      </c>
      <c r="P171" s="25">
        <f>P171 * AC171</f>
        <v/>
      </c>
      <c r="Q171" s="25">
        <f>Q171 * AC171</f>
        <v/>
      </c>
      <c r="R171" s="25">
        <f>R171 * AC171</f>
        <v/>
      </c>
      <c r="S171" s="25">
        <f>S171 * AC171</f>
        <v/>
      </c>
      <c r="T171" s="25">
        <f>T171 * AC171</f>
        <v/>
      </c>
      <c r="U171" s="25">
        <f>U171 * AC171</f>
        <v/>
      </c>
      <c r="V171" s="25">
        <f>V171 * AC171</f>
        <v/>
      </c>
      <c r="W171" s="25">
        <f>W171 * AC171</f>
        <v/>
      </c>
      <c r="X171" s="25">
        <f>X171 * AC171</f>
        <v/>
      </c>
      <c r="Y171" s="25">
        <f>Y171 * AC171</f>
        <v/>
      </c>
      <c r="Z171" s="17" t="n">
        <v/>
      </c>
      <c r="AA171" s="25">
        <f>AA171 * AC171</f>
        <v/>
      </c>
      <c r="AB171" s="25">
        <f>AB171 * AC171</f>
        <v/>
      </c>
      <c r="AC171" s="22" t="n"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>
        <f>I172 * AC172</f>
        <v/>
      </c>
      <c r="J172" s="19">
        <f>J172 * AC172</f>
        <v/>
      </c>
      <c r="K172" s="19">
        <f>K172 * AC172</f>
        <v/>
      </c>
      <c r="L172" s="19">
        <f>L172 * AC172</f>
        <v/>
      </c>
      <c r="M172" s="24">
        <f>M172 * AC172</f>
        <v/>
      </c>
      <c r="N172" s="24">
        <f>N172 * AC172</f>
        <v/>
      </c>
      <c r="O172" s="24">
        <f>O172 * AC172</f>
        <v/>
      </c>
      <c r="P172" s="24">
        <f>P172 * AC172</f>
        <v/>
      </c>
      <c r="Q172" s="24">
        <f>Q172 * AC172</f>
        <v/>
      </c>
      <c r="R172" s="24">
        <f>R172 * AC172</f>
        <v/>
      </c>
      <c r="S172" s="24">
        <f>S172 * AC172</f>
        <v/>
      </c>
      <c r="T172" s="24">
        <f>T172 * AC172</f>
        <v/>
      </c>
      <c r="U172" s="24">
        <f>U172 * AC172</f>
        <v/>
      </c>
      <c r="V172" s="24">
        <f>V172 * AC172</f>
        <v/>
      </c>
      <c r="W172" s="24">
        <f>W172 * AC172</f>
        <v/>
      </c>
      <c r="X172" s="24">
        <f>X172 * AC172</f>
        <v/>
      </c>
      <c r="Y172" s="24">
        <f>Y172 * AC172</f>
        <v/>
      </c>
      <c r="Z172" s="15" t="n">
        <v/>
      </c>
      <c r="AA172" s="24">
        <f>AA172 * AC172</f>
        <v/>
      </c>
      <c r="AB172" s="24">
        <f>AB172 * AC172</f>
        <v/>
      </c>
      <c r="AC172" s="20" t="n"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>
        <f>I173 * AC173</f>
        <v/>
      </c>
      <c r="J173" s="21">
        <f>J173 * AC173</f>
        <v/>
      </c>
      <c r="K173" s="21">
        <f>K173 * AC173</f>
        <v/>
      </c>
      <c r="L173" s="21">
        <f>L173 * AC173</f>
        <v/>
      </c>
      <c r="M173" s="25">
        <f>M173 * AC173</f>
        <v/>
      </c>
      <c r="N173" s="25">
        <f>N173 * AC173</f>
        <v/>
      </c>
      <c r="O173" s="25">
        <f>O173 * AC173</f>
        <v/>
      </c>
      <c r="P173" s="25">
        <f>P173 * AC173</f>
        <v/>
      </c>
      <c r="Q173" s="25">
        <f>Q173 * AC173</f>
        <v/>
      </c>
      <c r="R173" s="25">
        <f>R173 * AC173</f>
        <v/>
      </c>
      <c r="S173" s="25">
        <f>S173 * AC173</f>
        <v/>
      </c>
      <c r="T173" s="25">
        <f>T173 * AC173</f>
        <v/>
      </c>
      <c r="U173" s="25">
        <f>U173 * AC173</f>
        <v/>
      </c>
      <c r="V173" s="25">
        <f>V173 * AC173</f>
        <v/>
      </c>
      <c r="W173" s="25">
        <f>W173 * AC173</f>
        <v/>
      </c>
      <c r="X173" s="25">
        <f>X173 * AC173</f>
        <v/>
      </c>
      <c r="Y173" s="25">
        <f>Y173 * AC173</f>
        <v/>
      </c>
      <c r="Z173" s="17" t="n">
        <v/>
      </c>
      <c r="AA173" s="25">
        <f>AA173 * AC173</f>
        <v/>
      </c>
      <c r="AB173" s="25">
        <f>AB173 * AC173</f>
        <v/>
      </c>
      <c r="AC173" s="22" t="n"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>
        <f>I174 * AC174</f>
        <v/>
      </c>
      <c r="J174" s="19">
        <f>J174 * AC174</f>
        <v/>
      </c>
      <c r="K174" s="19">
        <f>K174 * AC174</f>
        <v/>
      </c>
      <c r="L174" s="19">
        <f>L174 * AC174</f>
        <v/>
      </c>
      <c r="M174" s="24">
        <f>M174 * AC174</f>
        <v/>
      </c>
      <c r="N174" s="24">
        <f>N174 * AC174</f>
        <v/>
      </c>
      <c r="O174" s="24">
        <f>O174 * AC174</f>
        <v/>
      </c>
      <c r="P174" s="24">
        <f>P174 * AC174</f>
        <v/>
      </c>
      <c r="Q174" s="24">
        <f>Q174 * AC174</f>
        <v/>
      </c>
      <c r="R174" s="24">
        <f>R174 * AC174</f>
        <v/>
      </c>
      <c r="S174" s="24">
        <f>S174 * AC174</f>
        <v/>
      </c>
      <c r="T174" s="24">
        <f>T174 * AC174</f>
        <v/>
      </c>
      <c r="U174" s="24">
        <f>U174 * AC174</f>
        <v/>
      </c>
      <c r="V174" s="24">
        <f>V174 * AC174</f>
        <v/>
      </c>
      <c r="W174" s="24">
        <f>W174 * AC174</f>
        <v/>
      </c>
      <c r="X174" s="24">
        <f>X174 * AC174</f>
        <v/>
      </c>
      <c r="Y174" s="24">
        <f>Y174 * AC174</f>
        <v/>
      </c>
      <c r="Z174" s="15" t="n">
        <v/>
      </c>
      <c r="AA174" s="24">
        <f>AA174 * AC174</f>
        <v/>
      </c>
      <c r="AB174" s="24">
        <f>AB174 * AC174</f>
        <v/>
      </c>
      <c r="AC174" s="20" t="n"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>
        <f>I175 * AC175</f>
        <v/>
      </c>
      <c r="J175" s="21">
        <f>J175 * AC175</f>
        <v/>
      </c>
      <c r="K175" s="21">
        <f>K175 * AC175</f>
        <v/>
      </c>
      <c r="L175" s="21">
        <f>L175 * AC175</f>
        <v/>
      </c>
      <c r="M175" s="25">
        <f>M175 * AC175</f>
        <v/>
      </c>
      <c r="N175" s="25">
        <f>N175 * AC175</f>
        <v/>
      </c>
      <c r="O175" s="25">
        <f>O175 * AC175</f>
        <v/>
      </c>
      <c r="P175" s="25">
        <f>P175 * AC175</f>
        <v/>
      </c>
      <c r="Q175" s="25">
        <f>Q175 * AC175</f>
        <v/>
      </c>
      <c r="R175" s="25">
        <f>R175 * AC175</f>
        <v/>
      </c>
      <c r="S175" s="25">
        <f>S175 * AC175</f>
        <v/>
      </c>
      <c r="T175" s="25">
        <f>T175 * AC175</f>
        <v/>
      </c>
      <c r="U175" s="25">
        <f>U175 * AC175</f>
        <v/>
      </c>
      <c r="V175" s="25">
        <f>V175 * AC175</f>
        <v/>
      </c>
      <c r="W175" s="25">
        <f>W175 * AC175</f>
        <v/>
      </c>
      <c r="X175" s="25">
        <f>X175 * AC175</f>
        <v/>
      </c>
      <c r="Y175" s="25">
        <f>Y175 * AC175</f>
        <v/>
      </c>
      <c r="Z175" s="17" t="n">
        <v/>
      </c>
      <c r="AA175" s="25">
        <f>AA175 * AC175</f>
        <v/>
      </c>
      <c r="AB175" s="25">
        <f>AB175 * AC175</f>
        <v/>
      </c>
      <c r="AC175" s="22" t="n"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>
        <f>I176 * AC176</f>
        <v/>
      </c>
      <c r="J176" s="19">
        <f>J176 * AC176</f>
        <v/>
      </c>
      <c r="K176" s="19">
        <f>K176 * AC176</f>
        <v/>
      </c>
      <c r="L176" s="19">
        <f>L176 * AC176</f>
        <v/>
      </c>
      <c r="M176" s="24">
        <f>M176 * AC176</f>
        <v/>
      </c>
      <c r="N176" s="24">
        <f>N176 * AC176</f>
        <v/>
      </c>
      <c r="O176" s="24">
        <f>O176 * AC176</f>
        <v/>
      </c>
      <c r="P176" s="24">
        <f>P176 * AC176</f>
        <v/>
      </c>
      <c r="Q176" s="24">
        <f>Q176 * AC176</f>
        <v/>
      </c>
      <c r="R176" s="24">
        <f>R176 * AC176</f>
        <v/>
      </c>
      <c r="S176" s="24">
        <f>S176 * AC176</f>
        <v/>
      </c>
      <c r="T176" s="24">
        <f>T176 * AC176</f>
        <v/>
      </c>
      <c r="U176" s="24">
        <f>U176 * AC176</f>
        <v/>
      </c>
      <c r="V176" s="24">
        <f>V176 * AC176</f>
        <v/>
      </c>
      <c r="W176" s="24">
        <f>W176 * AC176</f>
        <v/>
      </c>
      <c r="X176" s="24">
        <f>X176 * AC176</f>
        <v/>
      </c>
      <c r="Y176" s="24">
        <f>Y176 * AC176</f>
        <v/>
      </c>
      <c r="Z176" s="15" t="n">
        <v/>
      </c>
      <c r="AA176" s="24">
        <f>AA176 * AC176</f>
        <v/>
      </c>
      <c r="AB176" s="24">
        <f>AB176 * AC176</f>
        <v/>
      </c>
      <c r="AC176" s="20" t="n"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>
        <f>I177 * AC177</f>
        <v/>
      </c>
      <c r="J177" s="21">
        <f>J177 * AC177</f>
        <v/>
      </c>
      <c r="K177" s="21">
        <f>K177 * AC177</f>
        <v/>
      </c>
      <c r="L177" s="21">
        <f>L177 * AC177</f>
        <v/>
      </c>
      <c r="M177" s="25">
        <f>M177 * AC177</f>
        <v/>
      </c>
      <c r="N177" s="25">
        <f>N177 * AC177</f>
        <v/>
      </c>
      <c r="O177" s="25">
        <f>O177 * AC177</f>
        <v/>
      </c>
      <c r="P177" s="25">
        <f>P177 * AC177</f>
        <v/>
      </c>
      <c r="Q177" s="25">
        <f>Q177 * AC177</f>
        <v/>
      </c>
      <c r="R177" s="25">
        <f>R177 * AC177</f>
        <v/>
      </c>
      <c r="S177" s="25">
        <f>S177 * AC177</f>
        <v/>
      </c>
      <c r="T177" s="25">
        <f>T177 * AC177</f>
        <v/>
      </c>
      <c r="U177" s="25">
        <f>U177 * AC177</f>
        <v/>
      </c>
      <c r="V177" s="25">
        <f>V177 * AC177</f>
        <v/>
      </c>
      <c r="W177" s="25">
        <f>W177 * AC177</f>
        <v/>
      </c>
      <c r="X177" s="25">
        <f>X177 * AC177</f>
        <v/>
      </c>
      <c r="Y177" s="25">
        <f>Y177 * AC177</f>
        <v/>
      </c>
      <c r="Z177" s="17" t="n">
        <v/>
      </c>
      <c r="AA177" s="25">
        <f>AA177 * AC177</f>
        <v/>
      </c>
      <c r="AB177" s="25">
        <f>AB177 * AC177</f>
        <v/>
      </c>
      <c r="AC177" s="22" t="n"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>
        <f>I178 * AC178</f>
        <v/>
      </c>
      <c r="J178" s="19">
        <f>J178 * AC178</f>
        <v/>
      </c>
      <c r="K178" s="19">
        <f>K178 * AC178</f>
        <v/>
      </c>
      <c r="L178" s="19">
        <f>L178 * AC178</f>
        <v/>
      </c>
      <c r="M178" s="24">
        <f>M178 * AC178</f>
        <v/>
      </c>
      <c r="N178" s="24">
        <f>N178 * AC178</f>
        <v/>
      </c>
      <c r="O178" s="24">
        <f>O178 * AC178</f>
        <v/>
      </c>
      <c r="P178" s="24">
        <f>P178 * AC178</f>
        <v/>
      </c>
      <c r="Q178" s="24">
        <f>Q178 * AC178</f>
        <v/>
      </c>
      <c r="R178" s="24">
        <f>R178 * AC178</f>
        <v/>
      </c>
      <c r="S178" s="24">
        <f>S178 * AC178</f>
        <v/>
      </c>
      <c r="T178" s="24">
        <f>T178 * AC178</f>
        <v/>
      </c>
      <c r="U178" s="24">
        <f>U178 * AC178</f>
        <v/>
      </c>
      <c r="V178" s="24">
        <f>V178 * AC178</f>
        <v/>
      </c>
      <c r="W178" s="24">
        <f>W178 * AC178</f>
        <v/>
      </c>
      <c r="X178" s="24">
        <f>X178 * AC178</f>
        <v/>
      </c>
      <c r="Y178" s="24">
        <f>Y178 * AC178</f>
        <v/>
      </c>
      <c r="Z178" s="15" t="n">
        <v/>
      </c>
      <c r="AA178" s="24">
        <f>AA178 * AC178</f>
        <v/>
      </c>
      <c r="AB178" s="24">
        <f>AB178 * AC178</f>
        <v/>
      </c>
      <c r="AC178" s="20" t="n"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>
        <f>I179 * AC179</f>
        <v/>
      </c>
      <c r="J179" s="21">
        <f>J179 * AC179</f>
        <v/>
      </c>
      <c r="K179" s="21">
        <f>K179 * AC179</f>
        <v/>
      </c>
      <c r="L179" s="21">
        <f>L179 * AC179</f>
        <v/>
      </c>
      <c r="M179" s="25">
        <f>M179 * AC179</f>
        <v/>
      </c>
      <c r="N179" s="25">
        <f>N179 * AC179</f>
        <v/>
      </c>
      <c r="O179" s="25">
        <f>O179 * AC179</f>
        <v/>
      </c>
      <c r="P179" s="25">
        <f>P179 * AC179</f>
        <v/>
      </c>
      <c r="Q179" s="25">
        <f>Q179 * AC179</f>
        <v/>
      </c>
      <c r="R179" s="25">
        <f>R179 * AC179</f>
        <v/>
      </c>
      <c r="S179" s="25">
        <f>S179 * AC179</f>
        <v/>
      </c>
      <c r="T179" s="25">
        <f>T179 * AC179</f>
        <v/>
      </c>
      <c r="U179" s="25">
        <f>U179 * AC179</f>
        <v/>
      </c>
      <c r="V179" s="25">
        <f>V179 * AC179</f>
        <v/>
      </c>
      <c r="W179" s="25">
        <f>W179 * AC179</f>
        <v/>
      </c>
      <c r="X179" s="25">
        <f>X179 * AC179</f>
        <v/>
      </c>
      <c r="Y179" s="25">
        <f>Y179 * AC179</f>
        <v/>
      </c>
      <c r="Z179" s="17" t="n">
        <v/>
      </c>
      <c r="AA179" s="25">
        <f>AA179 * AC179</f>
        <v/>
      </c>
      <c r="AB179" s="25">
        <f>AB179 * AC179</f>
        <v/>
      </c>
      <c r="AC179" s="22" t="n"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>
        <f>I180 * AC180</f>
        <v/>
      </c>
      <c r="J180" s="19">
        <f>J180 * AC180</f>
        <v/>
      </c>
      <c r="K180" s="19">
        <f>K180 * AC180</f>
        <v/>
      </c>
      <c r="L180" s="19">
        <f>L180 * AC180</f>
        <v/>
      </c>
      <c r="M180" s="24">
        <f>M180 * AC180</f>
        <v/>
      </c>
      <c r="N180" s="24">
        <f>N180 * AC180</f>
        <v/>
      </c>
      <c r="O180" s="24">
        <f>O180 * AC180</f>
        <v/>
      </c>
      <c r="P180" s="24">
        <f>P180 * AC180</f>
        <v/>
      </c>
      <c r="Q180" s="24">
        <f>Q180 * AC180</f>
        <v/>
      </c>
      <c r="R180" s="24">
        <f>R180 * AC180</f>
        <v/>
      </c>
      <c r="S180" s="24">
        <f>S180 * AC180</f>
        <v/>
      </c>
      <c r="T180" s="24">
        <f>T180 * AC180</f>
        <v/>
      </c>
      <c r="U180" s="24">
        <f>U180 * AC180</f>
        <v/>
      </c>
      <c r="V180" s="24">
        <f>V180 * AC180</f>
        <v/>
      </c>
      <c r="W180" s="24">
        <f>W180 * AC180</f>
        <v/>
      </c>
      <c r="X180" s="24">
        <f>X180 * AC180</f>
        <v/>
      </c>
      <c r="Y180" s="24">
        <f>Y180 * AC180</f>
        <v/>
      </c>
      <c r="Z180" s="15" t="n">
        <v/>
      </c>
      <c r="AA180" s="24">
        <f>AA180 * AC180</f>
        <v/>
      </c>
      <c r="AB180" s="24">
        <f>AB180 * AC180</f>
        <v/>
      </c>
      <c r="AC180" s="20" t="n"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>
        <f>I181 * AC181</f>
        <v/>
      </c>
      <c r="J181" s="21">
        <f>J181 * AC181</f>
        <v/>
      </c>
      <c r="K181" s="21">
        <f>K181 * AC181</f>
        <v/>
      </c>
      <c r="L181" s="21">
        <f>L181 * AC181</f>
        <v/>
      </c>
      <c r="M181" s="25">
        <f>M181 * AC181</f>
        <v/>
      </c>
      <c r="N181" s="25">
        <f>N181 * AC181</f>
        <v/>
      </c>
      <c r="O181" s="25">
        <f>O181 * AC181</f>
        <v/>
      </c>
      <c r="P181" s="25">
        <f>P181 * AC181</f>
        <v/>
      </c>
      <c r="Q181" s="25">
        <f>Q181 * AC181</f>
        <v/>
      </c>
      <c r="R181" s="25">
        <f>R181 * AC181</f>
        <v/>
      </c>
      <c r="S181" s="25">
        <f>S181 * AC181</f>
        <v/>
      </c>
      <c r="T181" s="25">
        <f>T181 * AC181</f>
        <v/>
      </c>
      <c r="U181" s="25">
        <f>U181 * AC181</f>
        <v/>
      </c>
      <c r="V181" s="25">
        <f>V181 * AC181</f>
        <v/>
      </c>
      <c r="W181" s="25">
        <f>W181 * AC181</f>
        <v/>
      </c>
      <c r="X181" s="25">
        <f>X181 * AC181</f>
        <v/>
      </c>
      <c r="Y181" s="25">
        <f>Y181 * AC181</f>
        <v/>
      </c>
      <c r="Z181" s="17" t="n">
        <v/>
      </c>
      <c r="AA181" s="25">
        <f>AA181 * AC181</f>
        <v/>
      </c>
      <c r="AB181" s="25">
        <f>AB181 * AC181</f>
        <v/>
      </c>
      <c r="AC181" s="22" t="n"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>
        <f>I182 * AC182</f>
        <v/>
      </c>
      <c r="J182" s="19">
        <f>J182 * AC182</f>
        <v/>
      </c>
      <c r="K182" s="19">
        <f>K182 * AC182</f>
        <v/>
      </c>
      <c r="L182" s="19">
        <f>L182 * AC182</f>
        <v/>
      </c>
      <c r="M182" s="24">
        <f>M182 * AC182</f>
        <v/>
      </c>
      <c r="N182" s="24">
        <f>N182 * AC182</f>
        <v/>
      </c>
      <c r="O182" s="24">
        <f>O182 * AC182</f>
        <v/>
      </c>
      <c r="P182" s="24">
        <f>P182 * AC182</f>
        <v/>
      </c>
      <c r="Q182" s="24">
        <f>Q182 * AC182</f>
        <v/>
      </c>
      <c r="R182" s="24">
        <f>R182 * AC182</f>
        <v/>
      </c>
      <c r="S182" s="24">
        <f>S182 * AC182</f>
        <v/>
      </c>
      <c r="T182" s="24">
        <f>T182 * AC182</f>
        <v/>
      </c>
      <c r="U182" s="24">
        <f>U182 * AC182</f>
        <v/>
      </c>
      <c r="V182" s="24">
        <f>V182 * AC182</f>
        <v/>
      </c>
      <c r="W182" s="24">
        <f>W182 * AC182</f>
        <v/>
      </c>
      <c r="X182" s="24">
        <f>X182 * AC182</f>
        <v/>
      </c>
      <c r="Y182" s="24">
        <f>Y182 * AC182</f>
        <v/>
      </c>
      <c r="Z182" s="15" t="n">
        <v/>
      </c>
      <c r="AA182" s="24">
        <f>AA182 * AC182</f>
        <v/>
      </c>
      <c r="AB182" s="24">
        <f>AB182 * AC182</f>
        <v/>
      </c>
      <c r="AC182" s="20" t="n"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>
        <f>I183 * AC183</f>
        <v/>
      </c>
      <c r="J183" s="21">
        <f>J183 * AC183</f>
        <v/>
      </c>
      <c r="K183" s="21">
        <f>K183 * AC183</f>
        <v/>
      </c>
      <c r="L183" s="21">
        <f>L183 * AC183</f>
        <v/>
      </c>
      <c r="M183" s="25">
        <f>M183 * AC183</f>
        <v/>
      </c>
      <c r="N183" s="25">
        <f>N183 * AC183</f>
        <v/>
      </c>
      <c r="O183" s="25">
        <f>O183 * AC183</f>
        <v/>
      </c>
      <c r="P183" s="25">
        <f>P183 * AC183</f>
        <v/>
      </c>
      <c r="Q183" s="25">
        <f>Q183 * AC183</f>
        <v/>
      </c>
      <c r="R183" s="25">
        <f>R183 * AC183</f>
        <v/>
      </c>
      <c r="S183" s="25">
        <f>S183 * AC183</f>
        <v/>
      </c>
      <c r="T183" s="25">
        <f>T183 * AC183</f>
        <v/>
      </c>
      <c r="U183" s="25">
        <f>U183 * AC183</f>
        <v/>
      </c>
      <c r="V183" s="25">
        <f>V183 * AC183</f>
        <v/>
      </c>
      <c r="W183" s="25">
        <f>W183 * AC183</f>
        <v/>
      </c>
      <c r="X183" s="25">
        <f>X183 * AC183</f>
        <v/>
      </c>
      <c r="Y183" s="25">
        <f>Y183 * AC183</f>
        <v/>
      </c>
      <c r="Z183" s="17" t="n">
        <v/>
      </c>
      <c r="AA183" s="25">
        <f>AA183 * AC183</f>
        <v/>
      </c>
      <c r="AB183" s="25">
        <f>AB183 * AC183</f>
        <v/>
      </c>
      <c r="AC183" s="22" t="n"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>
        <f>I184 * AC184</f>
        <v/>
      </c>
      <c r="J184" s="19">
        <f>J184 * AC184</f>
        <v/>
      </c>
      <c r="K184" s="19">
        <f>K184 * AC184</f>
        <v/>
      </c>
      <c r="L184" s="19">
        <f>L184 * AC184</f>
        <v/>
      </c>
      <c r="M184" s="24">
        <f>M184 * AC184</f>
        <v/>
      </c>
      <c r="N184" s="24">
        <f>N184 * AC184</f>
        <v/>
      </c>
      <c r="O184" s="24">
        <f>O184 * AC184</f>
        <v/>
      </c>
      <c r="P184" s="24">
        <f>P184 * AC184</f>
        <v/>
      </c>
      <c r="Q184" s="24">
        <f>Q184 * AC184</f>
        <v/>
      </c>
      <c r="R184" s="24">
        <f>R184 * AC184</f>
        <v/>
      </c>
      <c r="S184" s="24">
        <f>S184 * AC184</f>
        <v/>
      </c>
      <c r="T184" s="24">
        <f>T184 * AC184</f>
        <v/>
      </c>
      <c r="U184" s="24">
        <f>U184 * AC184</f>
        <v/>
      </c>
      <c r="V184" s="24">
        <f>V184 * AC184</f>
        <v/>
      </c>
      <c r="W184" s="24">
        <f>W184 * AC184</f>
        <v/>
      </c>
      <c r="X184" s="24">
        <f>X184 * AC184</f>
        <v/>
      </c>
      <c r="Y184" s="24">
        <f>Y184 * AC184</f>
        <v/>
      </c>
      <c r="Z184" s="15" t="n">
        <v/>
      </c>
      <c r="AA184" s="24">
        <f>AA184 * AC184</f>
        <v/>
      </c>
      <c r="AB184" s="24">
        <f>AB184 * AC184</f>
        <v/>
      </c>
      <c r="AC184" s="20" t="n"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>
        <f>I185 * AC185</f>
        <v/>
      </c>
      <c r="J185" s="21">
        <f>J185 * AC185</f>
        <v/>
      </c>
      <c r="K185" s="21">
        <f>K185 * AC185</f>
        <v/>
      </c>
      <c r="L185" s="21">
        <f>L185 * AC185</f>
        <v/>
      </c>
      <c r="M185" s="25">
        <f>M185 * AC185</f>
        <v/>
      </c>
      <c r="N185" s="25">
        <f>N185 * AC185</f>
        <v/>
      </c>
      <c r="O185" s="25">
        <f>O185 * AC185</f>
        <v/>
      </c>
      <c r="P185" s="25">
        <f>P185 * AC185</f>
        <v/>
      </c>
      <c r="Q185" s="25">
        <f>Q185 * AC185</f>
        <v/>
      </c>
      <c r="R185" s="25">
        <f>R185 * AC185</f>
        <v/>
      </c>
      <c r="S185" s="25">
        <f>S185 * AC185</f>
        <v/>
      </c>
      <c r="T185" s="25">
        <f>T185 * AC185</f>
        <v/>
      </c>
      <c r="U185" s="25">
        <f>U185 * AC185</f>
        <v/>
      </c>
      <c r="V185" s="25">
        <f>V185 * AC185</f>
        <v/>
      </c>
      <c r="W185" s="25">
        <f>W185 * AC185</f>
        <v/>
      </c>
      <c r="X185" s="25">
        <f>X185 * AC185</f>
        <v/>
      </c>
      <c r="Y185" s="25">
        <f>Y185 * AC185</f>
        <v/>
      </c>
      <c r="Z185" s="17" t="n">
        <v/>
      </c>
      <c r="AA185" s="25">
        <f>AA185 * AC185</f>
        <v/>
      </c>
      <c r="AB185" s="25">
        <f>AB185 * AC185</f>
        <v/>
      </c>
      <c r="AC185" s="22" t="n"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>
        <f>I186 * AC186</f>
        <v/>
      </c>
      <c r="J186" s="19">
        <f>J186 * AC186</f>
        <v/>
      </c>
      <c r="K186" s="19">
        <f>K186 * AC186</f>
        <v/>
      </c>
      <c r="L186" s="19">
        <f>L186 * AC186</f>
        <v/>
      </c>
      <c r="M186" s="24">
        <f>M186 * AC186</f>
        <v/>
      </c>
      <c r="N186" s="24">
        <f>N186 * AC186</f>
        <v/>
      </c>
      <c r="O186" s="24">
        <f>O186 * AC186</f>
        <v/>
      </c>
      <c r="P186" s="24">
        <f>P186 * AC186</f>
        <v/>
      </c>
      <c r="Q186" s="24">
        <f>Q186 * AC186</f>
        <v/>
      </c>
      <c r="R186" s="24">
        <f>R186 * AC186</f>
        <v/>
      </c>
      <c r="S186" s="24">
        <f>S186 * AC186</f>
        <v/>
      </c>
      <c r="T186" s="24">
        <f>T186 * AC186</f>
        <v/>
      </c>
      <c r="U186" s="24">
        <f>U186 * AC186</f>
        <v/>
      </c>
      <c r="V186" s="24">
        <f>V186 * AC186</f>
        <v/>
      </c>
      <c r="W186" s="24">
        <f>W186 * AC186</f>
        <v/>
      </c>
      <c r="X186" s="24">
        <f>X186 * AC186</f>
        <v/>
      </c>
      <c r="Y186" s="24">
        <f>Y186 * AC186</f>
        <v/>
      </c>
      <c r="Z186" s="15" t="n">
        <v/>
      </c>
      <c r="AA186" s="24">
        <f>AA186 * AC186</f>
        <v/>
      </c>
      <c r="AB186" s="24">
        <f>AB186 * AC186</f>
        <v/>
      </c>
      <c r="AC186" s="20" t="n"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>
        <f>I187 * AC187</f>
        <v/>
      </c>
      <c r="J187" s="21">
        <f>J187 * AC187</f>
        <v/>
      </c>
      <c r="K187" s="21">
        <f>K187 * AC187</f>
        <v/>
      </c>
      <c r="L187" s="21">
        <f>L187 * AC187</f>
        <v/>
      </c>
      <c r="M187" s="25">
        <f>M187 * AC187</f>
        <v/>
      </c>
      <c r="N187" s="25">
        <f>N187 * AC187</f>
        <v/>
      </c>
      <c r="O187" s="25">
        <f>O187 * AC187</f>
        <v/>
      </c>
      <c r="P187" s="25">
        <f>P187 * AC187</f>
        <v/>
      </c>
      <c r="Q187" s="25">
        <f>Q187 * AC187</f>
        <v/>
      </c>
      <c r="R187" s="25">
        <f>R187 * AC187</f>
        <v/>
      </c>
      <c r="S187" s="25">
        <f>S187 * AC187</f>
        <v/>
      </c>
      <c r="T187" s="25">
        <f>T187 * AC187</f>
        <v/>
      </c>
      <c r="U187" s="25">
        <f>U187 * AC187</f>
        <v/>
      </c>
      <c r="V187" s="25">
        <f>V187 * AC187</f>
        <v/>
      </c>
      <c r="W187" s="25">
        <f>W187 * AC187</f>
        <v/>
      </c>
      <c r="X187" s="25">
        <f>X187 * AC187</f>
        <v/>
      </c>
      <c r="Y187" s="25">
        <f>Y187 * AC187</f>
        <v/>
      </c>
      <c r="Z187" s="17" t="n">
        <v/>
      </c>
      <c r="AA187" s="25">
        <f>AA187 * AC187</f>
        <v/>
      </c>
      <c r="AB187" s="25">
        <f>AB187 * AC187</f>
        <v/>
      </c>
      <c r="AC187" s="22" t="n"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>
        <f>I188 * AC188</f>
        <v/>
      </c>
      <c r="J188" s="19">
        <f>J188 * AC188</f>
        <v/>
      </c>
      <c r="K188" s="19">
        <f>K188 * AC188</f>
        <v/>
      </c>
      <c r="L188" s="19">
        <f>L188 * AC188</f>
        <v/>
      </c>
      <c r="M188" s="24">
        <f>M188 * AC188</f>
        <v/>
      </c>
      <c r="N188" s="24">
        <f>N188 * AC188</f>
        <v/>
      </c>
      <c r="O188" s="24">
        <f>O188 * AC188</f>
        <v/>
      </c>
      <c r="P188" s="24">
        <f>P188 * AC188</f>
        <v/>
      </c>
      <c r="Q188" s="24">
        <f>Q188 * AC188</f>
        <v/>
      </c>
      <c r="R188" s="24">
        <f>R188 * AC188</f>
        <v/>
      </c>
      <c r="S188" s="24">
        <f>S188 * AC188</f>
        <v/>
      </c>
      <c r="T188" s="24">
        <f>T188 * AC188</f>
        <v/>
      </c>
      <c r="U188" s="24">
        <f>U188 * AC188</f>
        <v/>
      </c>
      <c r="V188" s="24">
        <f>V188 * AC188</f>
        <v/>
      </c>
      <c r="W188" s="24">
        <f>W188 * AC188</f>
        <v/>
      </c>
      <c r="X188" s="24">
        <f>X188 * AC188</f>
        <v/>
      </c>
      <c r="Y188" s="24">
        <f>Y188 * AC188</f>
        <v/>
      </c>
      <c r="Z188" s="15" t="n">
        <v/>
      </c>
      <c r="AA188" s="24">
        <f>AA188 * AC188</f>
        <v/>
      </c>
      <c r="AB188" s="24">
        <f>AB188 * AC188</f>
        <v/>
      </c>
      <c r="AC188" s="20" t="n"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>
        <f>I189 * AC189</f>
        <v/>
      </c>
      <c r="J189" s="21">
        <f>J189 * AC189</f>
        <v/>
      </c>
      <c r="K189" s="21">
        <f>K189 * AC189</f>
        <v/>
      </c>
      <c r="L189" s="21">
        <f>L189 * AC189</f>
        <v/>
      </c>
      <c r="M189" s="25">
        <f>M189 * AC189</f>
        <v/>
      </c>
      <c r="N189" s="25">
        <f>N189 * AC189</f>
        <v/>
      </c>
      <c r="O189" s="25">
        <f>O189 * AC189</f>
        <v/>
      </c>
      <c r="P189" s="25">
        <f>P189 * AC189</f>
        <v/>
      </c>
      <c r="Q189" s="25">
        <f>Q189 * AC189</f>
        <v/>
      </c>
      <c r="R189" s="25">
        <f>R189 * AC189</f>
        <v/>
      </c>
      <c r="S189" s="25">
        <f>S189 * AC189</f>
        <v/>
      </c>
      <c r="T189" s="25">
        <f>T189 * AC189</f>
        <v/>
      </c>
      <c r="U189" s="25">
        <f>U189 * AC189</f>
        <v/>
      </c>
      <c r="V189" s="25">
        <f>V189 * AC189</f>
        <v/>
      </c>
      <c r="W189" s="25">
        <f>W189 * AC189</f>
        <v/>
      </c>
      <c r="X189" s="25">
        <f>X189 * AC189</f>
        <v/>
      </c>
      <c r="Y189" s="25">
        <f>Y189 * AC189</f>
        <v/>
      </c>
      <c r="Z189" s="17" t="n">
        <v/>
      </c>
      <c r="AA189" s="25">
        <f>AA189 * AC189</f>
        <v/>
      </c>
      <c r="AB189" s="25">
        <f>AB189 * AC189</f>
        <v/>
      </c>
      <c r="AC189" s="22" t="n"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>
        <f>I190 * AC190</f>
        <v/>
      </c>
      <c r="J190" s="19">
        <f>J190 * AC190</f>
        <v/>
      </c>
      <c r="K190" s="19">
        <f>K190 * AC190</f>
        <v/>
      </c>
      <c r="L190" s="19">
        <f>L190 * AC190</f>
        <v/>
      </c>
      <c r="M190" s="24">
        <f>M190 * AC190</f>
        <v/>
      </c>
      <c r="N190" s="24">
        <f>N190 * AC190</f>
        <v/>
      </c>
      <c r="O190" s="24">
        <f>O190 * AC190</f>
        <v/>
      </c>
      <c r="P190" s="24">
        <f>P190 * AC190</f>
        <v/>
      </c>
      <c r="Q190" s="24">
        <f>Q190 * AC190</f>
        <v/>
      </c>
      <c r="R190" s="24">
        <f>R190 * AC190</f>
        <v/>
      </c>
      <c r="S190" s="24">
        <f>S190 * AC190</f>
        <v/>
      </c>
      <c r="T190" s="24">
        <f>T190 * AC190</f>
        <v/>
      </c>
      <c r="U190" s="24">
        <f>U190 * AC190</f>
        <v/>
      </c>
      <c r="V190" s="24">
        <f>V190 * AC190</f>
        <v/>
      </c>
      <c r="W190" s="24">
        <f>W190 * AC190</f>
        <v/>
      </c>
      <c r="X190" s="24">
        <f>X190 * AC190</f>
        <v/>
      </c>
      <c r="Y190" s="24">
        <f>Y190 * AC190</f>
        <v/>
      </c>
      <c r="Z190" s="15" t="n">
        <v/>
      </c>
      <c r="AA190" s="24">
        <f>AA190 * AC190</f>
        <v/>
      </c>
      <c r="AB190" s="24">
        <f>AB190 * AC190</f>
        <v/>
      </c>
      <c r="AC190" s="20" t="n"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>
        <f>I191 * AC191</f>
        <v/>
      </c>
      <c r="J191" s="21">
        <f>J191 * AC191</f>
        <v/>
      </c>
      <c r="K191" s="21">
        <f>K191 * AC191</f>
        <v/>
      </c>
      <c r="L191" s="21">
        <f>L191 * AC191</f>
        <v/>
      </c>
      <c r="M191" s="25">
        <f>M191 * AC191</f>
        <v/>
      </c>
      <c r="N191" s="25">
        <f>N191 * AC191</f>
        <v/>
      </c>
      <c r="O191" s="25">
        <f>O191 * AC191</f>
        <v/>
      </c>
      <c r="P191" s="25">
        <f>P191 * AC191</f>
        <v/>
      </c>
      <c r="Q191" s="25">
        <f>Q191 * AC191</f>
        <v/>
      </c>
      <c r="R191" s="25">
        <f>R191 * AC191</f>
        <v/>
      </c>
      <c r="S191" s="25">
        <f>S191 * AC191</f>
        <v/>
      </c>
      <c r="T191" s="25">
        <f>T191 * AC191</f>
        <v/>
      </c>
      <c r="U191" s="25">
        <f>U191 * AC191</f>
        <v/>
      </c>
      <c r="V191" s="25">
        <f>V191 * AC191</f>
        <v/>
      </c>
      <c r="W191" s="25">
        <f>W191 * AC191</f>
        <v/>
      </c>
      <c r="X191" s="25">
        <f>X191 * AC191</f>
        <v/>
      </c>
      <c r="Y191" s="25">
        <f>Y191 * AC191</f>
        <v/>
      </c>
      <c r="Z191" s="17" t="n">
        <v/>
      </c>
      <c r="AA191" s="25">
        <f>AA191 * AC191</f>
        <v/>
      </c>
      <c r="AB191" s="25">
        <f>AB191 * AC191</f>
        <v/>
      </c>
      <c r="AC191" s="22" t="n"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>
        <f>I192 * AC192</f>
        <v/>
      </c>
      <c r="J192" s="19">
        <f>J192 * AC192</f>
        <v/>
      </c>
      <c r="K192" s="19">
        <f>K192 * AC192</f>
        <v/>
      </c>
      <c r="L192" s="19">
        <f>L192 * AC192</f>
        <v/>
      </c>
      <c r="M192" s="24">
        <f>M192 * AC192</f>
        <v/>
      </c>
      <c r="N192" s="24">
        <f>N192 * AC192</f>
        <v/>
      </c>
      <c r="O192" s="24">
        <f>O192 * AC192</f>
        <v/>
      </c>
      <c r="P192" s="24">
        <f>P192 * AC192</f>
        <v/>
      </c>
      <c r="Q192" s="24">
        <f>Q192 * AC192</f>
        <v/>
      </c>
      <c r="R192" s="24">
        <f>R192 * AC192</f>
        <v/>
      </c>
      <c r="S192" s="24">
        <f>S192 * AC192</f>
        <v/>
      </c>
      <c r="T192" s="24">
        <f>T192 * AC192</f>
        <v/>
      </c>
      <c r="U192" s="24">
        <f>U192 * AC192</f>
        <v/>
      </c>
      <c r="V192" s="24">
        <f>V192 * AC192</f>
        <v/>
      </c>
      <c r="W192" s="24">
        <f>W192 * AC192</f>
        <v/>
      </c>
      <c r="X192" s="24">
        <f>X192 * AC192</f>
        <v/>
      </c>
      <c r="Y192" s="24">
        <f>Y192 * AC192</f>
        <v/>
      </c>
      <c r="Z192" s="15" t="n">
        <v/>
      </c>
      <c r="AA192" s="24">
        <f>AA192 * AC192</f>
        <v/>
      </c>
      <c r="AB192" s="24">
        <f>AB192 * AC192</f>
        <v/>
      </c>
      <c r="AC192" s="20" t="n"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>
        <f>I193 * AC193</f>
        <v/>
      </c>
      <c r="J193" s="21">
        <f>J193 * AC193</f>
        <v/>
      </c>
      <c r="K193" s="21">
        <f>K193 * AC193</f>
        <v/>
      </c>
      <c r="L193" s="21">
        <f>L193 * AC193</f>
        <v/>
      </c>
      <c r="M193" s="25">
        <f>M193 * AC193</f>
        <v/>
      </c>
      <c r="N193" s="25">
        <f>N193 * AC193</f>
        <v/>
      </c>
      <c r="O193" s="25">
        <f>O193 * AC193</f>
        <v/>
      </c>
      <c r="P193" s="25">
        <f>P193 * AC193</f>
        <v/>
      </c>
      <c r="Q193" s="25">
        <f>Q193 * AC193</f>
        <v/>
      </c>
      <c r="R193" s="25">
        <f>R193 * AC193</f>
        <v/>
      </c>
      <c r="S193" s="25">
        <f>S193 * AC193</f>
        <v/>
      </c>
      <c r="T193" s="25">
        <f>T193 * AC193</f>
        <v/>
      </c>
      <c r="U193" s="25">
        <f>U193 * AC193</f>
        <v/>
      </c>
      <c r="V193" s="25">
        <f>V193 * AC193</f>
        <v/>
      </c>
      <c r="W193" s="25">
        <f>W193 * AC193</f>
        <v/>
      </c>
      <c r="X193" s="25">
        <f>X193 * AC193</f>
        <v/>
      </c>
      <c r="Y193" s="25">
        <f>Y193 * AC193</f>
        <v/>
      </c>
      <c r="Z193" s="17" t="n">
        <v/>
      </c>
      <c r="AA193" s="25">
        <f>AA193 * AC193</f>
        <v/>
      </c>
      <c r="AB193" s="25">
        <f>AB193 * AC193</f>
        <v/>
      </c>
      <c r="AC193" s="22" t="n"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>
        <f>I194 * AC194</f>
        <v/>
      </c>
      <c r="J194" s="19">
        <f>J194 * AC194</f>
        <v/>
      </c>
      <c r="K194" s="19">
        <f>K194 * AC194</f>
        <v/>
      </c>
      <c r="L194" s="19">
        <f>L194 * AC194</f>
        <v/>
      </c>
      <c r="M194" s="24">
        <f>M194 * AC194</f>
        <v/>
      </c>
      <c r="N194" s="24">
        <f>N194 * AC194</f>
        <v/>
      </c>
      <c r="O194" s="24">
        <f>O194 * AC194</f>
        <v/>
      </c>
      <c r="P194" s="24">
        <f>P194 * AC194</f>
        <v/>
      </c>
      <c r="Q194" s="24">
        <f>Q194 * AC194</f>
        <v/>
      </c>
      <c r="R194" s="24">
        <f>R194 * AC194</f>
        <v/>
      </c>
      <c r="S194" s="24">
        <f>S194 * AC194</f>
        <v/>
      </c>
      <c r="T194" s="24">
        <f>T194 * AC194</f>
        <v/>
      </c>
      <c r="U194" s="24">
        <f>U194 * AC194</f>
        <v/>
      </c>
      <c r="V194" s="24">
        <f>V194 * AC194</f>
        <v/>
      </c>
      <c r="W194" s="24">
        <f>W194 * AC194</f>
        <v/>
      </c>
      <c r="X194" s="24">
        <f>X194 * AC194</f>
        <v/>
      </c>
      <c r="Y194" s="24">
        <f>Y194 * AC194</f>
        <v/>
      </c>
      <c r="Z194" s="15" t="n">
        <v/>
      </c>
      <c r="AA194" s="24">
        <f>AA194 * AC194</f>
        <v/>
      </c>
      <c r="AB194" s="24">
        <f>AB194 * AC194</f>
        <v/>
      </c>
      <c r="AC194" s="20" t="n"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>
        <f>I195 * AC195</f>
        <v/>
      </c>
      <c r="J195" s="21">
        <f>J195 * AC195</f>
        <v/>
      </c>
      <c r="K195" s="21">
        <f>K195 * AC195</f>
        <v/>
      </c>
      <c r="L195" s="21">
        <f>L195 * AC195</f>
        <v/>
      </c>
      <c r="M195" s="25">
        <f>M195 * AC195</f>
        <v/>
      </c>
      <c r="N195" s="25">
        <f>N195 * AC195</f>
        <v/>
      </c>
      <c r="O195" s="25">
        <f>O195 * AC195</f>
        <v/>
      </c>
      <c r="P195" s="25">
        <f>P195 * AC195</f>
        <v/>
      </c>
      <c r="Q195" s="25">
        <f>Q195 * AC195</f>
        <v/>
      </c>
      <c r="R195" s="25">
        <f>R195 * AC195</f>
        <v/>
      </c>
      <c r="S195" s="25">
        <f>S195 * AC195</f>
        <v/>
      </c>
      <c r="T195" s="25">
        <f>T195 * AC195</f>
        <v/>
      </c>
      <c r="U195" s="25">
        <f>U195 * AC195</f>
        <v/>
      </c>
      <c r="V195" s="25">
        <f>V195 * AC195</f>
        <v/>
      </c>
      <c r="W195" s="25">
        <f>W195 * AC195</f>
        <v/>
      </c>
      <c r="X195" s="25">
        <f>X195 * AC195</f>
        <v/>
      </c>
      <c r="Y195" s="25">
        <f>Y195 * AC195</f>
        <v/>
      </c>
      <c r="Z195" s="17" t="n">
        <v/>
      </c>
      <c r="AA195" s="25">
        <f>AA195 * AC195</f>
        <v/>
      </c>
      <c r="AB195" s="25">
        <f>AB195 * AC195</f>
        <v/>
      </c>
      <c r="AC195" s="22" t="n"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>
        <f>I196 * AC196</f>
        <v/>
      </c>
      <c r="J196" s="19">
        <f>J196 * AC196</f>
        <v/>
      </c>
      <c r="K196" s="19">
        <f>K196 * AC196</f>
        <v/>
      </c>
      <c r="L196" s="19">
        <f>L196 * AC196</f>
        <v/>
      </c>
      <c r="M196" s="24">
        <f>M196 * AC196</f>
        <v/>
      </c>
      <c r="N196" s="24">
        <f>N196 * AC196</f>
        <v/>
      </c>
      <c r="O196" s="24">
        <f>O196 * AC196</f>
        <v/>
      </c>
      <c r="P196" s="24">
        <f>P196 * AC196</f>
        <v/>
      </c>
      <c r="Q196" s="24">
        <f>Q196 * AC196</f>
        <v/>
      </c>
      <c r="R196" s="24">
        <f>R196 * AC196</f>
        <v/>
      </c>
      <c r="S196" s="24">
        <f>S196 * AC196</f>
        <v/>
      </c>
      <c r="T196" s="24">
        <f>T196 * AC196</f>
        <v/>
      </c>
      <c r="U196" s="24">
        <f>U196 * AC196</f>
        <v/>
      </c>
      <c r="V196" s="24">
        <f>V196 * AC196</f>
        <v/>
      </c>
      <c r="W196" s="24">
        <f>W196 * AC196</f>
        <v/>
      </c>
      <c r="X196" s="24">
        <f>X196 * AC196</f>
        <v/>
      </c>
      <c r="Y196" s="24">
        <f>Y196 * AC196</f>
        <v/>
      </c>
      <c r="Z196" s="15" t="n">
        <v/>
      </c>
      <c r="AA196" s="24">
        <f>AA196 * AC196</f>
        <v/>
      </c>
      <c r="AB196" s="24">
        <f>AB196 * AC196</f>
        <v/>
      </c>
      <c r="AC196" s="20" t="n"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>
        <f>I197 * AC197</f>
        <v/>
      </c>
      <c r="J197" s="21">
        <f>J197 * AC197</f>
        <v/>
      </c>
      <c r="K197" s="21">
        <f>K197 * AC197</f>
        <v/>
      </c>
      <c r="L197" s="21">
        <f>L197 * AC197</f>
        <v/>
      </c>
      <c r="M197" s="25">
        <f>M197 * AC197</f>
        <v/>
      </c>
      <c r="N197" s="25">
        <f>N197 * AC197</f>
        <v/>
      </c>
      <c r="O197" s="25">
        <f>O197 * AC197</f>
        <v/>
      </c>
      <c r="P197" s="25">
        <f>P197 * AC197</f>
        <v/>
      </c>
      <c r="Q197" s="25">
        <f>Q197 * AC197</f>
        <v/>
      </c>
      <c r="R197" s="25">
        <f>R197 * AC197</f>
        <v/>
      </c>
      <c r="S197" s="25">
        <f>S197 * AC197</f>
        <v/>
      </c>
      <c r="T197" s="25">
        <f>T197 * AC197</f>
        <v/>
      </c>
      <c r="U197" s="25">
        <f>U197 * AC197</f>
        <v/>
      </c>
      <c r="V197" s="25">
        <f>V197 * AC197</f>
        <v/>
      </c>
      <c r="W197" s="25">
        <f>W197 * AC197</f>
        <v/>
      </c>
      <c r="X197" s="25">
        <f>X197 * AC197</f>
        <v/>
      </c>
      <c r="Y197" s="25">
        <f>Y197 * AC197</f>
        <v/>
      </c>
      <c r="Z197" s="17" t="n">
        <v/>
      </c>
      <c r="AA197" s="25">
        <f>AA197 * AC197</f>
        <v/>
      </c>
      <c r="AB197" s="25">
        <f>AB197 * AC197</f>
        <v/>
      </c>
      <c r="AC197" s="22" t="n"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>
        <f>I198 * AC198</f>
        <v/>
      </c>
      <c r="J198" s="19">
        <f>J198 * AC198</f>
        <v/>
      </c>
      <c r="K198" s="19">
        <f>K198 * AC198</f>
        <v/>
      </c>
      <c r="L198" s="19">
        <f>L198 * AC198</f>
        <v/>
      </c>
      <c r="M198" s="24">
        <f>M198 * AC198</f>
        <v/>
      </c>
      <c r="N198" s="24">
        <f>N198 * AC198</f>
        <v/>
      </c>
      <c r="O198" s="24">
        <f>O198 * AC198</f>
        <v/>
      </c>
      <c r="P198" s="24">
        <f>P198 * AC198</f>
        <v/>
      </c>
      <c r="Q198" s="24">
        <f>Q198 * AC198</f>
        <v/>
      </c>
      <c r="R198" s="24">
        <f>R198 * AC198</f>
        <v/>
      </c>
      <c r="S198" s="24">
        <f>S198 * AC198</f>
        <v/>
      </c>
      <c r="T198" s="24">
        <f>T198 * AC198</f>
        <v/>
      </c>
      <c r="U198" s="24">
        <f>U198 * AC198</f>
        <v/>
      </c>
      <c r="V198" s="24">
        <f>V198 * AC198</f>
        <v/>
      </c>
      <c r="W198" s="24">
        <f>W198 * AC198</f>
        <v/>
      </c>
      <c r="X198" s="24">
        <f>X198 * AC198</f>
        <v/>
      </c>
      <c r="Y198" s="24">
        <f>Y198 * AC198</f>
        <v/>
      </c>
      <c r="Z198" s="15" t="n">
        <v/>
      </c>
      <c r="AA198" s="24">
        <f>AA198 * AC198</f>
        <v/>
      </c>
      <c r="AB198" s="24">
        <f>AB198 * AC198</f>
        <v/>
      </c>
      <c r="AC198" s="20" t="n"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>
        <f>I199 * AC199</f>
        <v/>
      </c>
      <c r="J199" s="21">
        <f>J199 * AC199</f>
        <v/>
      </c>
      <c r="K199" s="21">
        <f>K199 * AC199</f>
        <v/>
      </c>
      <c r="L199" s="21">
        <f>L199 * AC199</f>
        <v/>
      </c>
      <c r="M199" s="25">
        <f>M199 * AC199</f>
        <v/>
      </c>
      <c r="N199" s="25">
        <f>N199 * AC199</f>
        <v/>
      </c>
      <c r="O199" s="25">
        <f>O199 * AC199</f>
        <v/>
      </c>
      <c r="P199" s="25">
        <f>P199 * AC199</f>
        <v/>
      </c>
      <c r="Q199" s="25">
        <f>Q199 * AC199</f>
        <v/>
      </c>
      <c r="R199" s="25">
        <f>R199 * AC199</f>
        <v/>
      </c>
      <c r="S199" s="25">
        <f>S199 * AC199</f>
        <v/>
      </c>
      <c r="T199" s="25">
        <f>T199 * AC199</f>
        <v/>
      </c>
      <c r="U199" s="25">
        <f>U199 * AC199</f>
        <v/>
      </c>
      <c r="V199" s="25">
        <f>V199 * AC199</f>
        <v/>
      </c>
      <c r="W199" s="25">
        <f>W199 * AC199</f>
        <v/>
      </c>
      <c r="X199" s="25">
        <f>X199 * AC199</f>
        <v/>
      </c>
      <c r="Y199" s="25">
        <f>Y199 * AC199</f>
        <v/>
      </c>
      <c r="Z199" s="17" t="n">
        <v/>
      </c>
      <c r="AA199" s="25">
        <f>AA199 * AC199</f>
        <v/>
      </c>
      <c r="AB199" s="25">
        <f>AB199 * AC199</f>
        <v/>
      </c>
      <c r="AC199" s="22" t="n"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>
        <f>I200 * AC200</f>
        <v/>
      </c>
      <c r="J200" s="19">
        <f>J200 * AC200</f>
        <v/>
      </c>
      <c r="K200" s="19">
        <f>K200 * AC200</f>
        <v/>
      </c>
      <c r="L200" s="19">
        <f>L200 * AC200</f>
        <v/>
      </c>
      <c r="M200" s="24">
        <f>M200 * AC200</f>
        <v/>
      </c>
      <c r="N200" s="24">
        <f>N200 * AC200</f>
        <v/>
      </c>
      <c r="O200" s="24">
        <f>O200 * AC200</f>
        <v/>
      </c>
      <c r="P200" s="24">
        <f>P200 * AC200</f>
        <v/>
      </c>
      <c r="Q200" s="24">
        <f>Q200 * AC200</f>
        <v/>
      </c>
      <c r="R200" s="24">
        <f>R200 * AC200</f>
        <v/>
      </c>
      <c r="S200" s="24">
        <f>S200 * AC200</f>
        <v/>
      </c>
      <c r="T200" s="24">
        <f>T200 * AC200</f>
        <v/>
      </c>
      <c r="U200" s="24">
        <f>U200 * AC200</f>
        <v/>
      </c>
      <c r="V200" s="24">
        <f>V200 * AC200</f>
        <v/>
      </c>
      <c r="W200" s="24">
        <f>W200 * AC200</f>
        <v/>
      </c>
      <c r="X200" s="24">
        <f>X200 * AC200</f>
        <v/>
      </c>
      <c r="Y200" s="24">
        <f>Y200 * AC200</f>
        <v/>
      </c>
      <c r="Z200" s="15" t="n">
        <v/>
      </c>
      <c r="AA200" s="24">
        <f>AA200 * AC200</f>
        <v/>
      </c>
      <c r="AB200" s="24">
        <f>AB200 * AC200</f>
        <v/>
      </c>
      <c r="AC200" s="20" t="n"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>
        <f>I201 * AC201</f>
        <v/>
      </c>
      <c r="J201" s="21">
        <f>J201 * AC201</f>
        <v/>
      </c>
      <c r="K201" s="21">
        <f>K201 * AC201</f>
        <v/>
      </c>
      <c r="L201" s="21">
        <f>L201 * AC201</f>
        <v/>
      </c>
      <c r="M201" s="25">
        <f>M201 * AC201</f>
        <v/>
      </c>
      <c r="N201" s="25">
        <f>N201 * AC201</f>
        <v/>
      </c>
      <c r="O201" s="25">
        <f>O201 * AC201</f>
        <v/>
      </c>
      <c r="P201" s="25">
        <f>P201 * AC201</f>
        <v/>
      </c>
      <c r="Q201" s="25">
        <f>Q201 * AC201</f>
        <v/>
      </c>
      <c r="R201" s="25">
        <f>R201 * AC201</f>
        <v/>
      </c>
      <c r="S201" s="25">
        <f>S201 * AC201</f>
        <v/>
      </c>
      <c r="T201" s="25">
        <f>T201 * AC201</f>
        <v/>
      </c>
      <c r="U201" s="25">
        <f>U201 * AC201</f>
        <v/>
      </c>
      <c r="V201" s="25">
        <f>V201 * AC201</f>
        <v/>
      </c>
      <c r="W201" s="25">
        <f>W201 * AC201</f>
        <v/>
      </c>
      <c r="X201" s="25">
        <f>X201 * AC201</f>
        <v/>
      </c>
      <c r="Y201" s="25">
        <f>Y201 * AC201</f>
        <v/>
      </c>
      <c r="Z201" s="17" t="n">
        <v/>
      </c>
      <c r="AA201" s="25">
        <f>AA201 * AC201</f>
        <v/>
      </c>
      <c r="AB201" s="25">
        <f>AB201 * AC201</f>
        <v/>
      </c>
      <c r="AC201" s="22" t="n"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>
        <f>I202 * AC202</f>
        <v/>
      </c>
      <c r="J202" s="19">
        <f>J202 * AC202</f>
        <v/>
      </c>
      <c r="K202" s="19">
        <f>K202 * AC202</f>
        <v/>
      </c>
      <c r="L202" s="19">
        <f>L202 * AC202</f>
        <v/>
      </c>
      <c r="M202" s="24">
        <f>M202 * AC202</f>
        <v/>
      </c>
      <c r="N202" s="24">
        <f>N202 * AC202</f>
        <v/>
      </c>
      <c r="O202" s="24">
        <f>O202 * AC202</f>
        <v/>
      </c>
      <c r="P202" s="24">
        <f>P202 * AC202</f>
        <v/>
      </c>
      <c r="Q202" s="24">
        <f>Q202 * AC202</f>
        <v/>
      </c>
      <c r="R202" s="24">
        <f>R202 * AC202</f>
        <v/>
      </c>
      <c r="S202" s="24">
        <f>S202 * AC202</f>
        <v/>
      </c>
      <c r="T202" s="24">
        <f>T202 * AC202</f>
        <v/>
      </c>
      <c r="U202" s="24">
        <f>U202 * AC202</f>
        <v/>
      </c>
      <c r="V202" s="24">
        <f>V202 * AC202</f>
        <v/>
      </c>
      <c r="W202" s="24">
        <f>W202 * AC202</f>
        <v/>
      </c>
      <c r="X202" s="24">
        <f>X202 * AC202</f>
        <v/>
      </c>
      <c r="Y202" s="24">
        <f>Y202 * AC202</f>
        <v/>
      </c>
      <c r="Z202" s="15" t="n">
        <v/>
      </c>
      <c r="AA202" s="24">
        <f>AA202 * AC202</f>
        <v/>
      </c>
      <c r="AB202" s="24">
        <f>AB202 * AC202</f>
        <v/>
      </c>
      <c r="AC202" s="20" t="n"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>
        <f>I203 * AC203</f>
        <v/>
      </c>
      <c r="J203" s="21">
        <f>J203 * AC203</f>
        <v/>
      </c>
      <c r="K203" s="21">
        <f>K203 * AC203</f>
        <v/>
      </c>
      <c r="L203" s="21">
        <f>L203 * AC203</f>
        <v/>
      </c>
      <c r="M203" s="25">
        <f>M203 * AC203</f>
        <v/>
      </c>
      <c r="N203" s="25">
        <f>N203 * AC203</f>
        <v/>
      </c>
      <c r="O203" s="25">
        <f>O203 * AC203</f>
        <v/>
      </c>
      <c r="P203" s="25">
        <f>P203 * AC203</f>
        <v/>
      </c>
      <c r="Q203" s="25">
        <f>Q203 * AC203</f>
        <v/>
      </c>
      <c r="R203" s="25">
        <f>R203 * AC203</f>
        <v/>
      </c>
      <c r="S203" s="25">
        <f>S203 * AC203</f>
        <v/>
      </c>
      <c r="T203" s="25">
        <f>T203 * AC203</f>
        <v/>
      </c>
      <c r="U203" s="25">
        <f>U203 * AC203</f>
        <v/>
      </c>
      <c r="V203" s="25">
        <f>V203 * AC203</f>
        <v/>
      </c>
      <c r="W203" s="25">
        <f>W203 * AC203</f>
        <v/>
      </c>
      <c r="X203" s="25">
        <f>X203 * AC203</f>
        <v/>
      </c>
      <c r="Y203" s="25">
        <f>Y203 * AC203</f>
        <v/>
      </c>
      <c r="Z203" s="17" t="n">
        <v/>
      </c>
      <c r="AA203" s="25">
        <f>AA203 * AC203</f>
        <v/>
      </c>
      <c r="AB203" s="25">
        <f>AB203 * AC203</f>
        <v/>
      </c>
      <c r="AC203" s="22" t="n"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>
        <f>I204 * AC204</f>
        <v/>
      </c>
      <c r="J204" s="19">
        <f>J204 * AC204</f>
        <v/>
      </c>
      <c r="K204" s="19">
        <f>K204 * AC204</f>
        <v/>
      </c>
      <c r="L204" s="19">
        <f>L204 * AC204</f>
        <v/>
      </c>
      <c r="M204" s="24">
        <f>M204 * AC204</f>
        <v/>
      </c>
      <c r="N204" s="24">
        <f>N204 * AC204</f>
        <v/>
      </c>
      <c r="O204" s="24">
        <f>O204 * AC204</f>
        <v/>
      </c>
      <c r="P204" s="24">
        <f>P204 * AC204</f>
        <v/>
      </c>
      <c r="Q204" s="24">
        <f>Q204 * AC204</f>
        <v/>
      </c>
      <c r="R204" s="24">
        <f>R204 * AC204</f>
        <v/>
      </c>
      <c r="S204" s="24">
        <f>S204 * AC204</f>
        <v/>
      </c>
      <c r="T204" s="24">
        <f>T204 * AC204</f>
        <v/>
      </c>
      <c r="U204" s="24">
        <f>U204 * AC204</f>
        <v/>
      </c>
      <c r="V204" s="24">
        <f>V204 * AC204</f>
        <v/>
      </c>
      <c r="W204" s="24">
        <f>W204 * AC204</f>
        <v/>
      </c>
      <c r="X204" s="24">
        <f>X204 * AC204</f>
        <v/>
      </c>
      <c r="Y204" s="24">
        <f>Y204 * AC204</f>
        <v/>
      </c>
      <c r="Z204" s="15" t="n">
        <v/>
      </c>
      <c r="AA204" s="24">
        <f>AA204 * AC204</f>
        <v/>
      </c>
      <c r="AB204" s="24">
        <f>AB204 * AC204</f>
        <v/>
      </c>
      <c r="AC204" s="20" t="n"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>
        <f>I205 * AC205</f>
        <v/>
      </c>
      <c r="J205" s="21">
        <f>J205 * AC205</f>
        <v/>
      </c>
      <c r="K205" s="21">
        <f>K205 * AC205</f>
        <v/>
      </c>
      <c r="L205" s="21">
        <f>L205 * AC205</f>
        <v/>
      </c>
      <c r="M205" s="25">
        <f>M205 * AC205</f>
        <v/>
      </c>
      <c r="N205" s="25">
        <f>N205 * AC205</f>
        <v/>
      </c>
      <c r="O205" s="25">
        <f>O205 * AC205</f>
        <v/>
      </c>
      <c r="P205" s="25">
        <f>P205 * AC205</f>
        <v/>
      </c>
      <c r="Q205" s="25">
        <f>Q205 * AC205</f>
        <v/>
      </c>
      <c r="R205" s="25">
        <f>R205 * AC205</f>
        <v/>
      </c>
      <c r="S205" s="25">
        <f>S205 * AC205</f>
        <v/>
      </c>
      <c r="T205" s="25">
        <f>T205 * AC205</f>
        <v/>
      </c>
      <c r="U205" s="25">
        <f>U205 * AC205</f>
        <v/>
      </c>
      <c r="V205" s="25">
        <f>V205 * AC205</f>
        <v/>
      </c>
      <c r="W205" s="25">
        <f>W205 * AC205</f>
        <v/>
      </c>
      <c r="X205" s="25">
        <f>X205 * AC205</f>
        <v/>
      </c>
      <c r="Y205" s="25">
        <f>Y205 * AC205</f>
        <v/>
      </c>
      <c r="Z205" s="17" t="n">
        <v/>
      </c>
      <c r="AA205" s="25">
        <f>AA205 * AC205</f>
        <v/>
      </c>
      <c r="AB205" s="25">
        <f>AB205 * AC205</f>
        <v/>
      </c>
      <c r="AC205" s="22" t="n"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>
        <f>I206 * AC206</f>
        <v/>
      </c>
      <c r="J206" s="19">
        <f>J206 * AC206</f>
        <v/>
      </c>
      <c r="K206" s="19">
        <f>K206 * AC206</f>
        <v/>
      </c>
      <c r="L206" s="19">
        <f>L206 * AC206</f>
        <v/>
      </c>
      <c r="M206" s="24">
        <f>M206 * AC206</f>
        <v/>
      </c>
      <c r="N206" s="24">
        <f>N206 * AC206</f>
        <v/>
      </c>
      <c r="O206" s="24">
        <f>O206 * AC206</f>
        <v/>
      </c>
      <c r="P206" s="24">
        <f>P206 * AC206</f>
        <v/>
      </c>
      <c r="Q206" s="24">
        <f>Q206 * AC206</f>
        <v/>
      </c>
      <c r="R206" s="24">
        <f>R206 * AC206</f>
        <v/>
      </c>
      <c r="S206" s="24">
        <f>S206 * AC206</f>
        <v/>
      </c>
      <c r="T206" s="24">
        <f>T206 * AC206</f>
        <v/>
      </c>
      <c r="U206" s="24">
        <f>U206 * AC206</f>
        <v/>
      </c>
      <c r="V206" s="24">
        <f>V206 * AC206</f>
        <v/>
      </c>
      <c r="W206" s="24">
        <f>W206 * AC206</f>
        <v/>
      </c>
      <c r="X206" s="24">
        <f>X206 * AC206</f>
        <v/>
      </c>
      <c r="Y206" s="24">
        <f>Y206 * AC206</f>
        <v/>
      </c>
      <c r="Z206" s="15" t="n">
        <v/>
      </c>
      <c r="AA206" s="24">
        <f>AA206 * AC206</f>
        <v/>
      </c>
      <c r="AB206" s="24">
        <f>AB206 * AC206</f>
        <v/>
      </c>
      <c r="AC206" s="20" t="n"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>
        <f>I207 * AC207</f>
        <v/>
      </c>
      <c r="J207" s="21">
        <f>J207 * AC207</f>
        <v/>
      </c>
      <c r="K207" s="21">
        <f>K207 * AC207</f>
        <v/>
      </c>
      <c r="L207" s="21">
        <f>L207 * AC207</f>
        <v/>
      </c>
      <c r="M207" s="25">
        <f>M207 * AC207</f>
        <v/>
      </c>
      <c r="N207" s="25">
        <f>N207 * AC207</f>
        <v/>
      </c>
      <c r="O207" s="25">
        <f>O207 * AC207</f>
        <v/>
      </c>
      <c r="P207" s="25">
        <f>P207 * AC207</f>
        <v/>
      </c>
      <c r="Q207" s="25">
        <f>Q207 * AC207</f>
        <v/>
      </c>
      <c r="R207" s="25">
        <f>R207 * AC207</f>
        <v/>
      </c>
      <c r="S207" s="25">
        <f>S207 * AC207</f>
        <v/>
      </c>
      <c r="T207" s="25">
        <f>T207 * AC207</f>
        <v/>
      </c>
      <c r="U207" s="25">
        <f>U207 * AC207</f>
        <v/>
      </c>
      <c r="V207" s="25">
        <f>V207 * AC207</f>
        <v/>
      </c>
      <c r="W207" s="25">
        <f>W207 * AC207</f>
        <v/>
      </c>
      <c r="X207" s="25">
        <f>X207 * AC207</f>
        <v/>
      </c>
      <c r="Y207" s="25">
        <f>Y207 * AC207</f>
        <v/>
      </c>
      <c r="Z207" s="17" t="n">
        <v/>
      </c>
      <c r="AA207" s="25">
        <f>AA207 * AC207</f>
        <v/>
      </c>
      <c r="AB207" s="25">
        <f>AB207 * AC207</f>
        <v/>
      </c>
      <c r="AC207" s="22" t="n"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>
        <f>I208 * AC208</f>
        <v/>
      </c>
      <c r="J208" s="19">
        <f>J208 * AC208</f>
        <v/>
      </c>
      <c r="K208" s="19">
        <f>K208 * AC208</f>
        <v/>
      </c>
      <c r="L208" s="19">
        <f>L208 * AC208</f>
        <v/>
      </c>
      <c r="M208" s="24">
        <f>M208 * AC208</f>
        <v/>
      </c>
      <c r="N208" s="24">
        <f>N208 * AC208</f>
        <v/>
      </c>
      <c r="O208" s="24">
        <f>O208 * AC208</f>
        <v/>
      </c>
      <c r="P208" s="24">
        <f>P208 * AC208</f>
        <v/>
      </c>
      <c r="Q208" s="24">
        <f>Q208 * AC208</f>
        <v/>
      </c>
      <c r="R208" s="24">
        <f>R208 * AC208</f>
        <v/>
      </c>
      <c r="S208" s="24">
        <f>S208 * AC208</f>
        <v/>
      </c>
      <c r="T208" s="24">
        <f>T208 * AC208</f>
        <v/>
      </c>
      <c r="U208" s="24">
        <f>U208 * AC208</f>
        <v/>
      </c>
      <c r="V208" s="24">
        <f>V208 * AC208</f>
        <v/>
      </c>
      <c r="W208" s="24">
        <f>W208 * AC208</f>
        <v/>
      </c>
      <c r="X208" s="24">
        <f>X208 * AC208</f>
        <v/>
      </c>
      <c r="Y208" s="24">
        <f>Y208 * AC208</f>
        <v/>
      </c>
      <c r="Z208" s="15" t="n">
        <v/>
      </c>
      <c r="AA208" s="24">
        <f>AA208 * AC208</f>
        <v/>
      </c>
      <c r="AB208" s="24">
        <f>AB208 * AC208</f>
        <v/>
      </c>
      <c r="AC208" s="20" t="n"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>
        <f>I209 * AC209</f>
        <v/>
      </c>
      <c r="J209" s="21">
        <f>J209 * AC209</f>
        <v/>
      </c>
      <c r="K209" s="21">
        <f>K209 * AC209</f>
        <v/>
      </c>
      <c r="L209" s="21">
        <f>L209 * AC209</f>
        <v/>
      </c>
      <c r="M209" s="25">
        <f>M209 * AC209</f>
        <v/>
      </c>
      <c r="N209" s="25">
        <f>N209 * AC209</f>
        <v/>
      </c>
      <c r="O209" s="25">
        <f>O209 * AC209</f>
        <v/>
      </c>
      <c r="P209" s="25">
        <f>P209 * AC209</f>
        <v/>
      </c>
      <c r="Q209" s="25">
        <f>Q209 * AC209</f>
        <v/>
      </c>
      <c r="R209" s="25">
        <f>R209 * AC209</f>
        <v/>
      </c>
      <c r="S209" s="25">
        <f>S209 * AC209</f>
        <v/>
      </c>
      <c r="T209" s="25">
        <f>T209 * AC209</f>
        <v/>
      </c>
      <c r="U209" s="25">
        <f>U209 * AC209</f>
        <v/>
      </c>
      <c r="V209" s="25">
        <f>V209 * AC209</f>
        <v/>
      </c>
      <c r="W209" s="25">
        <f>W209 * AC209</f>
        <v/>
      </c>
      <c r="X209" s="25">
        <f>X209 * AC209</f>
        <v/>
      </c>
      <c r="Y209" s="25">
        <f>Y209 * AC209</f>
        <v/>
      </c>
      <c r="Z209" s="17" t="n">
        <v/>
      </c>
      <c r="AA209" s="25">
        <f>AA209 * AC209</f>
        <v/>
      </c>
      <c r="AB209" s="25">
        <f>AB209 * AC209</f>
        <v/>
      </c>
      <c r="AC209" s="22" t="n"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>
        <f>I210 * AC210</f>
        <v/>
      </c>
      <c r="J210" s="19">
        <f>J210 * AC210</f>
        <v/>
      </c>
      <c r="K210" s="19">
        <f>K210 * AC210</f>
        <v/>
      </c>
      <c r="L210" s="19">
        <f>L210 * AC210</f>
        <v/>
      </c>
      <c r="M210" s="24">
        <f>M210 * AC210</f>
        <v/>
      </c>
      <c r="N210" s="24">
        <f>N210 * AC210</f>
        <v/>
      </c>
      <c r="O210" s="24">
        <f>O210 * AC210</f>
        <v/>
      </c>
      <c r="P210" s="24">
        <f>P210 * AC210</f>
        <v/>
      </c>
      <c r="Q210" s="24">
        <f>Q210 * AC210</f>
        <v/>
      </c>
      <c r="R210" s="24">
        <f>R210 * AC210</f>
        <v/>
      </c>
      <c r="S210" s="24">
        <f>S210 * AC210</f>
        <v/>
      </c>
      <c r="T210" s="24">
        <f>T210 * AC210</f>
        <v/>
      </c>
      <c r="U210" s="24">
        <f>U210 * AC210</f>
        <v/>
      </c>
      <c r="V210" s="24">
        <f>V210 * AC210</f>
        <v/>
      </c>
      <c r="W210" s="24">
        <f>W210 * AC210</f>
        <v/>
      </c>
      <c r="X210" s="24">
        <f>X210 * AC210</f>
        <v/>
      </c>
      <c r="Y210" s="24">
        <f>Y210 * AC210</f>
        <v/>
      </c>
      <c r="Z210" s="15" t="n">
        <v/>
      </c>
      <c r="AA210" s="24">
        <f>AA210 * AC210</f>
        <v/>
      </c>
      <c r="AB210" s="24">
        <f>AB210 * AC210</f>
        <v/>
      </c>
      <c r="AC210" s="20" t="n"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>
        <f>I211 * AC211</f>
        <v/>
      </c>
      <c r="J211" s="21">
        <f>J211 * AC211</f>
        <v/>
      </c>
      <c r="K211" s="21">
        <f>K211 * AC211</f>
        <v/>
      </c>
      <c r="L211" s="21">
        <f>L211 * AC211</f>
        <v/>
      </c>
      <c r="M211" s="25">
        <f>M211 * AC211</f>
        <v/>
      </c>
      <c r="N211" s="25">
        <f>N211 * AC211</f>
        <v/>
      </c>
      <c r="O211" s="25">
        <f>O211 * AC211</f>
        <v/>
      </c>
      <c r="P211" s="25">
        <f>P211 * AC211</f>
        <v/>
      </c>
      <c r="Q211" s="25">
        <f>Q211 * AC211</f>
        <v/>
      </c>
      <c r="R211" s="25">
        <f>R211 * AC211</f>
        <v/>
      </c>
      <c r="S211" s="25">
        <f>S211 * AC211</f>
        <v/>
      </c>
      <c r="T211" s="25">
        <f>T211 * AC211</f>
        <v/>
      </c>
      <c r="U211" s="25">
        <f>U211 * AC211</f>
        <v/>
      </c>
      <c r="V211" s="25">
        <f>V211 * AC211</f>
        <v/>
      </c>
      <c r="W211" s="25">
        <f>W211 * AC211</f>
        <v/>
      </c>
      <c r="X211" s="25">
        <f>X211 * AC211</f>
        <v/>
      </c>
      <c r="Y211" s="25">
        <f>Y211 * AC211</f>
        <v/>
      </c>
      <c r="Z211" s="17" t="n">
        <v/>
      </c>
      <c r="AA211" s="25">
        <f>AA211 * AC211</f>
        <v/>
      </c>
      <c r="AB211" s="25">
        <f>AB211 * AC211</f>
        <v/>
      </c>
      <c r="AC211" s="22" t="n"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>
        <f>I212 * AC212</f>
        <v/>
      </c>
      <c r="J212" s="19">
        <f>J212 * AC212</f>
        <v/>
      </c>
      <c r="K212" s="19">
        <f>K212 * AC212</f>
        <v/>
      </c>
      <c r="L212" s="19">
        <f>L212 * AC212</f>
        <v/>
      </c>
      <c r="M212" s="24">
        <f>M212 * AC212</f>
        <v/>
      </c>
      <c r="N212" s="24">
        <f>N212 * AC212</f>
        <v/>
      </c>
      <c r="O212" s="24">
        <f>O212 * AC212</f>
        <v/>
      </c>
      <c r="P212" s="24">
        <f>P212 * AC212</f>
        <v/>
      </c>
      <c r="Q212" s="24">
        <f>Q212 * AC212</f>
        <v/>
      </c>
      <c r="R212" s="24">
        <f>R212 * AC212</f>
        <v/>
      </c>
      <c r="S212" s="24">
        <f>S212 * AC212</f>
        <v/>
      </c>
      <c r="T212" s="24">
        <f>T212 * AC212</f>
        <v/>
      </c>
      <c r="U212" s="24">
        <f>U212 * AC212</f>
        <v/>
      </c>
      <c r="V212" s="24">
        <f>V212 * AC212</f>
        <v/>
      </c>
      <c r="W212" s="24">
        <f>W212 * AC212</f>
        <v/>
      </c>
      <c r="X212" s="24">
        <f>X212 * AC212</f>
        <v/>
      </c>
      <c r="Y212" s="24">
        <f>Y212 * AC212</f>
        <v/>
      </c>
      <c r="Z212" s="15" t="n">
        <v/>
      </c>
      <c r="AA212" s="24">
        <f>AA212 * AC212</f>
        <v/>
      </c>
      <c r="AB212" s="24">
        <f>AB212 * AC212</f>
        <v/>
      </c>
      <c r="AC212" s="20" t="n"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>
        <f>I213 * AC213</f>
        <v/>
      </c>
      <c r="J213" s="21">
        <f>J213 * AC213</f>
        <v/>
      </c>
      <c r="K213" s="21">
        <f>K213 * AC213</f>
        <v/>
      </c>
      <c r="L213" s="21">
        <f>L213 * AC213</f>
        <v/>
      </c>
      <c r="M213" s="25">
        <f>M213 * AC213</f>
        <v/>
      </c>
      <c r="N213" s="25">
        <f>N213 * AC213</f>
        <v/>
      </c>
      <c r="O213" s="25">
        <f>O213 * AC213</f>
        <v/>
      </c>
      <c r="P213" s="25">
        <f>P213 * AC213</f>
        <v/>
      </c>
      <c r="Q213" s="25">
        <f>Q213 * AC213</f>
        <v/>
      </c>
      <c r="R213" s="25">
        <f>R213 * AC213</f>
        <v/>
      </c>
      <c r="S213" s="25">
        <f>S213 * AC213</f>
        <v/>
      </c>
      <c r="T213" s="25">
        <f>T213 * AC213</f>
        <v/>
      </c>
      <c r="U213" s="25">
        <f>U213 * AC213</f>
        <v/>
      </c>
      <c r="V213" s="25">
        <f>V213 * AC213</f>
        <v/>
      </c>
      <c r="W213" s="25">
        <f>W213 * AC213</f>
        <v/>
      </c>
      <c r="X213" s="25">
        <f>X213 * AC213</f>
        <v/>
      </c>
      <c r="Y213" s="25">
        <f>Y213 * AC213</f>
        <v/>
      </c>
      <c r="Z213" s="17" t="n">
        <v/>
      </c>
      <c r="AA213" s="25">
        <f>AA213 * AC213</f>
        <v/>
      </c>
      <c r="AB213" s="25">
        <f>AB213 * AC213</f>
        <v/>
      </c>
      <c r="AC213" s="22" t="n"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>
        <f>I214 * AC214</f>
        <v/>
      </c>
      <c r="J214" s="19">
        <f>J214 * AC214</f>
        <v/>
      </c>
      <c r="K214" s="19">
        <f>K214 * AC214</f>
        <v/>
      </c>
      <c r="L214" s="19">
        <f>L214 * AC214</f>
        <v/>
      </c>
      <c r="M214" s="24">
        <f>M214 * AC214</f>
        <v/>
      </c>
      <c r="N214" s="24">
        <f>N214 * AC214</f>
        <v/>
      </c>
      <c r="O214" s="24">
        <f>O214 * AC214</f>
        <v/>
      </c>
      <c r="P214" s="24">
        <f>P214 * AC214</f>
        <v/>
      </c>
      <c r="Q214" s="24">
        <f>Q214 * AC214</f>
        <v/>
      </c>
      <c r="R214" s="24">
        <f>R214 * AC214</f>
        <v/>
      </c>
      <c r="S214" s="24">
        <f>S214 * AC214</f>
        <v/>
      </c>
      <c r="T214" s="24">
        <f>T214 * AC214</f>
        <v/>
      </c>
      <c r="U214" s="24">
        <f>U214 * AC214</f>
        <v/>
      </c>
      <c r="V214" s="24">
        <f>V214 * AC214</f>
        <v/>
      </c>
      <c r="W214" s="24">
        <f>W214 * AC214</f>
        <v/>
      </c>
      <c r="X214" s="24">
        <f>X214 * AC214</f>
        <v/>
      </c>
      <c r="Y214" s="24">
        <f>Y214 * AC214</f>
        <v/>
      </c>
      <c r="Z214" s="15" t="n">
        <v/>
      </c>
      <c r="AA214" s="24">
        <f>AA214 * AC214</f>
        <v/>
      </c>
      <c r="AB214" s="24">
        <f>AB214 * AC214</f>
        <v/>
      </c>
      <c r="AC214" s="20" t="n"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>
        <f>I215 * AC215</f>
        <v/>
      </c>
      <c r="J215" s="21">
        <f>J215 * AC215</f>
        <v/>
      </c>
      <c r="K215" s="21">
        <f>K215 * AC215</f>
        <v/>
      </c>
      <c r="L215" s="21">
        <f>L215 * AC215</f>
        <v/>
      </c>
      <c r="M215" s="25">
        <f>M215 * AC215</f>
        <v/>
      </c>
      <c r="N215" s="25">
        <f>N215 * AC215</f>
        <v/>
      </c>
      <c r="O215" s="25">
        <f>O215 * AC215</f>
        <v/>
      </c>
      <c r="P215" s="25">
        <f>P215 * AC215</f>
        <v/>
      </c>
      <c r="Q215" s="25">
        <f>Q215 * AC215</f>
        <v/>
      </c>
      <c r="R215" s="25">
        <f>R215 * AC215</f>
        <v/>
      </c>
      <c r="S215" s="25">
        <f>S215 * AC215</f>
        <v/>
      </c>
      <c r="T215" s="25">
        <f>T215 * AC215</f>
        <v/>
      </c>
      <c r="U215" s="25">
        <f>U215 * AC215</f>
        <v/>
      </c>
      <c r="V215" s="25">
        <f>V215 * AC215</f>
        <v/>
      </c>
      <c r="W215" s="25">
        <f>W215 * AC215</f>
        <v/>
      </c>
      <c r="X215" s="25">
        <f>X215 * AC215</f>
        <v/>
      </c>
      <c r="Y215" s="25">
        <f>Y215 * AC215</f>
        <v/>
      </c>
      <c r="Z215" s="17" t="n">
        <v/>
      </c>
      <c r="AA215" s="25">
        <f>AA215 * AC215</f>
        <v/>
      </c>
      <c r="AB215" s="25">
        <f>AB215 * AC215</f>
        <v/>
      </c>
      <c r="AC215" s="22" t="n"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>
        <f>I216 * AC216</f>
        <v/>
      </c>
      <c r="J216" s="19">
        <f>J216 * AC216</f>
        <v/>
      </c>
      <c r="K216" s="19">
        <f>K216 * AC216</f>
        <v/>
      </c>
      <c r="L216" s="19">
        <f>L216 * AC216</f>
        <v/>
      </c>
      <c r="M216" s="24">
        <f>M216 * AC216</f>
        <v/>
      </c>
      <c r="N216" s="24">
        <f>N216 * AC216</f>
        <v/>
      </c>
      <c r="O216" s="24">
        <f>O216 * AC216</f>
        <v/>
      </c>
      <c r="P216" s="24">
        <f>P216 * AC216</f>
        <v/>
      </c>
      <c r="Q216" s="24">
        <f>Q216 * AC216</f>
        <v/>
      </c>
      <c r="R216" s="24">
        <f>R216 * AC216</f>
        <v/>
      </c>
      <c r="S216" s="24">
        <f>S216 * AC216</f>
        <v/>
      </c>
      <c r="T216" s="24">
        <f>T216 * AC216</f>
        <v/>
      </c>
      <c r="U216" s="24">
        <f>U216 * AC216</f>
        <v/>
      </c>
      <c r="V216" s="24">
        <f>V216 * AC216</f>
        <v/>
      </c>
      <c r="W216" s="24">
        <f>W216 * AC216</f>
        <v/>
      </c>
      <c r="X216" s="24">
        <f>X216 * AC216</f>
        <v/>
      </c>
      <c r="Y216" s="24">
        <f>Y216 * AC216</f>
        <v/>
      </c>
      <c r="Z216" s="15" t="n">
        <v/>
      </c>
      <c r="AA216" s="24">
        <f>AA216 * AC216</f>
        <v/>
      </c>
      <c r="AB216" s="24">
        <f>AB216 * AC216</f>
        <v/>
      </c>
      <c r="AC216" s="20" t="n"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>
        <f>I217 * AC217</f>
        <v/>
      </c>
      <c r="J217" s="21">
        <f>J217 * AC217</f>
        <v/>
      </c>
      <c r="K217" s="21">
        <f>K217 * AC217</f>
        <v/>
      </c>
      <c r="L217" s="21">
        <f>L217 * AC217</f>
        <v/>
      </c>
      <c r="M217" s="25">
        <f>M217 * AC217</f>
        <v/>
      </c>
      <c r="N217" s="25">
        <f>N217 * AC217</f>
        <v/>
      </c>
      <c r="O217" s="25">
        <f>O217 * AC217</f>
        <v/>
      </c>
      <c r="P217" s="25">
        <f>P217 * AC217</f>
        <v/>
      </c>
      <c r="Q217" s="25">
        <f>Q217 * AC217</f>
        <v/>
      </c>
      <c r="R217" s="25">
        <f>R217 * AC217</f>
        <v/>
      </c>
      <c r="S217" s="25">
        <f>S217 * AC217</f>
        <v/>
      </c>
      <c r="T217" s="25">
        <f>T217 * AC217</f>
        <v/>
      </c>
      <c r="U217" s="25">
        <f>U217 * AC217</f>
        <v/>
      </c>
      <c r="V217" s="25">
        <f>V217 * AC217</f>
        <v/>
      </c>
      <c r="W217" s="25">
        <f>W217 * AC217</f>
        <v/>
      </c>
      <c r="X217" s="25">
        <f>X217 * AC217</f>
        <v/>
      </c>
      <c r="Y217" s="25">
        <f>Y217 * AC217</f>
        <v/>
      </c>
      <c r="Z217" s="17" t="n">
        <v/>
      </c>
      <c r="AA217" s="25">
        <f>AA217 * AC217</f>
        <v/>
      </c>
      <c r="AB217" s="25">
        <f>AB217 * AC217</f>
        <v/>
      </c>
      <c r="AC217" s="22" t="n"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>
        <f>I218 * AC218</f>
        <v/>
      </c>
      <c r="J218" s="19">
        <f>J218 * AC218</f>
        <v/>
      </c>
      <c r="K218" s="19">
        <f>K218 * AC218</f>
        <v/>
      </c>
      <c r="L218" s="19">
        <f>L218 * AC218</f>
        <v/>
      </c>
      <c r="M218" s="24">
        <f>M218 * AC218</f>
        <v/>
      </c>
      <c r="N218" s="24">
        <f>N218 * AC218</f>
        <v/>
      </c>
      <c r="O218" s="24">
        <f>O218 * AC218</f>
        <v/>
      </c>
      <c r="P218" s="24">
        <f>P218 * AC218</f>
        <v/>
      </c>
      <c r="Q218" s="24">
        <f>Q218 * AC218</f>
        <v/>
      </c>
      <c r="R218" s="24">
        <f>R218 * AC218</f>
        <v/>
      </c>
      <c r="S218" s="24">
        <f>S218 * AC218</f>
        <v/>
      </c>
      <c r="T218" s="24">
        <f>T218 * AC218</f>
        <v/>
      </c>
      <c r="U218" s="24">
        <f>U218 * AC218</f>
        <v/>
      </c>
      <c r="V218" s="24">
        <f>V218 * AC218</f>
        <v/>
      </c>
      <c r="W218" s="24">
        <f>W218 * AC218</f>
        <v/>
      </c>
      <c r="X218" s="24">
        <f>X218 * AC218</f>
        <v/>
      </c>
      <c r="Y218" s="24">
        <f>Y218 * AC218</f>
        <v/>
      </c>
      <c r="Z218" s="15" t="n">
        <v/>
      </c>
      <c r="AA218" s="24">
        <f>AA218 * AC218</f>
        <v/>
      </c>
      <c r="AB218" s="24">
        <f>AB218 * AC218</f>
        <v/>
      </c>
      <c r="AC218" s="20" t="n"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>
        <f>I219 * AC219</f>
        <v/>
      </c>
      <c r="J219" s="21">
        <f>J219 * AC219</f>
        <v/>
      </c>
      <c r="K219" s="21">
        <f>K219 * AC219</f>
        <v/>
      </c>
      <c r="L219" s="21">
        <f>L219 * AC219</f>
        <v/>
      </c>
      <c r="M219" s="25">
        <f>M219 * AC219</f>
        <v/>
      </c>
      <c r="N219" s="25">
        <f>N219 * AC219</f>
        <v/>
      </c>
      <c r="O219" s="25">
        <f>O219 * AC219</f>
        <v/>
      </c>
      <c r="P219" s="25">
        <f>P219 * AC219</f>
        <v/>
      </c>
      <c r="Q219" s="25">
        <f>Q219 * AC219</f>
        <v/>
      </c>
      <c r="R219" s="25">
        <f>R219 * AC219</f>
        <v/>
      </c>
      <c r="S219" s="25">
        <f>S219 * AC219</f>
        <v/>
      </c>
      <c r="T219" s="25">
        <f>T219 * AC219</f>
        <v/>
      </c>
      <c r="U219" s="25">
        <f>U219 * AC219</f>
        <v/>
      </c>
      <c r="V219" s="25">
        <f>V219 * AC219</f>
        <v/>
      </c>
      <c r="W219" s="25">
        <f>W219 * AC219</f>
        <v/>
      </c>
      <c r="X219" s="25">
        <f>X219 * AC219</f>
        <v/>
      </c>
      <c r="Y219" s="25">
        <f>Y219 * AC219</f>
        <v/>
      </c>
      <c r="Z219" s="17" t="n">
        <v/>
      </c>
      <c r="AA219" s="25">
        <f>AA219 * AC219</f>
        <v/>
      </c>
      <c r="AB219" s="25">
        <f>AB219 * AC219</f>
        <v/>
      </c>
      <c r="AC219" s="22" t="n"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>
        <f>I220 * AC220</f>
        <v/>
      </c>
      <c r="J220" s="19">
        <f>J220 * AC220</f>
        <v/>
      </c>
      <c r="K220" s="19">
        <f>K220 * AC220</f>
        <v/>
      </c>
      <c r="L220" s="19">
        <f>L220 * AC220</f>
        <v/>
      </c>
      <c r="M220" s="24">
        <f>M220 * AC220</f>
        <v/>
      </c>
      <c r="N220" s="24">
        <f>N220 * AC220</f>
        <v/>
      </c>
      <c r="O220" s="24">
        <f>O220 * AC220</f>
        <v/>
      </c>
      <c r="P220" s="24">
        <f>P220 * AC220</f>
        <v/>
      </c>
      <c r="Q220" s="24">
        <f>Q220 * AC220</f>
        <v/>
      </c>
      <c r="R220" s="24">
        <f>R220 * AC220</f>
        <v/>
      </c>
      <c r="S220" s="24">
        <f>S220 * AC220</f>
        <v/>
      </c>
      <c r="T220" s="24">
        <f>T220 * AC220</f>
        <v/>
      </c>
      <c r="U220" s="24">
        <f>U220 * AC220</f>
        <v/>
      </c>
      <c r="V220" s="24">
        <f>V220 * AC220</f>
        <v/>
      </c>
      <c r="W220" s="24">
        <f>W220 * AC220</f>
        <v/>
      </c>
      <c r="X220" s="24">
        <f>X220 * AC220</f>
        <v/>
      </c>
      <c r="Y220" s="24">
        <f>Y220 * AC220</f>
        <v/>
      </c>
      <c r="Z220" s="15" t="n">
        <v/>
      </c>
      <c r="AA220" s="24">
        <f>AA220 * AC220</f>
        <v/>
      </c>
      <c r="AB220" s="24">
        <f>AB220 * AC220</f>
        <v/>
      </c>
      <c r="AC220" s="20" t="n"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>
        <f>I221 * AC221</f>
        <v/>
      </c>
      <c r="J221" s="21">
        <f>J221 * AC221</f>
        <v/>
      </c>
      <c r="K221" s="21">
        <f>K221 * AC221</f>
        <v/>
      </c>
      <c r="L221" s="21">
        <f>L221 * AC221</f>
        <v/>
      </c>
      <c r="M221" s="25">
        <f>M221 * AC221</f>
        <v/>
      </c>
      <c r="N221" s="25">
        <f>N221 * AC221</f>
        <v/>
      </c>
      <c r="O221" s="25">
        <f>O221 * AC221</f>
        <v/>
      </c>
      <c r="P221" s="25">
        <f>P221 * AC221</f>
        <v/>
      </c>
      <c r="Q221" s="25">
        <f>Q221 * AC221</f>
        <v/>
      </c>
      <c r="R221" s="25">
        <f>R221 * AC221</f>
        <v/>
      </c>
      <c r="S221" s="25">
        <f>S221 * AC221</f>
        <v/>
      </c>
      <c r="T221" s="25">
        <f>T221 * AC221</f>
        <v/>
      </c>
      <c r="U221" s="25">
        <f>U221 * AC221</f>
        <v/>
      </c>
      <c r="V221" s="25">
        <f>V221 * AC221</f>
        <v/>
      </c>
      <c r="W221" s="25">
        <f>W221 * AC221</f>
        <v/>
      </c>
      <c r="X221" s="25">
        <f>X221 * AC221</f>
        <v/>
      </c>
      <c r="Y221" s="25">
        <f>Y221 * AC221</f>
        <v/>
      </c>
      <c r="Z221" s="17" t="n">
        <v/>
      </c>
      <c r="AA221" s="25">
        <f>AA221 * AC221</f>
        <v/>
      </c>
      <c r="AB221" s="25">
        <f>AB221 * AC221</f>
        <v/>
      </c>
      <c r="AC221" s="22" t="n"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>
        <f>I222 * AC222</f>
        <v/>
      </c>
      <c r="J222" s="19">
        <f>J222 * AC222</f>
        <v/>
      </c>
      <c r="K222" s="19">
        <f>K222 * AC222</f>
        <v/>
      </c>
      <c r="L222" s="19">
        <f>L222 * AC222</f>
        <v/>
      </c>
      <c r="M222" s="24">
        <f>M222 * AC222</f>
        <v/>
      </c>
      <c r="N222" s="24">
        <f>N222 * AC222</f>
        <v/>
      </c>
      <c r="O222" s="24">
        <f>O222 * AC222</f>
        <v/>
      </c>
      <c r="P222" s="24">
        <f>P222 * AC222</f>
        <v/>
      </c>
      <c r="Q222" s="24">
        <f>Q222 * AC222</f>
        <v/>
      </c>
      <c r="R222" s="24">
        <f>R222 * AC222</f>
        <v/>
      </c>
      <c r="S222" s="24">
        <f>S222 * AC222</f>
        <v/>
      </c>
      <c r="T222" s="24">
        <f>T222 * AC222</f>
        <v/>
      </c>
      <c r="U222" s="24">
        <f>U222 * AC222</f>
        <v/>
      </c>
      <c r="V222" s="24">
        <f>V222 * AC222</f>
        <v/>
      </c>
      <c r="W222" s="24">
        <f>W222 * AC222</f>
        <v/>
      </c>
      <c r="X222" s="24">
        <f>X222 * AC222</f>
        <v/>
      </c>
      <c r="Y222" s="24">
        <f>Y222 * AC222</f>
        <v/>
      </c>
      <c r="Z222" s="15" t="n">
        <v/>
      </c>
      <c r="AA222" s="24">
        <f>AA222 * AC222</f>
        <v/>
      </c>
      <c r="AB222" s="24">
        <f>AB222 * AC222</f>
        <v/>
      </c>
      <c r="AC222" s="20" t="n"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>
        <f>I223 * AC223</f>
        <v/>
      </c>
      <c r="J223" s="21">
        <f>J223 * AC223</f>
        <v/>
      </c>
      <c r="K223" s="21">
        <f>K223 * AC223</f>
        <v/>
      </c>
      <c r="L223" s="21">
        <f>L223 * AC223</f>
        <v/>
      </c>
      <c r="M223" s="25">
        <f>M223 * AC223</f>
        <v/>
      </c>
      <c r="N223" s="25">
        <f>N223 * AC223</f>
        <v/>
      </c>
      <c r="O223" s="25">
        <f>O223 * AC223</f>
        <v/>
      </c>
      <c r="P223" s="25">
        <f>P223 * AC223</f>
        <v/>
      </c>
      <c r="Q223" s="25">
        <f>Q223 * AC223</f>
        <v/>
      </c>
      <c r="R223" s="25">
        <f>R223 * AC223</f>
        <v/>
      </c>
      <c r="S223" s="25">
        <f>S223 * AC223</f>
        <v/>
      </c>
      <c r="T223" s="25">
        <f>T223 * AC223</f>
        <v/>
      </c>
      <c r="U223" s="25">
        <f>U223 * AC223</f>
        <v/>
      </c>
      <c r="V223" s="25">
        <f>V223 * AC223</f>
        <v/>
      </c>
      <c r="W223" s="25">
        <f>W223 * AC223</f>
        <v/>
      </c>
      <c r="X223" s="25">
        <f>X223 * AC223</f>
        <v/>
      </c>
      <c r="Y223" s="25">
        <f>Y223 * AC223</f>
        <v/>
      </c>
      <c r="Z223" s="17" t="n">
        <v/>
      </c>
      <c r="AA223" s="25">
        <f>AA223 * AC223</f>
        <v/>
      </c>
      <c r="AB223" s="25">
        <f>AB223 * AC223</f>
        <v/>
      </c>
      <c r="AC223" s="22" t="n"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>
        <f>I224 * AC224</f>
        <v/>
      </c>
      <c r="J224" s="19">
        <f>J224 * AC224</f>
        <v/>
      </c>
      <c r="K224" s="19">
        <f>K224 * AC224</f>
        <v/>
      </c>
      <c r="L224" s="19">
        <f>L224 * AC224</f>
        <v/>
      </c>
      <c r="M224" s="24">
        <f>M224 * AC224</f>
        <v/>
      </c>
      <c r="N224" s="24">
        <f>N224 * AC224</f>
        <v/>
      </c>
      <c r="O224" s="24">
        <f>O224 * AC224</f>
        <v/>
      </c>
      <c r="P224" s="24">
        <f>P224 * AC224</f>
        <v/>
      </c>
      <c r="Q224" s="24">
        <f>Q224 * AC224</f>
        <v/>
      </c>
      <c r="R224" s="24">
        <f>R224 * AC224</f>
        <v/>
      </c>
      <c r="S224" s="24">
        <f>S224 * AC224</f>
        <v/>
      </c>
      <c r="T224" s="24">
        <f>T224 * AC224</f>
        <v/>
      </c>
      <c r="U224" s="24">
        <f>U224 * AC224</f>
        <v/>
      </c>
      <c r="V224" s="24">
        <f>V224 * AC224</f>
        <v/>
      </c>
      <c r="W224" s="24">
        <f>W224 * AC224</f>
        <v/>
      </c>
      <c r="X224" s="24">
        <f>X224 * AC224</f>
        <v/>
      </c>
      <c r="Y224" s="24">
        <f>Y224 * AC224</f>
        <v/>
      </c>
      <c r="Z224" s="15" t="n">
        <v/>
      </c>
      <c r="AA224" s="24">
        <f>AA224 * AC224</f>
        <v/>
      </c>
      <c r="AB224" s="24">
        <f>AB224 * AC224</f>
        <v/>
      </c>
      <c r="AC224" s="20" t="n"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>
        <f>I225 * AC225</f>
        <v/>
      </c>
      <c r="J225" s="21">
        <f>J225 * AC225</f>
        <v/>
      </c>
      <c r="K225" s="21">
        <f>K225 * AC225</f>
        <v/>
      </c>
      <c r="L225" s="21">
        <f>L225 * AC225</f>
        <v/>
      </c>
      <c r="M225" s="25">
        <f>M225 * AC225</f>
        <v/>
      </c>
      <c r="N225" s="25">
        <f>N225 * AC225</f>
        <v/>
      </c>
      <c r="O225" s="25">
        <f>O225 * AC225</f>
        <v/>
      </c>
      <c r="P225" s="25">
        <f>P225 * AC225</f>
        <v/>
      </c>
      <c r="Q225" s="25">
        <f>Q225 * AC225</f>
        <v/>
      </c>
      <c r="R225" s="25">
        <f>R225 * AC225</f>
        <v/>
      </c>
      <c r="S225" s="25">
        <f>S225 * AC225</f>
        <v/>
      </c>
      <c r="T225" s="25">
        <f>T225 * AC225</f>
        <v/>
      </c>
      <c r="U225" s="25">
        <f>U225 * AC225</f>
        <v/>
      </c>
      <c r="V225" s="25">
        <f>V225 * AC225</f>
        <v/>
      </c>
      <c r="W225" s="25">
        <f>W225 * AC225</f>
        <v/>
      </c>
      <c r="X225" s="25">
        <f>X225 * AC225</f>
        <v/>
      </c>
      <c r="Y225" s="25">
        <f>Y225 * AC225</f>
        <v/>
      </c>
      <c r="Z225" s="17" t="n">
        <v/>
      </c>
      <c r="AA225" s="25">
        <f>AA225 * AC225</f>
        <v/>
      </c>
      <c r="AB225" s="25">
        <f>AB225 * AC225</f>
        <v/>
      </c>
      <c r="AC225" s="22" t="n"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>
        <f>I226 * AC226</f>
        <v/>
      </c>
      <c r="J226" s="19">
        <f>J226 * AC226</f>
        <v/>
      </c>
      <c r="K226" s="19">
        <f>K226 * AC226</f>
        <v/>
      </c>
      <c r="L226" s="19">
        <f>L226 * AC226</f>
        <v/>
      </c>
      <c r="M226" s="24">
        <f>M226 * AC226</f>
        <v/>
      </c>
      <c r="N226" s="24">
        <f>N226 * AC226</f>
        <v/>
      </c>
      <c r="O226" s="24">
        <f>O226 * AC226</f>
        <v/>
      </c>
      <c r="P226" s="24">
        <f>P226 * AC226</f>
        <v/>
      </c>
      <c r="Q226" s="24">
        <f>Q226 * AC226</f>
        <v/>
      </c>
      <c r="R226" s="24">
        <f>R226 * AC226</f>
        <v/>
      </c>
      <c r="S226" s="24">
        <f>S226 * AC226</f>
        <v/>
      </c>
      <c r="T226" s="24">
        <f>T226 * AC226</f>
        <v/>
      </c>
      <c r="U226" s="24">
        <f>U226 * AC226</f>
        <v/>
      </c>
      <c r="V226" s="24">
        <f>V226 * AC226</f>
        <v/>
      </c>
      <c r="W226" s="24">
        <f>W226 * AC226</f>
        <v/>
      </c>
      <c r="X226" s="24">
        <f>X226 * AC226</f>
        <v/>
      </c>
      <c r="Y226" s="24">
        <f>Y226 * AC226</f>
        <v/>
      </c>
      <c r="Z226" s="15" t="n">
        <v/>
      </c>
      <c r="AA226" s="24">
        <f>AA226 * AC226</f>
        <v/>
      </c>
      <c r="AB226" s="24">
        <f>AB226 * AC226</f>
        <v/>
      </c>
      <c r="AC226" s="20" t="n"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>
        <f>I227 * AC227</f>
        <v/>
      </c>
      <c r="J227" s="21">
        <f>J227 * AC227</f>
        <v/>
      </c>
      <c r="K227" s="21">
        <f>K227 * AC227</f>
        <v/>
      </c>
      <c r="L227" s="21">
        <f>L227 * AC227</f>
        <v/>
      </c>
      <c r="M227" s="25">
        <f>M227 * AC227</f>
        <v/>
      </c>
      <c r="N227" s="25">
        <f>N227 * AC227</f>
        <v/>
      </c>
      <c r="O227" s="25">
        <f>O227 * AC227</f>
        <v/>
      </c>
      <c r="P227" s="25">
        <f>P227 * AC227</f>
        <v/>
      </c>
      <c r="Q227" s="25">
        <f>Q227 * AC227</f>
        <v/>
      </c>
      <c r="R227" s="25">
        <f>R227 * AC227</f>
        <v/>
      </c>
      <c r="S227" s="25">
        <f>S227 * AC227</f>
        <v/>
      </c>
      <c r="T227" s="25">
        <f>T227 * AC227</f>
        <v/>
      </c>
      <c r="U227" s="25">
        <f>U227 * AC227</f>
        <v/>
      </c>
      <c r="V227" s="25">
        <f>V227 * AC227</f>
        <v/>
      </c>
      <c r="W227" s="25">
        <f>W227 * AC227</f>
        <v/>
      </c>
      <c r="X227" s="25">
        <f>X227 * AC227</f>
        <v/>
      </c>
      <c r="Y227" s="25">
        <f>Y227 * AC227</f>
        <v/>
      </c>
      <c r="Z227" s="17" t="n">
        <v/>
      </c>
      <c r="AA227" s="25">
        <f>AA227 * AC227</f>
        <v/>
      </c>
      <c r="AB227" s="25">
        <f>AB227 * AC227</f>
        <v/>
      </c>
      <c r="AC227" s="22" t="n"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>
        <f>I228 * AC228</f>
        <v/>
      </c>
      <c r="J228" s="19">
        <f>J228 * AC228</f>
        <v/>
      </c>
      <c r="K228" s="19">
        <f>K228 * AC228</f>
        <v/>
      </c>
      <c r="L228" s="19">
        <f>L228 * AC228</f>
        <v/>
      </c>
      <c r="M228" s="24">
        <f>M228 * AC228</f>
        <v/>
      </c>
      <c r="N228" s="24">
        <f>N228 * AC228</f>
        <v/>
      </c>
      <c r="O228" s="24">
        <f>O228 * AC228</f>
        <v/>
      </c>
      <c r="P228" s="24">
        <f>P228 * AC228</f>
        <v/>
      </c>
      <c r="Q228" s="24">
        <f>Q228 * AC228</f>
        <v/>
      </c>
      <c r="R228" s="24">
        <f>R228 * AC228</f>
        <v/>
      </c>
      <c r="S228" s="24">
        <f>S228 * AC228</f>
        <v/>
      </c>
      <c r="T228" s="24">
        <f>T228 * AC228</f>
        <v/>
      </c>
      <c r="U228" s="24">
        <f>U228 * AC228</f>
        <v/>
      </c>
      <c r="V228" s="24">
        <f>V228 * AC228</f>
        <v/>
      </c>
      <c r="W228" s="24">
        <f>W228 * AC228</f>
        <v/>
      </c>
      <c r="X228" s="24">
        <f>X228 * AC228</f>
        <v/>
      </c>
      <c r="Y228" s="24">
        <f>Y228 * AC228</f>
        <v/>
      </c>
      <c r="Z228" s="15" t="n">
        <v/>
      </c>
      <c r="AA228" s="24">
        <f>AA228 * AC228</f>
        <v/>
      </c>
      <c r="AB228" s="24">
        <f>AB228 * AC228</f>
        <v/>
      </c>
      <c r="AC228" s="20" t="n"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>
        <f>I229 * AC229</f>
        <v/>
      </c>
      <c r="J229" s="21">
        <f>J229 * AC229</f>
        <v/>
      </c>
      <c r="K229" s="21">
        <f>K229 * AC229</f>
        <v/>
      </c>
      <c r="L229" s="21">
        <f>L229 * AC229</f>
        <v/>
      </c>
      <c r="M229" s="25">
        <f>M229 * AC229</f>
        <v/>
      </c>
      <c r="N229" s="25">
        <f>N229 * AC229</f>
        <v/>
      </c>
      <c r="O229" s="25">
        <f>O229 * AC229</f>
        <v/>
      </c>
      <c r="P229" s="25">
        <f>P229 * AC229</f>
        <v/>
      </c>
      <c r="Q229" s="25">
        <f>Q229 * AC229</f>
        <v/>
      </c>
      <c r="R229" s="25">
        <f>R229 * AC229</f>
        <v/>
      </c>
      <c r="S229" s="25">
        <f>S229 * AC229</f>
        <v/>
      </c>
      <c r="T229" s="25">
        <f>T229 * AC229</f>
        <v/>
      </c>
      <c r="U229" s="25">
        <f>U229 * AC229</f>
        <v/>
      </c>
      <c r="V229" s="25">
        <f>V229 * AC229</f>
        <v/>
      </c>
      <c r="W229" s="25">
        <f>W229 * AC229</f>
        <v/>
      </c>
      <c r="X229" s="25">
        <f>X229 * AC229</f>
        <v/>
      </c>
      <c r="Y229" s="25">
        <f>Y229 * AC229</f>
        <v/>
      </c>
      <c r="Z229" s="17" t="n">
        <v/>
      </c>
      <c r="AA229" s="25">
        <f>AA229 * AC229</f>
        <v/>
      </c>
      <c r="AB229" s="25">
        <f>AB229 * AC229</f>
        <v/>
      </c>
      <c r="AC229" s="22" t="n"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>
        <f>I230 * AC230</f>
        <v/>
      </c>
      <c r="J230" s="19">
        <f>J230 * AC230</f>
        <v/>
      </c>
      <c r="K230" s="19">
        <f>K230 * AC230</f>
        <v/>
      </c>
      <c r="L230" s="19">
        <f>L230 * AC230</f>
        <v/>
      </c>
      <c r="M230" s="24">
        <f>M230 * AC230</f>
        <v/>
      </c>
      <c r="N230" s="24">
        <f>N230 * AC230</f>
        <v/>
      </c>
      <c r="O230" s="24">
        <f>O230 * AC230</f>
        <v/>
      </c>
      <c r="P230" s="24">
        <f>P230 * AC230</f>
        <v/>
      </c>
      <c r="Q230" s="24">
        <f>Q230 * AC230</f>
        <v/>
      </c>
      <c r="R230" s="24">
        <f>R230 * AC230</f>
        <v/>
      </c>
      <c r="S230" s="24">
        <f>S230 * AC230</f>
        <v/>
      </c>
      <c r="T230" s="24">
        <f>T230 * AC230</f>
        <v/>
      </c>
      <c r="U230" s="24">
        <f>U230 * AC230</f>
        <v/>
      </c>
      <c r="V230" s="24">
        <f>V230 * AC230</f>
        <v/>
      </c>
      <c r="W230" s="24">
        <f>W230 * AC230</f>
        <v/>
      </c>
      <c r="X230" s="24">
        <f>X230 * AC230</f>
        <v/>
      </c>
      <c r="Y230" s="24">
        <f>Y230 * AC230</f>
        <v/>
      </c>
      <c r="Z230" s="15" t="n">
        <v/>
      </c>
      <c r="AA230" s="24">
        <f>AA230 * AC230</f>
        <v/>
      </c>
      <c r="AB230" s="24">
        <f>AB230 * AC230</f>
        <v/>
      </c>
      <c r="AC230" s="20" t="n"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>
        <f>I231 * AC231</f>
        <v/>
      </c>
      <c r="J231" s="21">
        <f>J231 * AC231</f>
        <v/>
      </c>
      <c r="K231" s="21">
        <f>K231 * AC231</f>
        <v/>
      </c>
      <c r="L231" s="21">
        <f>L231 * AC231</f>
        <v/>
      </c>
      <c r="M231" s="25">
        <f>M231 * AC231</f>
        <v/>
      </c>
      <c r="N231" s="25">
        <f>N231 * AC231</f>
        <v/>
      </c>
      <c r="O231" s="25">
        <f>O231 * AC231</f>
        <v/>
      </c>
      <c r="P231" s="25">
        <f>P231 * AC231</f>
        <v/>
      </c>
      <c r="Q231" s="25">
        <f>Q231 * AC231</f>
        <v/>
      </c>
      <c r="R231" s="25">
        <f>R231 * AC231</f>
        <v/>
      </c>
      <c r="S231" s="25">
        <f>S231 * AC231</f>
        <v/>
      </c>
      <c r="T231" s="25">
        <f>T231 * AC231</f>
        <v/>
      </c>
      <c r="U231" s="25">
        <f>U231 * AC231</f>
        <v/>
      </c>
      <c r="V231" s="25">
        <f>V231 * AC231</f>
        <v/>
      </c>
      <c r="W231" s="25">
        <f>W231 * AC231</f>
        <v/>
      </c>
      <c r="X231" s="25">
        <f>X231 * AC231</f>
        <v/>
      </c>
      <c r="Y231" s="25">
        <f>Y231 * AC231</f>
        <v/>
      </c>
      <c r="Z231" s="17" t="n">
        <v/>
      </c>
      <c r="AA231" s="25">
        <f>AA231 * AC231</f>
        <v/>
      </c>
      <c r="AB231" s="25">
        <f>AB231 * AC231</f>
        <v/>
      </c>
      <c r="AC231" s="22" t="n"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>
        <f>I232 * AC232</f>
        <v/>
      </c>
      <c r="J232" s="19">
        <f>J232 * AC232</f>
        <v/>
      </c>
      <c r="K232" s="19">
        <f>K232 * AC232</f>
        <v/>
      </c>
      <c r="L232" s="19">
        <f>L232 * AC232</f>
        <v/>
      </c>
      <c r="M232" s="24">
        <f>M232 * AC232</f>
        <v/>
      </c>
      <c r="N232" s="24">
        <f>N232 * AC232</f>
        <v/>
      </c>
      <c r="O232" s="24">
        <f>O232 * AC232</f>
        <v/>
      </c>
      <c r="P232" s="24">
        <f>P232 * AC232</f>
        <v/>
      </c>
      <c r="Q232" s="24">
        <f>Q232 * AC232</f>
        <v/>
      </c>
      <c r="R232" s="24">
        <f>R232 * AC232</f>
        <v/>
      </c>
      <c r="S232" s="24">
        <f>S232 * AC232</f>
        <v/>
      </c>
      <c r="T232" s="24">
        <f>T232 * AC232</f>
        <v/>
      </c>
      <c r="U232" s="24">
        <f>U232 * AC232</f>
        <v/>
      </c>
      <c r="V232" s="24">
        <f>V232 * AC232</f>
        <v/>
      </c>
      <c r="W232" s="24">
        <f>W232 * AC232</f>
        <v/>
      </c>
      <c r="X232" s="24">
        <f>X232 * AC232</f>
        <v/>
      </c>
      <c r="Y232" s="24">
        <f>Y232 * AC232</f>
        <v/>
      </c>
      <c r="Z232" s="15" t="n">
        <v/>
      </c>
      <c r="AA232" s="24">
        <f>AA232 * AC232</f>
        <v/>
      </c>
      <c r="AB232" s="24">
        <f>AB232 * AC232</f>
        <v/>
      </c>
      <c r="AC232" s="20" t="n"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>
        <f>I233 * AC233</f>
        <v/>
      </c>
      <c r="J233" s="21">
        <f>J233 * AC233</f>
        <v/>
      </c>
      <c r="K233" s="21">
        <f>K233 * AC233</f>
        <v/>
      </c>
      <c r="L233" s="21">
        <f>L233 * AC233</f>
        <v/>
      </c>
      <c r="M233" s="25">
        <f>M233 * AC233</f>
        <v/>
      </c>
      <c r="N233" s="25">
        <f>N233 * AC233</f>
        <v/>
      </c>
      <c r="O233" s="25">
        <f>O233 * AC233</f>
        <v/>
      </c>
      <c r="P233" s="25">
        <f>P233 * AC233</f>
        <v/>
      </c>
      <c r="Q233" s="25">
        <f>Q233 * AC233</f>
        <v/>
      </c>
      <c r="R233" s="25">
        <f>R233 * AC233</f>
        <v/>
      </c>
      <c r="S233" s="25">
        <f>S233 * AC233</f>
        <v/>
      </c>
      <c r="T233" s="25">
        <f>T233 * AC233</f>
        <v/>
      </c>
      <c r="U233" s="25">
        <f>U233 * AC233</f>
        <v/>
      </c>
      <c r="V233" s="25">
        <f>V233 * AC233</f>
        <v/>
      </c>
      <c r="W233" s="25">
        <f>W233 * AC233</f>
        <v/>
      </c>
      <c r="X233" s="25">
        <f>X233 * AC233</f>
        <v/>
      </c>
      <c r="Y233" s="25">
        <f>Y233 * AC233</f>
        <v/>
      </c>
      <c r="Z233" s="17" t="n">
        <v/>
      </c>
      <c r="AA233" s="25">
        <f>AA233 * AC233</f>
        <v/>
      </c>
      <c r="AB233" s="25">
        <f>AB233 * AC233</f>
        <v/>
      </c>
      <c r="AC233" s="22" t="n"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>
        <f>I234 * AC234</f>
        <v/>
      </c>
      <c r="J234" s="19">
        <f>J234 * AC234</f>
        <v/>
      </c>
      <c r="K234" s="19">
        <f>K234 * AC234</f>
        <v/>
      </c>
      <c r="L234" s="19">
        <f>L234 * AC234</f>
        <v/>
      </c>
      <c r="M234" s="24">
        <f>M234 * AC234</f>
        <v/>
      </c>
      <c r="N234" s="24">
        <f>N234 * AC234</f>
        <v/>
      </c>
      <c r="O234" s="24">
        <f>O234 * AC234</f>
        <v/>
      </c>
      <c r="P234" s="24">
        <f>P234 * AC234</f>
        <v/>
      </c>
      <c r="Q234" s="24">
        <f>Q234 * AC234</f>
        <v/>
      </c>
      <c r="R234" s="24">
        <f>R234 * AC234</f>
        <v/>
      </c>
      <c r="S234" s="24">
        <f>S234 * AC234</f>
        <v/>
      </c>
      <c r="T234" s="24">
        <f>T234 * AC234</f>
        <v/>
      </c>
      <c r="U234" s="24">
        <f>U234 * AC234</f>
        <v/>
      </c>
      <c r="V234" s="24">
        <f>V234 * AC234</f>
        <v/>
      </c>
      <c r="W234" s="24">
        <f>W234 * AC234</f>
        <v/>
      </c>
      <c r="X234" s="24">
        <f>X234 * AC234</f>
        <v/>
      </c>
      <c r="Y234" s="24">
        <f>Y234 * AC234</f>
        <v/>
      </c>
      <c r="Z234" s="15" t="n">
        <v/>
      </c>
      <c r="AA234" s="24">
        <f>AA234 * AC234</f>
        <v/>
      </c>
      <c r="AB234" s="24">
        <f>AB234 * AC234</f>
        <v/>
      </c>
      <c r="AC234" s="20" t="n"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>
        <f>I235 * AC235</f>
        <v/>
      </c>
      <c r="J235" s="21">
        <f>J235 * AC235</f>
        <v/>
      </c>
      <c r="K235" s="21">
        <f>K235 * AC235</f>
        <v/>
      </c>
      <c r="L235" s="21">
        <f>L235 * AC235</f>
        <v/>
      </c>
      <c r="M235" s="25">
        <f>M235 * AC235</f>
        <v/>
      </c>
      <c r="N235" s="25">
        <f>N235 * AC235</f>
        <v/>
      </c>
      <c r="O235" s="25">
        <f>O235 * AC235</f>
        <v/>
      </c>
      <c r="P235" s="25">
        <f>P235 * AC235</f>
        <v/>
      </c>
      <c r="Q235" s="25">
        <f>Q235 * AC235</f>
        <v/>
      </c>
      <c r="R235" s="25">
        <f>R235 * AC235</f>
        <v/>
      </c>
      <c r="S235" s="25">
        <f>S235 * AC235</f>
        <v/>
      </c>
      <c r="T235" s="25">
        <f>T235 * AC235</f>
        <v/>
      </c>
      <c r="U235" s="25">
        <f>U235 * AC235</f>
        <v/>
      </c>
      <c r="V235" s="25">
        <f>V235 * AC235</f>
        <v/>
      </c>
      <c r="W235" s="25">
        <f>W235 * AC235</f>
        <v/>
      </c>
      <c r="X235" s="25">
        <f>X235 * AC235</f>
        <v/>
      </c>
      <c r="Y235" s="25">
        <f>Y235 * AC235</f>
        <v/>
      </c>
      <c r="Z235" s="17" t="n">
        <v/>
      </c>
      <c r="AA235" s="25">
        <f>AA235 * AC235</f>
        <v/>
      </c>
      <c r="AB235" s="25">
        <f>AB235 * AC235</f>
        <v/>
      </c>
      <c r="AC235" s="22" t="n"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>
        <f>I236 * AC236</f>
        <v/>
      </c>
      <c r="J236" s="19">
        <f>J236 * AC236</f>
        <v/>
      </c>
      <c r="K236" s="19">
        <f>K236 * AC236</f>
        <v/>
      </c>
      <c r="L236" s="19">
        <f>L236 * AC236</f>
        <v/>
      </c>
      <c r="M236" s="24">
        <f>M236 * AC236</f>
        <v/>
      </c>
      <c r="N236" s="24">
        <f>N236 * AC236</f>
        <v/>
      </c>
      <c r="O236" s="24">
        <f>O236 * AC236</f>
        <v/>
      </c>
      <c r="P236" s="24">
        <f>P236 * AC236</f>
        <v/>
      </c>
      <c r="Q236" s="24">
        <f>Q236 * AC236</f>
        <v/>
      </c>
      <c r="R236" s="24">
        <f>R236 * AC236</f>
        <v/>
      </c>
      <c r="S236" s="24">
        <f>S236 * AC236</f>
        <v/>
      </c>
      <c r="T236" s="24">
        <f>T236 * AC236</f>
        <v/>
      </c>
      <c r="U236" s="24">
        <f>U236 * AC236</f>
        <v/>
      </c>
      <c r="V236" s="24">
        <f>V236 * AC236</f>
        <v/>
      </c>
      <c r="W236" s="24">
        <f>W236 * AC236</f>
        <v/>
      </c>
      <c r="X236" s="24">
        <f>X236 * AC236</f>
        <v/>
      </c>
      <c r="Y236" s="24">
        <f>Y236 * AC236</f>
        <v/>
      </c>
      <c r="Z236" s="15" t="n">
        <v/>
      </c>
      <c r="AA236" s="24">
        <f>AA236 * AC236</f>
        <v/>
      </c>
      <c r="AB236" s="24">
        <f>AB236 * AC236</f>
        <v/>
      </c>
      <c r="AC236" s="20" t="n"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>
        <f>I237 * AC237</f>
        <v/>
      </c>
      <c r="J237" s="21">
        <f>J237 * AC237</f>
        <v/>
      </c>
      <c r="K237" s="21">
        <f>K237 * AC237</f>
        <v/>
      </c>
      <c r="L237" s="21">
        <f>L237 * AC237</f>
        <v/>
      </c>
      <c r="M237" s="25">
        <f>M237 * AC237</f>
        <v/>
      </c>
      <c r="N237" s="25">
        <f>N237 * AC237</f>
        <v/>
      </c>
      <c r="O237" s="25">
        <f>O237 * AC237</f>
        <v/>
      </c>
      <c r="P237" s="25">
        <f>P237 * AC237</f>
        <v/>
      </c>
      <c r="Q237" s="25">
        <f>Q237 * AC237</f>
        <v/>
      </c>
      <c r="R237" s="25">
        <f>R237 * AC237</f>
        <v/>
      </c>
      <c r="S237" s="25">
        <f>S237 * AC237</f>
        <v/>
      </c>
      <c r="T237" s="25">
        <f>T237 * AC237</f>
        <v/>
      </c>
      <c r="U237" s="25">
        <f>U237 * AC237</f>
        <v/>
      </c>
      <c r="V237" s="25">
        <f>V237 * AC237</f>
        <v/>
      </c>
      <c r="W237" s="25">
        <f>W237 * AC237</f>
        <v/>
      </c>
      <c r="X237" s="25">
        <f>X237 * AC237</f>
        <v/>
      </c>
      <c r="Y237" s="25">
        <f>Y237 * AC237</f>
        <v/>
      </c>
      <c r="Z237" s="17" t="n">
        <v/>
      </c>
      <c r="AA237" s="25">
        <f>AA237 * AC237</f>
        <v/>
      </c>
      <c r="AB237" s="25">
        <f>AB237 * AC237</f>
        <v/>
      </c>
      <c r="AC237" s="22" t="n"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>
        <f>I238 * AC238</f>
        <v/>
      </c>
      <c r="J238" s="19">
        <f>J238 * AC238</f>
        <v/>
      </c>
      <c r="K238" s="19">
        <f>K238 * AC238</f>
        <v/>
      </c>
      <c r="L238" s="19">
        <f>L238 * AC238</f>
        <v/>
      </c>
      <c r="M238" s="24">
        <f>M238 * AC238</f>
        <v/>
      </c>
      <c r="N238" s="24">
        <f>N238 * AC238</f>
        <v/>
      </c>
      <c r="O238" s="24">
        <f>O238 * AC238</f>
        <v/>
      </c>
      <c r="P238" s="24">
        <f>P238 * AC238</f>
        <v/>
      </c>
      <c r="Q238" s="24">
        <f>Q238 * AC238</f>
        <v/>
      </c>
      <c r="R238" s="24">
        <f>R238 * AC238</f>
        <v/>
      </c>
      <c r="S238" s="24">
        <f>S238 * AC238</f>
        <v/>
      </c>
      <c r="T238" s="24">
        <f>T238 * AC238</f>
        <v/>
      </c>
      <c r="U238" s="24">
        <f>U238 * AC238</f>
        <v/>
      </c>
      <c r="V238" s="24">
        <f>V238 * AC238</f>
        <v/>
      </c>
      <c r="W238" s="24">
        <f>W238 * AC238</f>
        <v/>
      </c>
      <c r="X238" s="24">
        <f>X238 * AC238</f>
        <v/>
      </c>
      <c r="Y238" s="24">
        <f>Y238 * AC238</f>
        <v/>
      </c>
      <c r="Z238" s="15" t="n">
        <v/>
      </c>
      <c r="AA238" s="24">
        <f>AA238 * AC238</f>
        <v/>
      </c>
      <c r="AB238" s="24">
        <f>AB238 * AC238</f>
        <v/>
      </c>
      <c r="AC238" s="20" t="n"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>
        <f>I239 * AC239</f>
        <v/>
      </c>
      <c r="J239" s="21">
        <f>J239 * AC239</f>
        <v/>
      </c>
      <c r="K239" s="21">
        <f>K239 * AC239</f>
        <v/>
      </c>
      <c r="L239" s="21">
        <f>L239 * AC239</f>
        <v/>
      </c>
      <c r="M239" s="25">
        <f>M239 * AC239</f>
        <v/>
      </c>
      <c r="N239" s="25">
        <f>N239 * AC239</f>
        <v/>
      </c>
      <c r="O239" s="25">
        <f>O239 * AC239</f>
        <v/>
      </c>
      <c r="P239" s="25">
        <f>P239 * AC239</f>
        <v/>
      </c>
      <c r="Q239" s="25">
        <f>Q239 * AC239</f>
        <v/>
      </c>
      <c r="R239" s="25">
        <f>R239 * AC239</f>
        <v/>
      </c>
      <c r="S239" s="25">
        <f>S239 * AC239</f>
        <v/>
      </c>
      <c r="T239" s="25">
        <f>T239 * AC239</f>
        <v/>
      </c>
      <c r="U239" s="25">
        <f>U239 * AC239</f>
        <v/>
      </c>
      <c r="V239" s="25">
        <f>V239 * AC239</f>
        <v/>
      </c>
      <c r="W239" s="25">
        <f>W239 * AC239</f>
        <v/>
      </c>
      <c r="X239" s="25">
        <f>X239 * AC239</f>
        <v/>
      </c>
      <c r="Y239" s="25">
        <f>Y239 * AC239</f>
        <v/>
      </c>
      <c r="Z239" s="17" t="n">
        <v/>
      </c>
      <c r="AA239" s="25">
        <f>AA239 * AC239</f>
        <v/>
      </c>
      <c r="AB239" s="25">
        <f>AB239 * AC239</f>
        <v/>
      </c>
      <c r="AC239" s="22" t="n"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>
        <f>I240 * AC240</f>
        <v/>
      </c>
      <c r="J240" s="19">
        <f>J240 * AC240</f>
        <v/>
      </c>
      <c r="K240" s="19">
        <f>K240 * AC240</f>
        <v/>
      </c>
      <c r="L240" s="19">
        <f>L240 * AC240</f>
        <v/>
      </c>
      <c r="M240" s="24">
        <f>M240 * AC240</f>
        <v/>
      </c>
      <c r="N240" s="24">
        <f>N240 * AC240</f>
        <v/>
      </c>
      <c r="O240" s="24">
        <f>O240 * AC240</f>
        <v/>
      </c>
      <c r="P240" s="24">
        <f>P240 * AC240</f>
        <v/>
      </c>
      <c r="Q240" s="24">
        <f>Q240 * AC240</f>
        <v/>
      </c>
      <c r="R240" s="24">
        <f>R240 * AC240</f>
        <v/>
      </c>
      <c r="S240" s="24">
        <f>S240 * AC240</f>
        <v/>
      </c>
      <c r="T240" s="24">
        <f>T240 * AC240</f>
        <v/>
      </c>
      <c r="U240" s="24">
        <f>U240 * AC240</f>
        <v/>
      </c>
      <c r="V240" s="24">
        <f>V240 * AC240</f>
        <v/>
      </c>
      <c r="W240" s="24">
        <f>W240 * AC240</f>
        <v/>
      </c>
      <c r="X240" s="24">
        <f>X240 * AC240</f>
        <v/>
      </c>
      <c r="Y240" s="24">
        <f>Y240 * AC240</f>
        <v/>
      </c>
      <c r="Z240" s="15" t="n">
        <v/>
      </c>
      <c r="AA240" s="24">
        <f>AA240 * AC240</f>
        <v/>
      </c>
      <c r="AB240" s="24">
        <f>AB240 * AC240</f>
        <v/>
      </c>
      <c r="AC240" s="20" t="n"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>
        <f>I241 * AC241</f>
        <v/>
      </c>
      <c r="J241" s="21">
        <f>J241 * AC241</f>
        <v/>
      </c>
      <c r="K241" s="21">
        <f>K241 * AC241</f>
        <v/>
      </c>
      <c r="L241" s="21">
        <f>L241 * AC241</f>
        <v/>
      </c>
      <c r="M241" s="25">
        <f>M241 * AC241</f>
        <v/>
      </c>
      <c r="N241" s="25">
        <f>N241 * AC241</f>
        <v/>
      </c>
      <c r="O241" s="25">
        <f>O241 * AC241</f>
        <v/>
      </c>
      <c r="P241" s="25">
        <f>P241 * AC241</f>
        <v/>
      </c>
      <c r="Q241" s="25">
        <f>Q241 * AC241</f>
        <v/>
      </c>
      <c r="R241" s="25">
        <f>R241 * AC241</f>
        <v/>
      </c>
      <c r="S241" s="25">
        <f>S241 * AC241</f>
        <v/>
      </c>
      <c r="T241" s="25">
        <f>T241 * AC241</f>
        <v/>
      </c>
      <c r="U241" s="25">
        <f>U241 * AC241</f>
        <v/>
      </c>
      <c r="V241" s="25">
        <f>V241 * AC241</f>
        <v/>
      </c>
      <c r="W241" s="25">
        <f>W241 * AC241</f>
        <v/>
      </c>
      <c r="X241" s="25">
        <f>X241 * AC241</f>
        <v/>
      </c>
      <c r="Y241" s="25">
        <f>Y241 * AC241</f>
        <v/>
      </c>
      <c r="Z241" s="17" t="n">
        <v/>
      </c>
      <c r="AA241" s="25">
        <f>AA241 * AC241</f>
        <v/>
      </c>
      <c r="AB241" s="25">
        <f>AB241 * AC241</f>
        <v/>
      </c>
      <c r="AC241" s="22" t="n"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>
        <f>I242 * AC242</f>
        <v/>
      </c>
      <c r="J242" s="19">
        <f>J242 * AC242</f>
        <v/>
      </c>
      <c r="K242" s="19">
        <f>K242 * AC242</f>
        <v/>
      </c>
      <c r="L242" s="19">
        <f>L242 * AC242</f>
        <v/>
      </c>
      <c r="M242" s="24">
        <f>M242 * AC242</f>
        <v/>
      </c>
      <c r="N242" s="24">
        <f>N242 * AC242</f>
        <v/>
      </c>
      <c r="O242" s="24">
        <f>O242 * AC242</f>
        <v/>
      </c>
      <c r="P242" s="24">
        <f>P242 * AC242</f>
        <v/>
      </c>
      <c r="Q242" s="24">
        <f>Q242 * AC242</f>
        <v/>
      </c>
      <c r="R242" s="24">
        <f>R242 * AC242</f>
        <v/>
      </c>
      <c r="S242" s="24">
        <f>S242 * AC242</f>
        <v/>
      </c>
      <c r="T242" s="24">
        <f>T242 * AC242</f>
        <v/>
      </c>
      <c r="U242" s="24">
        <f>U242 * AC242</f>
        <v/>
      </c>
      <c r="V242" s="24">
        <f>V242 * AC242</f>
        <v/>
      </c>
      <c r="W242" s="24">
        <f>W242 * AC242</f>
        <v/>
      </c>
      <c r="X242" s="24">
        <f>X242 * AC242</f>
        <v/>
      </c>
      <c r="Y242" s="24">
        <f>Y242 * AC242</f>
        <v/>
      </c>
      <c r="Z242" s="15" t="n">
        <v/>
      </c>
      <c r="AA242" s="24">
        <f>AA242 * AC242</f>
        <v/>
      </c>
      <c r="AB242" s="24">
        <f>AB242 * AC242</f>
        <v/>
      </c>
      <c r="AC242" s="20" t="n"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>
        <f>I243 * AC243</f>
        <v/>
      </c>
      <c r="J243" s="21">
        <f>J243 * AC243</f>
        <v/>
      </c>
      <c r="K243" s="21">
        <f>K243 * AC243</f>
        <v/>
      </c>
      <c r="L243" s="21">
        <f>L243 * AC243</f>
        <v/>
      </c>
      <c r="M243" s="25">
        <f>M243 * AC243</f>
        <v/>
      </c>
      <c r="N243" s="25">
        <f>N243 * AC243</f>
        <v/>
      </c>
      <c r="O243" s="25">
        <f>O243 * AC243</f>
        <v/>
      </c>
      <c r="P243" s="25">
        <f>P243 * AC243</f>
        <v/>
      </c>
      <c r="Q243" s="25">
        <f>Q243 * AC243</f>
        <v/>
      </c>
      <c r="R243" s="25">
        <f>R243 * AC243</f>
        <v/>
      </c>
      <c r="S243" s="25">
        <f>S243 * AC243</f>
        <v/>
      </c>
      <c r="T243" s="25">
        <f>T243 * AC243</f>
        <v/>
      </c>
      <c r="U243" s="25">
        <f>U243 * AC243</f>
        <v/>
      </c>
      <c r="V243" s="25">
        <f>V243 * AC243</f>
        <v/>
      </c>
      <c r="W243" s="25">
        <f>W243 * AC243</f>
        <v/>
      </c>
      <c r="X243" s="25">
        <f>X243 * AC243</f>
        <v/>
      </c>
      <c r="Y243" s="25">
        <f>Y243 * AC243</f>
        <v/>
      </c>
      <c r="Z243" s="17" t="n">
        <v/>
      </c>
      <c r="AA243" s="25">
        <f>AA243 * AC243</f>
        <v/>
      </c>
      <c r="AB243" s="25">
        <f>AB243 * AC243</f>
        <v/>
      </c>
      <c r="AC243" s="22" t="n"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>
        <f>I244 * AC244</f>
        <v/>
      </c>
      <c r="J244" s="19">
        <f>J244 * AC244</f>
        <v/>
      </c>
      <c r="K244" s="19">
        <f>K244 * AC244</f>
        <v/>
      </c>
      <c r="L244" s="19">
        <f>L244 * AC244</f>
        <v/>
      </c>
      <c r="M244" s="24">
        <f>M244 * AC244</f>
        <v/>
      </c>
      <c r="N244" s="24">
        <f>N244 * AC244</f>
        <v/>
      </c>
      <c r="O244" s="24">
        <f>O244 * AC244</f>
        <v/>
      </c>
      <c r="P244" s="24">
        <f>P244 * AC244</f>
        <v/>
      </c>
      <c r="Q244" s="24">
        <f>Q244 * AC244</f>
        <v/>
      </c>
      <c r="R244" s="24">
        <f>R244 * AC244</f>
        <v/>
      </c>
      <c r="S244" s="24">
        <f>S244 * AC244</f>
        <v/>
      </c>
      <c r="T244" s="24">
        <f>T244 * AC244</f>
        <v/>
      </c>
      <c r="U244" s="24">
        <f>U244 * AC244</f>
        <v/>
      </c>
      <c r="V244" s="24">
        <f>V244 * AC244</f>
        <v/>
      </c>
      <c r="W244" s="24">
        <f>W244 * AC244</f>
        <v/>
      </c>
      <c r="X244" s="24">
        <f>X244 * AC244</f>
        <v/>
      </c>
      <c r="Y244" s="24">
        <f>Y244 * AC244</f>
        <v/>
      </c>
      <c r="Z244" s="15" t="n">
        <v/>
      </c>
      <c r="AA244" s="24">
        <f>AA244 * AC244</f>
        <v/>
      </c>
      <c r="AB244" s="24">
        <f>AB244 * AC244</f>
        <v/>
      </c>
      <c r="AC244" s="20" t="n"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>
        <f>I245 * AC245</f>
        <v/>
      </c>
      <c r="J245" s="21">
        <f>J245 * AC245</f>
        <v/>
      </c>
      <c r="K245" s="21">
        <f>K245 * AC245</f>
        <v/>
      </c>
      <c r="L245" s="21">
        <f>L245 * AC245</f>
        <v/>
      </c>
      <c r="M245" s="25">
        <f>M245 * AC245</f>
        <v/>
      </c>
      <c r="N245" s="25">
        <f>N245 * AC245</f>
        <v/>
      </c>
      <c r="O245" s="25">
        <f>O245 * AC245</f>
        <v/>
      </c>
      <c r="P245" s="25">
        <f>P245 * AC245</f>
        <v/>
      </c>
      <c r="Q245" s="25">
        <f>Q245 * AC245</f>
        <v/>
      </c>
      <c r="R245" s="25">
        <f>R245 * AC245</f>
        <v/>
      </c>
      <c r="S245" s="25">
        <f>S245 * AC245</f>
        <v/>
      </c>
      <c r="T245" s="25">
        <f>T245 * AC245</f>
        <v/>
      </c>
      <c r="U245" s="25">
        <f>U245 * AC245</f>
        <v/>
      </c>
      <c r="V245" s="25">
        <f>V245 * AC245</f>
        <v/>
      </c>
      <c r="W245" s="25">
        <f>W245 * AC245</f>
        <v/>
      </c>
      <c r="X245" s="25">
        <f>X245 * AC245</f>
        <v/>
      </c>
      <c r="Y245" s="25">
        <f>Y245 * AC245</f>
        <v/>
      </c>
      <c r="Z245" s="17" t="n">
        <v/>
      </c>
      <c r="AA245" s="25">
        <f>AA245 * AC245</f>
        <v/>
      </c>
      <c r="AB245" s="25">
        <f>AB245 * AC245</f>
        <v/>
      </c>
      <c r="AC245" s="22" t="n"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>
        <f>I246 * AC246</f>
        <v/>
      </c>
      <c r="J246" s="19">
        <f>J246 * AC246</f>
        <v/>
      </c>
      <c r="K246" s="19">
        <f>K246 * AC246</f>
        <v/>
      </c>
      <c r="L246" s="19">
        <f>L246 * AC246</f>
        <v/>
      </c>
      <c r="M246" s="24">
        <f>M246 * AC246</f>
        <v/>
      </c>
      <c r="N246" s="24">
        <f>N246 * AC246</f>
        <v/>
      </c>
      <c r="O246" s="24">
        <f>O246 * AC246</f>
        <v/>
      </c>
      <c r="P246" s="24">
        <f>P246 * AC246</f>
        <v/>
      </c>
      <c r="Q246" s="24">
        <f>Q246 * AC246</f>
        <v/>
      </c>
      <c r="R246" s="24">
        <f>R246 * AC246</f>
        <v/>
      </c>
      <c r="S246" s="24">
        <f>S246 * AC246</f>
        <v/>
      </c>
      <c r="T246" s="24">
        <f>T246 * AC246</f>
        <v/>
      </c>
      <c r="U246" s="24">
        <f>U246 * AC246</f>
        <v/>
      </c>
      <c r="V246" s="24">
        <f>V246 * AC246</f>
        <v/>
      </c>
      <c r="W246" s="24">
        <f>W246 * AC246</f>
        <v/>
      </c>
      <c r="X246" s="24">
        <f>X246 * AC246</f>
        <v/>
      </c>
      <c r="Y246" s="24">
        <f>Y246 * AC246</f>
        <v/>
      </c>
      <c r="Z246" s="15" t="n">
        <v/>
      </c>
      <c r="AA246" s="24">
        <f>AA246 * AC246</f>
        <v/>
      </c>
      <c r="AB246" s="24">
        <f>AB246 * AC246</f>
        <v/>
      </c>
      <c r="AC246" s="20" t="n"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>
        <f>I247 * AC247</f>
        <v/>
      </c>
      <c r="J247" s="21">
        <f>J247 * AC247</f>
        <v/>
      </c>
      <c r="K247" s="21">
        <f>K247 * AC247</f>
        <v/>
      </c>
      <c r="L247" s="21">
        <f>L247 * AC247</f>
        <v/>
      </c>
      <c r="M247" s="25">
        <f>M247 * AC247</f>
        <v/>
      </c>
      <c r="N247" s="25">
        <f>N247 * AC247</f>
        <v/>
      </c>
      <c r="O247" s="25">
        <f>O247 * AC247</f>
        <v/>
      </c>
      <c r="P247" s="25">
        <f>P247 * AC247</f>
        <v/>
      </c>
      <c r="Q247" s="25">
        <f>Q247 * AC247</f>
        <v/>
      </c>
      <c r="R247" s="25">
        <f>R247 * AC247</f>
        <v/>
      </c>
      <c r="S247" s="25">
        <f>S247 * AC247</f>
        <v/>
      </c>
      <c r="T247" s="25">
        <f>T247 * AC247</f>
        <v/>
      </c>
      <c r="U247" s="25">
        <f>U247 * AC247</f>
        <v/>
      </c>
      <c r="V247" s="25">
        <f>V247 * AC247</f>
        <v/>
      </c>
      <c r="W247" s="25">
        <f>W247 * AC247</f>
        <v/>
      </c>
      <c r="X247" s="25">
        <f>X247 * AC247</f>
        <v/>
      </c>
      <c r="Y247" s="25">
        <f>Y247 * AC247</f>
        <v/>
      </c>
      <c r="Z247" s="17" t="n">
        <v/>
      </c>
      <c r="AA247" s="25">
        <f>AA247 * AC247</f>
        <v/>
      </c>
      <c r="AB247" s="25">
        <f>AB247 * AC247</f>
        <v/>
      </c>
      <c r="AC247" s="22" t="n"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>
        <f>I248 * AC248</f>
        <v/>
      </c>
      <c r="J248" s="19">
        <f>J248 * AC248</f>
        <v/>
      </c>
      <c r="K248" s="19">
        <f>K248 * AC248</f>
        <v/>
      </c>
      <c r="L248" s="19">
        <f>L248 * AC248</f>
        <v/>
      </c>
      <c r="M248" s="24">
        <f>M248 * AC248</f>
        <v/>
      </c>
      <c r="N248" s="24">
        <f>N248 * AC248</f>
        <v/>
      </c>
      <c r="O248" s="24">
        <f>O248 * AC248</f>
        <v/>
      </c>
      <c r="P248" s="24">
        <f>P248 * AC248</f>
        <v/>
      </c>
      <c r="Q248" s="24">
        <f>Q248 * AC248</f>
        <v/>
      </c>
      <c r="R248" s="24">
        <f>R248 * AC248</f>
        <v/>
      </c>
      <c r="S248" s="24">
        <f>S248 * AC248</f>
        <v/>
      </c>
      <c r="T248" s="24">
        <f>T248 * AC248</f>
        <v/>
      </c>
      <c r="U248" s="24">
        <f>U248 * AC248</f>
        <v/>
      </c>
      <c r="V248" s="24">
        <f>V248 * AC248</f>
        <v/>
      </c>
      <c r="W248" s="24">
        <f>W248 * AC248</f>
        <v/>
      </c>
      <c r="X248" s="24">
        <f>X248 * AC248</f>
        <v/>
      </c>
      <c r="Y248" s="24">
        <f>Y248 * AC248</f>
        <v/>
      </c>
      <c r="Z248" s="15" t="n">
        <v/>
      </c>
      <c r="AA248" s="24">
        <f>AA248 * AC248</f>
        <v/>
      </c>
      <c r="AB248" s="24">
        <f>AB248 * AC248</f>
        <v/>
      </c>
      <c r="AC248" s="20" t="n"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>
        <f>I249 * AC249</f>
        <v/>
      </c>
      <c r="J249" s="21">
        <f>J249 * AC249</f>
        <v/>
      </c>
      <c r="K249" s="21">
        <f>K249 * AC249</f>
        <v/>
      </c>
      <c r="L249" s="21">
        <f>L249 * AC249</f>
        <v/>
      </c>
      <c r="M249" s="25">
        <f>M249 * AC249</f>
        <v/>
      </c>
      <c r="N249" s="25">
        <f>N249 * AC249</f>
        <v/>
      </c>
      <c r="O249" s="25">
        <f>O249 * AC249</f>
        <v/>
      </c>
      <c r="P249" s="25">
        <f>P249 * AC249</f>
        <v/>
      </c>
      <c r="Q249" s="25">
        <f>Q249 * AC249</f>
        <v/>
      </c>
      <c r="R249" s="25">
        <f>R249 * AC249</f>
        <v/>
      </c>
      <c r="S249" s="25">
        <f>S249 * AC249</f>
        <v/>
      </c>
      <c r="T249" s="25">
        <f>T249 * AC249</f>
        <v/>
      </c>
      <c r="U249" s="25">
        <f>U249 * AC249</f>
        <v/>
      </c>
      <c r="V249" s="25">
        <f>V249 * AC249</f>
        <v/>
      </c>
      <c r="W249" s="25">
        <f>W249 * AC249</f>
        <v/>
      </c>
      <c r="X249" s="25">
        <f>X249 * AC249</f>
        <v/>
      </c>
      <c r="Y249" s="25">
        <f>Y249 * AC249</f>
        <v/>
      </c>
      <c r="Z249" s="17" t="n">
        <v/>
      </c>
      <c r="AA249" s="25">
        <f>AA249 * AC249</f>
        <v/>
      </c>
      <c r="AB249" s="25">
        <f>AB249 * AC249</f>
        <v/>
      </c>
      <c r="AC249" s="22" t="n"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>
        <f>I250 * AC250</f>
        <v/>
      </c>
      <c r="J250" s="19">
        <f>J250 * AC250</f>
        <v/>
      </c>
      <c r="K250" s="19">
        <f>K250 * AC250</f>
        <v/>
      </c>
      <c r="L250" s="19">
        <f>L250 * AC250</f>
        <v/>
      </c>
      <c r="M250" s="24">
        <f>M250 * AC250</f>
        <v/>
      </c>
      <c r="N250" s="24">
        <f>N250 * AC250</f>
        <v/>
      </c>
      <c r="O250" s="24">
        <f>O250 * AC250</f>
        <v/>
      </c>
      <c r="P250" s="24">
        <f>P250 * AC250</f>
        <v/>
      </c>
      <c r="Q250" s="24">
        <f>Q250 * AC250</f>
        <v/>
      </c>
      <c r="R250" s="24">
        <f>R250 * AC250</f>
        <v/>
      </c>
      <c r="S250" s="24">
        <f>S250 * AC250</f>
        <v/>
      </c>
      <c r="T250" s="24">
        <f>T250 * AC250</f>
        <v/>
      </c>
      <c r="U250" s="24">
        <f>U250 * AC250</f>
        <v/>
      </c>
      <c r="V250" s="24">
        <f>V250 * AC250</f>
        <v/>
      </c>
      <c r="W250" s="24">
        <f>W250 * AC250</f>
        <v/>
      </c>
      <c r="X250" s="24">
        <f>X250 * AC250</f>
        <v/>
      </c>
      <c r="Y250" s="24">
        <f>Y250 * AC250</f>
        <v/>
      </c>
      <c r="Z250" s="15" t="n">
        <v/>
      </c>
      <c r="AA250" s="24">
        <f>AA250 * AC250</f>
        <v/>
      </c>
      <c r="AB250" s="24">
        <f>AB250 * AC250</f>
        <v/>
      </c>
      <c r="AC250" s="20" t="n"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>
        <f>I251 * AC251</f>
        <v/>
      </c>
      <c r="J251" s="21">
        <f>J251 * AC251</f>
        <v/>
      </c>
      <c r="K251" s="21">
        <f>K251 * AC251</f>
        <v/>
      </c>
      <c r="L251" s="21">
        <f>L251 * AC251</f>
        <v/>
      </c>
      <c r="M251" s="25">
        <f>M251 * AC251</f>
        <v/>
      </c>
      <c r="N251" s="25">
        <f>N251 * AC251</f>
        <v/>
      </c>
      <c r="O251" s="25">
        <f>O251 * AC251</f>
        <v/>
      </c>
      <c r="P251" s="25">
        <f>P251 * AC251</f>
        <v/>
      </c>
      <c r="Q251" s="25">
        <f>Q251 * AC251</f>
        <v/>
      </c>
      <c r="R251" s="25">
        <f>R251 * AC251</f>
        <v/>
      </c>
      <c r="S251" s="25">
        <f>S251 * AC251</f>
        <v/>
      </c>
      <c r="T251" s="25">
        <f>T251 * AC251</f>
        <v/>
      </c>
      <c r="U251" s="25">
        <f>U251 * AC251</f>
        <v/>
      </c>
      <c r="V251" s="25">
        <f>V251 * AC251</f>
        <v/>
      </c>
      <c r="W251" s="25">
        <f>W251 * AC251</f>
        <v/>
      </c>
      <c r="X251" s="25">
        <f>X251 * AC251</f>
        <v/>
      </c>
      <c r="Y251" s="25">
        <f>Y251 * AC251</f>
        <v/>
      </c>
      <c r="Z251" s="17" t="n">
        <v/>
      </c>
      <c r="AA251" s="25">
        <f>AA251 * AC251</f>
        <v/>
      </c>
      <c r="AB251" s="25">
        <f>AB251 * AC251</f>
        <v/>
      </c>
      <c r="AC251" s="22" t="n"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>
        <f>I252 * AC252</f>
        <v/>
      </c>
      <c r="J252" s="19">
        <f>J252 * AC252</f>
        <v/>
      </c>
      <c r="K252" s="19">
        <f>K252 * AC252</f>
        <v/>
      </c>
      <c r="L252" s="19">
        <f>L252 * AC252</f>
        <v/>
      </c>
      <c r="M252" s="24">
        <f>M252 * AC252</f>
        <v/>
      </c>
      <c r="N252" s="24">
        <f>N252 * AC252</f>
        <v/>
      </c>
      <c r="O252" s="24">
        <f>O252 * AC252</f>
        <v/>
      </c>
      <c r="P252" s="24">
        <f>P252 * AC252</f>
        <v/>
      </c>
      <c r="Q252" s="24">
        <f>Q252 * AC252</f>
        <v/>
      </c>
      <c r="R252" s="24">
        <f>R252 * AC252</f>
        <v/>
      </c>
      <c r="S252" s="24">
        <f>S252 * AC252</f>
        <v/>
      </c>
      <c r="T252" s="24">
        <f>T252 * AC252</f>
        <v/>
      </c>
      <c r="U252" s="24">
        <f>U252 * AC252</f>
        <v/>
      </c>
      <c r="V252" s="24">
        <f>V252 * AC252</f>
        <v/>
      </c>
      <c r="W252" s="24">
        <f>W252 * AC252</f>
        <v/>
      </c>
      <c r="X252" s="24">
        <f>X252 * AC252</f>
        <v/>
      </c>
      <c r="Y252" s="24">
        <f>Y252 * AC252</f>
        <v/>
      </c>
      <c r="Z252" s="15" t="n">
        <v/>
      </c>
      <c r="AA252" s="24">
        <f>AA252 * AC252</f>
        <v/>
      </c>
      <c r="AB252" s="24">
        <f>AB252 * AC252</f>
        <v/>
      </c>
      <c r="AC252" s="20" t="n"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>
        <f>I253 * AC253</f>
        <v/>
      </c>
      <c r="J253" s="21">
        <f>J253 * AC253</f>
        <v/>
      </c>
      <c r="K253" s="21">
        <f>K253 * AC253</f>
        <v/>
      </c>
      <c r="L253" s="21">
        <f>L253 * AC253</f>
        <v/>
      </c>
      <c r="M253" s="25">
        <f>M253 * AC253</f>
        <v/>
      </c>
      <c r="N253" s="25">
        <f>N253 * AC253</f>
        <v/>
      </c>
      <c r="O253" s="25">
        <f>O253 * AC253</f>
        <v/>
      </c>
      <c r="P253" s="25">
        <f>P253 * AC253</f>
        <v/>
      </c>
      <c r="Q253" s="25">
        <f>Q253 * AC253</f>
        <v/>
      </c>
      <c r="R253" s="25">
        <f>R253 * AC253</f>
        <v/>
      </c>
      <c r="S253" s="25">
        <f>S253 * AC253</f>
        <v/>
      </c>
      <c r="T253" s="25">
        <f>T253 * AC253</f>
        <v/>
      </c>
      <c r="U253" s="25">
        <f>U253 * AC253</f>
        <v/>
      </c>
      <c r="V253" s="25">
        <f>V253 * AC253</f>
        <v/>
      </c>
      <c r="W253" s="25">
        <f>W253 * AC253</f>
        <v/>
      </c>
      <c r="X253" s="25">
        <f>X253 * AC253</f>
        <v/>
      </c>
      <c r="Y253" s="25">
        <f>Y253 * AC253</f>
        <v/>
      </c>
      <c r="Z253" s="17" t="n">
        <v/>
      </c>
      <c r="AA253" s="25">
        <f>AA253 * AC253</f>
        <v/>
      </c>
      <c r="AB253" s="25">
        <f>AB253 * AC253</f>
        <v/>
      </c>
      <c r="AC253" s="22" t="n"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>
        <f>I254 * AC254</f>
        <v/>
      </c>
      <c r="J254" s="19">
        <f>J254 * AC254</f>
        <v/>
      </c>
      <c r="K254" s="19">
        <f>K254 * AC254</f>
        <v/>
      </c>
      <c r="L254" s="19">
        <f>L254 * AC254</f>
        <v/>
      </c>
      <c r="M254" s="24">
        <f>M254 * AC254</f>
        <v/>
      </c>
      <c r="N254" s="24">
        <f>N254 * AC254</f>
        <v/>
      </c>
      <c r="O254" s="24">
        <f>O254 * AC254</f>
        <v/>
      </c>
      <c r="P254" s="24">
        <f>P254 * AC254</f>
        <v/>
      </c>
      <c r="Q254" s="24">
        <f>Q254 * AC254</f>
        <v/>
      </c>
      <c r="R254" s="24">
        <f>R254 * AC254</f>
        <v/>
      </c>
      <c r="S254" s="24">
        <f>S254 * AC254</f>
        <v/>
      </c>
      <c r="T254" s="24">
        <f>T254 * AC254</f>
        <v/>
      </c>
      <c r="U254" s="24">
        <f>U254 * AC254</f>
        <v/>
      </c>
      <c r="V254" s="24">
        <f>V254 * AC254</f>
        <v/>
      </c>
      <c r="W254" s="24">
        <f>W254 * AC254</f>
        <v/>
      </c>
      <c r="X254" s="24">
        <f>X254 * AC254</f>
        <v/>
      </c>
      <c r="Y254" s="24">
        <f>Y254 * AC254</f>
        <v/>
      </c>
      <c r="Z254" s="15" t="n">
        <v/>
      </c>
      <c r="AA254" s="24">
        <f>AA254 * AC254</f>
        <v/>
      </c>
      <c r="AB254" s="24">
        <f>AB254 * AC254</f>
        <v/>
      </c>
      <c r="AC254" s="20" t="n"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>
        <f>I255 * AC255</f>
        <v/>
      </c>
      <c r="J255" s="21">
        <f>J255 * AC255</f>
        <v/>
      </c>
      <c r="K255" s="21">
        <f>K255 * AC255</f>
        <v/>
      </c>
      <c r="L255" s="21">
        <f>L255 * AC255</f>
        <v/>
      </c>
      <c r="M255" s="25">
        <f>M255 * AC255</f>
        <v/>
      </c>
      <c r="N255" s="25">
        <f>N255 * AC255</f>
        <v/>
      </c>
      <c r="O255" s="25">
        <f>O255 * AC255</f>
        <v/>
      </c>
      <c r="P255" s="25">
        <f>P255 * AC255</f>
        <v/>
      </c>
      <c r="Q255" s="25">
        <f>Q255 * AC255</f>
        <v/>
      </c>
      <c r="R255" s="25">
        <f>R255 * AC255</f>
        <v/>
      </c>
      <c r="S255" s="25">
        <f>S255 * AC255</f>
        <v/>
      </c>
      <c r="T255" s="25">
        <f>T255 * AC255</f>
        <v/>
      </c>
      <c r="U255" s="25">
        <f>U255 * AC255</f>
        <v/>
      </c>
      <c r="V255" s="25">
        <f>V255 * AC255</f>
        <v/>
      </c>
      <c r="W255" s="25">
        <f>W255 * AC255</f>
        <v/>
      </c>
      <c r="X255" s="25">
        <f>X255 * AC255</f>
        <v/>
      </c>
      <c r="Y255" s="25">
        <f>Y255 * AC255</f>
        <v/>
      </c>
      <c r="Z255" s="17" t="n">
        <v/>
      </c>
      <c r="AA255" s="25">
        <f>AA255 * AC255</f>
        <v/>
      </c>
      <c r="AB255" s="25">
        <f>AB255 * AC255</f>
        <v/>
      </c>
      <c r="AC255" s="22" t="n"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>
        <f>I256 * AC256</f>
        <v/>
      </c>
      <c r="J256" s="19">
        <f>J256 * AC256</f>
        <v/>
      </c>
      <c r="K256" s="19">
        <f>K256 * AC256</f>
        <v/>
      </c>
      <c r="L256" s="19">
        <f>L256 * AC256</f>
        <v/>
      </c>
      <c r="M256" s="24">
        <f>M256 * AC256</f>
        <v/>
      </c>
      <c r="N256" s="24">
        <f>N256 * AC256</f>
        <v/>
      </c>
      <c r="O256" s="24">
        <f>O256 * AC256</f>
        <v/>
      </c>
      <c r="P256" s="24">
        <f>P256 * AC256</f>
        <v/>
      </c>
      <c r="Q256" s="24">
        <f>Q256 * AC256</f>
        <v/>
      </c>
      <c r="R256" s="24">
        <f>R256 * AC256</f>
        <v/>
      </c>
      <c r="S256" s="24">
        <f>S256 * AC256</f>
        <v/>
      </c>
      <c r="T256" s="24">
        <f>T256 * AC256</f>
        <v/>
      </c>
      <c r="U256" s="24">
        <f>U256 * AC256</f>
        <v/>
      </c>
      <c r="V256" s="24">
        <f>V256 * AC256</f>
        <v/>
      </c>
      <c r="W256" s="24">
        <f>W256 * AC256</f>
        <v/>
      </c>
      <c r="X256" s="24">
        <f>X256 * AC256</f>
        <v/>
      </c>
      <c r="Y256" s="24">
        <f>Y256 * AC256</f>
        <v/>
      </c>
      <c r="Z256" s="15" t="n">
        <v/>
      </c>
      <c r="AA256" s="24">
        <f>AA256 * AC256</f>
        <v/>
      </c>
      <c r="AB256" s="24">
        <f>AB256 * AC256</f>
        <v/>
      </c>
      <c r="AC256" s="20" t="n"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>
        <f>I257 * AC257</f>
        <v/>
      </c>
      <c r="J257" s="21">
        <f>J257 * AC257</f>
        <v/>
      </c>
      <c r="K257" s="21">
        <f>K257 * AC257</f>
        <v/>
      </c>
      <c r="L257" s="21">
        <f>L257 * AC257</f>
        <v/>
      </c>
      <c r="M257" s="25">
        <f>M257 * AC257</f>
        <v/>
      </c>
      <c r="N257" s="25">
        <f>N257 * AC257</f>
        <v/>
      </c>
      <c r="O257" s="25">
        <f>O257 * AC257</f>
        <v/>
      </c>
      <c r="P257" s="25">
        <f>P257 * AC257</f>
        <v/>
      </c>
      <c r="Q257" s="25">
        <f>Q257 * AC257</f>
        <v/>
      </c>
      <c r="R257" s="25">
        <f>R257 * AC257</f>
        <v/>
      </c>
      <c r="S257" s="25">
        <f>S257 * AC257</f>
        <v/>
      </c>
      <c r="T257" s="25">
        <f>T257 * AC257</f>
        <v/>
      </c>
      <c r="U257" s="25">
        <f>U257 * AC257</f>
        <v/>
      </c>
      <c r="V257" s="25">
        <f>V257 * AC257</f>
        <v/>
      </c>
      <c r="W257" s="25">
        <f>W257 * AC257</f>
        <v/>
      </c>
      <c r="X257" s="25">
        <f>X257 * AC257</f>
        <v/>
      </c>
      <c r="Y257" s="25">
        <f>Y257 * AC257</f>
        <v/>
      </c>
      <c r="Z257" s="17" t="n">
        <v/>
      </c>
      <c r="AA257" s="25">
        <f>AA257 * AC257</f>
        <v/>
      </c>
      <c r="AB257" s="25">
        <f>AB257 * AC257</f>
        <v/>
      </c>
      <c r="AC257" s="22" t="n"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>
        <f>I258 * AC258</f>
        <v/>
      </c>
      <c r="J258" s="19">
        <f>J258 * AC258</f>
        <v/>
      </c>
      <c r="K258" s="19">
        <f>K258 * AC258</f>
        <v/>
      </c>
      <c r="L258" s="19">
        <f>L258 * AC258</f>
        <v/>
      </c>
      <c r="M258" s="24">
        <f>M258 * AC258</f>
        <v/>
      </c>
      <c r="N258" s="24">
        <f>N258 * AC258</f>
        <v/>
      </c>
      <c r="O258" s="24">
        <f>O258 * AC258</f>
        <v/>
      </c>
      <c r="P258" s="24">
        <f>P258 * AC258</f>
        <v/>
      </c>
      <c r="Q258" s="24">
        <f>Q258 * AC258</f>
        <v/>
      </c>
      <c r="R258" s="24">
        <f>R258 * AC258</f>
        <v/>
      </c>
      <c r="S258" s="24">
        <f>S258 * AC258</f>
        <v/>
      </c>
      <c r="T258" s="24">
        <f>T258 * AC258</f>
        <v/>
      </c>
      <c r="U258" s="24">
        <f>U258 * AC258</f>
        <v/>
      </c>
      <c r="V258" s="24">
        <f>V258 * AC258</f>
        <v/>
      </c>
      <c r="W258" s="24">
        <f>W258 * AC258</f>
        <v/>
      </c>
      <c r="X258" s="24">
        <f>X258 * AC258</f>
        <v/>
      </c>
      <c r="Y258" s="24">
        <f>Y258 * AC258</f>
        <v/>
      </c>
      <c r="Z258" s="15" t="n">
        <v/>
      </c>
      <c r="AA258" s="24">
        <f>AA258 * AC258</f>
        <v/>
      </c>
      <c r="AB258" s="24">
        <f>AB258 * AC258</f>
        <v/>
      </c>
      <c r="AC258" s="20" t="n"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>
        <f>I259 * AC259</f>
        <v/>
      </c>
      <c r="J259" s="21">
        <f>J259 * AC259</f>
        <v/>
      </c>
      <c r="K259" s="21">
        <f>K259 * AC259</f>
        <v/>
      </c>
      <c r="L259" s="21">
        <f>L259 * AC259</f>
        <v/>
      </c>
      <c r="M259" s="25">
        <f>M259 * AC259</f>
        <v/>
      </c>
      <c r="N259" s="25">
        <f>N259 * AC259</f>
        <v/>
      </c>
      <c r="O259" s="25">
        <f>O259 * AC259</f>
        <v/>
      </c>
      <c r="P259" s="25">
        <f>P259 * AC259</f>
        <v/>
      </c>
      <c r="Q259" s="25">
        <f>Q259 * AC259</f>
        <v/>
      </c>
      <c r="R259" s="25">
        <f>R259 * AC259</f>
        <v/>
      </c>
      <c r="S259" s="25">
        <f>S259 * AC259</f>
        <v/>
      </c>
      <c r="T259" s="25">
        <f>T259 * AC259</f>
        <v/>
      </c>
      <c r="U259" s="25">
        <f>U259 * AC259</f>
        <v/>
      </c>
      <c r="V259" s="25">
        <f>V259 * AC259</f>
        <v/>
      </c>
      <c r="W259" s="25">
        <f>W259 * AC259</f>
        <v/>
      </c>
      <c r="X259" s="25">
        <f>X259 * AC259</f>
        <v/>
      </c>
      <c r="Y259" s="25">
        <f>Y259 * AC259</f>
        <v/>
      </c>
      <c r="Z259" s="17" t="n">
        <v/>
      </c>
      <c r="AA259" s="25">
        <f>AA259 * AC259</f>
        <v/>
      </c>
      <c r="AB259" s="25">
        <f>AB259 * AC259</f>
        <v/>
      </c>
      <c r="AC259" s="22" t="n"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>
        <f>I260 * AC260</f>
        <v/>
      </c>
      <c r="J260" s="19">
        <f>J260 * AC260</f>
        <v/>
      </c>
      <c r="K260" s="19">
        <f>K260 * AC260</f>
        <v/>
      </c>
      <c r="L260" s="19">
        <f>L260 * AC260</f>
        <v/>
      </c>
      <c r="M260" s="24">
        <f>M260 * AC260</f>
        <v/>
      </c>
      <c r="N260" s="24">
        <f>N260 * AC260</f>
        <v/>
      </c>
      <c r="O260" s="24">
        <f>O260 * AC260</f>
        <v/>
      </c>
      <c r="P260" s="24">
        <f>P260 * AC260</f>
        <v/>
      </c>
      <c r="Q260" s="24">
        <f>Q260 * AC260</f>
        <v/>
      </c>
      <c r="R260" s="24">
        <f>R260 * AC260</f>
        <v/>
      </c>
      <c r="S260" s="24">
        <f>S260 * AC260</f>
        <v/>
      </c>
      <c r="T260" s="24">
        <f>T260 * AC260</f>
        <v/>
      </c>
      <c r="U260" s="24">
        <f>U260 * AC260</f>
        <v/>
      </c>
      <c r="V260" s="24">
        <f>V260 * AC260</f>
        <v/>
      </c>
      <c r="W260" s="24">
        <f>W260 * AC260</f>
        <v/>
      </c>
      <c r="X260" s="24">
        <f>X260 * AC260</f>
        <v/>
      </c>
      <c r="Y260" s="24">
        <f>Y260 * AC260</f>
        <v/>
      </c>
      <c r="Z260" s="15" t="n">
        <v/>
      </c>
      <c r="AA260" s="24">
        <f>AA260 * AC260</f>
        <v/>
      </c>
      <c r="AB260" s="24">
        <f>AB260 * AC260</f>
        <v/>
      </c>
      <c r="AC260" s="20" t="n"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>
        <f>I261 * AC261</f>
        <v/>
      </c>
      <c r="J261" s="21">
        <f>J261 * AC261</f>
        <v/>
      </c>
      <c r="K261" s="21">
        <f>K261 * AC261</f>
        <v/>
      </c>
      <c r="L261" s="21">
        <f>L261 * AC261</f>
        <v/>
      </c>
      <c r="M261" s="25">
        <f>M261 * AC261</f>
        <v/>
      </c>
      <c r="N261" s="25">
        <f>N261 * AC261</f>
        <v/>
      </c>
      <c r="O261" s="25">
        <f>O261 * AC261</f>
        <v/>
      </c>
      <c r="P261" s="25">
        <f>P261 * AC261</f>
        <v/>
      </c>
      <c r="Q261" s="25">
        <f>Q261 * AC261</f>
        <v/>
      </c>
      <c r="R261" s="25">
        <f>R261 * AC261</f>
        <v/>
      </c>
      <c r="S261" s="25">
        <f>S261 * AC261</f>
        <v/>
      </c>
      <c r="T261" s="25">
        <f>T261 * AC261</f>
        <v/>
      </c>
      <c r="U261" s="25">
        <f>U261 * AC261</f>
        <v/>
      </c>
      <c r="V261" s="25">
        <f>V261 * AC261</f>
        <v/>
      </c>
      <c r="W261" s="25">
        <f>W261 * AC261</f>
        <v/>
      </c>
      <c r="X261" s="25">
        <f>X261 * AC261</f>
        <v/>
      </c>
      <c r="Y261" s="25">
        <f>Y261 * AC261</f>
        <v/>
      </c>
      <c r="Z261" s="17" t="n">
        <v/>
      </c>
      <c r="AA261" s="25">
        <f>AA261 * AC261</f>
        <v/>
      </c>
      <c r="AB261" s="25">
        <f>AB261 * AC261</f>
        <v/>
      </c>
      <c r="AC261" s="22" t="n"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>
        <f>I262 * AC262</f>
        <v/>
      </c>
      <c r="J262" s="19">
        <f>J262 * AC262</f>
        <v/>
      </c>
      <c r="K262" s="19">
        <f>K262 * AC262</f>
        <v/>
      </c>
      <c r="L262" s="19">
        <f>L262 * AC262</f>
        <v/>
      </c>
      <c r="M262" s="24">
        <f>M262 * AC262</f>
        <v/>
      </c>
      <c r="N262" s="24">
        <f>N262 * AC262</f>
        <v/>
      </c>
      <c r="O262" s="24">
        <f>O262 * AC262</f>
        <v/>
      </c>
      <c r="P262" s="24">
        <f>P262 * AC262</f>
        <v/>
      </c>
      <c r="Q262" s="24">
        <f>Q262 * AC262</f>
        <v/>
      </c>
      <c r="R262" s="24">
        <f>R262 * AC262</f>
        <v/>
      </c>
      <c r="S262" s="24">
        <f>S262 * AC262</f>
        <v/>
      </c>
      <c r="T262" s="24">
        <f>T262 * AC262</f>
        <v/>
      </c>
      <c r="U262" s="24">
        <f>U262 * AC262</f>
        <v/>
      </c>
      <c r="V262" s="24">
        <f>V262 * AC262</f>
        <v/>
      </c>
      <c r="W262" s="24">
        <f>W262 * AC262</f>
        <v/>
      </c>
      <c r="X262" s="24">
        <f>X262 * AC262</f>
        <v/>
      </c>
      <c r="Y262" s="24">
        <f>Y262 * AC262</f>
        <v/>
      </c>
      <c r="Z262" s="15" t="n">
        <v/>
      </c>
      <c r="AA262" s="24">
        <f>AA262 * AC262</f>
        <v/>
      </c>
      <c r="AB262" s="24">
        <f>AB262 * AC262</f>
        <v/>
      </c>
      <c r="AC262" s="20" t="n"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>
        <f>I263 * AC263</f>
        <v/>
      </c>
      <c r="J263" s="21">
        <f>J263 * AC263</f>
        <v/>
      </c>
      <c r="K263" s="21">
        <f>K263 * AC263</f>
        <v/>
      </c>
      <c r="L263" s="21">
        <f>L263 * AC263</f>
        <v/>
      </c>
      <c r="M263" s="25">
        <f>M263 * AC263</f>
        <v/>
      </c>
      <c r="N263" s="25">
        <f>N263 * AC263</f>
        <v/>
      </c>
      <c r="O263" s="25">
        <f>O263 * AC263</f>
        <v/>
      </c>
      <c r="P263" s="25">
        <f>P263 * AC263</f>
        <v/>
      </c>
      <c r="Q263" s="25">
        <f>Q263 * AC263</f>
        <v/>
      </c>
      <c r="R263" s="25">
        <f>R263 * AC263</f>
        <v/>
      </c>
      <c r="S263" s="25">
        <f>S263 * AC263</f>
        <v/>
      </c>
      <c r="T263" s="25">
        <f>T263 * AC263</f>
        <v/>
      </c>
      <c r="U263" s="25">
        <f>U263 * AC263</f>
        <v/>
      </c>
      <c r="V263" s="25">
        <f>V263 * AC263</f>
        <v/>
      </c>
      <c r="W263" s="25">
        <f>W263 * AC263</f>
        <v/>
      </c>
      <c r="X263" s="25">
        <f>X263 * AC263</f>
        <v/>
      </c>
      <c r="Y263" s="25">
        <f>Y263 * AC263</f>
        <v/>
      </c>
      <c r="Z263" s="17" t="n">
        <v/>
      </c>
      <c r="AA263" s="25">
        <f>AA263 * AC263</f>
        <v/>
      </c>
      <c r="AB263" s="25">
        <f>AB263 * AC263</f>
        <v/>
      </c>
      <c r="AC263" s="22" t="n"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>
        <f>I264 * AC264</f>
        <v/>
      </c>
      <c r="J264" s="19">
        <f>J264 * AC264</f>
        <v/>
      </c>
      <c r="K264" s="19">
        <f>K264 * AC264</f>
        <v/>
      </c>
      <c r="L264" s="19">
        <f>L264 * AC264</f>
        <v/>
      </c>
      <c r="M264" s="24">
        <f>M264 * AC264</f>
        <v/>
      </c>
      <c r="N264" s="24">
        <f>N264 * AC264</f>
        <v/>
      </c>
      <c r="O264" s="24">
        <f>O264 * AC264</f>
        <v/>
      </c>
      <c r="P264" s="24">
        <f>P264 * AC264</f>
        <v/>
      </c>
      <c r="Q264" s="24">
        <f>Q264 * AC264</f>
        <v/>
      </c>
      <c r="R264" s="24">
        <f>R264 * AC264</f>
        <v/>
      </c>
      <c r="S264" s="24">
        <f>S264 * AC264</f>
        <v/>
      </c>
      <c r="T264" s="24">
        <f>T264 * AC264</f>
        <v/>
      </c>
      <c r="U264" s="24">
        <f>U264 * AC264</f>
        <v/>
      </c>
      <c r="V264" s="24">
        <f>V264 * AC264</f>
        <v/>
      </c>
      <c r="W264" s="24">
        <f>W264 * AC264</f>
        <v/>
      </c>
      <c r="X264" s="24">
        <f>X264 * AC264</f>
        <v/>
      </c>
      <c r="Y264" s="24">
        <f>Y264 * AC264</f>
        <v/>
      </c>
      <c r="Z264" s="15" t="n">
        <v/>
      </c>
      <c r="AA264" s="24">
        <f>AA264 * AC264</f>
        <v/>
      </c>
      <c r="AB264" s="24">
        <f>AB264 * AC264</f>
        <v/>
      </c>
      <c r="AC264" s="20" t="n"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>
        <f>I265 * AC265</f>
        <v/>
      </c>
      <c r="J265" s="21">
        <f>J265 * AC265</f>
        <v/>
      </c>
      <c r="K265" s="21">
        <f>K265 * AC265</f>
        <v/>
      </c>
      <c r="L265" s="21">
        <f>L265 * AC265</f>
        <v/>
      </c>
      <c r="M265" s="25">
        <f>M265 * AC265</f>
        <v/>
      </c>
      <c r="N265" s="25">
        <f>N265 * AC265</f>
        <v/>
      </c>
      <c r="O265" s="25">
        <f>O265 * AC265</f>
        <v/>
      </c>
      <c r="P265" s="25">
        <f>P265 * AC265</f>
        <v/>
      </c>
      <c r="Q265" s="25">
        <f>Q265 * AC265</f>
        <v/>
      </c>
      <c r="R265" s="25">
        <f>R265 * AC265</f>
        <v/>
      </c>
      <c r="S265" s="25">
        <f>S265 * AC265</f>
        <v/>
      </c>
      <c r="T265" s="25">
        <f>T265 * AC265</f>
        <v/>
      </c>
      <c r="U265" s="25">
        <f>U265 * AC265</f>
        <v/>
      </c>
      <c r="V265" s="25">
        <f>V265 * AC265</f>
        <v/>
      </c>
      <c r="W265" s="25">
        <f>W265 * AC265</f>
        <v/>
      </c>
      <c r="X265" s="25">
        <f>X265 * AC265</f>
        <v/>
      </c>
      <c r="Y265" s="25">
        <f>Y265 * AC265</f>
        <v/>
      </c>
      <c r="Z265" s="17" t="n">
        <v/>
      </c>
      <c r="AA265" s="25">
        <f>AA265 * AC265</f>
        <v/>
      </c>
      <c r="AB265" s="25">
        <f>AB265 * AC265</f>
        <v/>
      </c>
      <c r="AC265" s="22" t="n"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>
        <f>I266 * AC266</f>
        <v/>
      </c>
      <c r="J266" s="19">
        <f>J266 * AC266</f>
        <v/>
      </c>
      <c r="K266" s="19">
        <f>K266 * AC266</f>
        <v/>
      </c>
      <c r="L266" s="19">
        <f>L266 * AC266</f>
        <v/>
      </c>
      <c r="M266" s="24">
        <f>M266 * AC266</f>
        <v/>
      </c>
      <c r="N266" s="24">
        <f>N266 * AC266</f>
        <v/>
      </c>
      <c r="O266" s="24">
        <f>O266 * AC266</f>
        <v/>
      </c>
      <c r="P266" s="24">
        <f>P266 * AC266</f>
        <v/>
      </c>
      <c r="Q266" s="24">
        <f>Q266 * AC266</f>
        <v/>
      </c>
      <c r="R266" s="24">
        <f>R266 * AC266</f>
        <v/>
      </c>
      <c r="S266" s="24">
        <f>S266 * AC266</f>
        <v/>
      </c>
      <c r="T266" s="24">
        <f>T266 * AC266</f>
        <v/>
      </c>
      <c r="U266" s="24">
        <f>U266 * AC266</f>
        <v/>
      </c>
      <c r="V266" s="24">
        <f>V266 * AC266</f>
        <v/>
      </c>
      <c r="W266" s="24">
        <f>W266 * AC266</f>
        <v/>
      </c>
      <c r="X266" s="24">
        <f>X266 * AC266</f>
        <v/>
      </c>
      <c r="Y266" s="24">
        <f>Y266 * AC266</f>
        <v/>
      </c>
      <c r="Z266" s="15" t="n">
        <v/>
      </c>
      <c r="AA266" s="24">
        <f>AA266 * AC266</f>
        <v/>
      </c>
      <c r="AB266" s="24">
        <f>AB266 * AC266</f>
        <v/>
      </c>
      <c r="AC266" s="20" t="n"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>
        <f>I267 * AC267</f>
        <v/>
      </c>
      <c r="J267" s="21">
        <f>J267 * AC267</f>
        <v/>
      </c>
      <c r="K267" s="21">
        <f>K267 * AC267</f>
        <v/>
      </c>
      <c r="L267" s="21">
        <f>L267 * AC267</f>
        <v/>
      </c>
      <c r="M267" s="25">
        <f>M267 * AC267</f>
        <v/>
      </c>
      <c r="N267" s="25">
        <f>N267 * AC267</f>
        <v/>
      </c>
      <c r="O267" s="25">
        <f>O267 * AC267</f>
        <v/>
      </c>
      <c r="P267" s="25">
        <f>P267 * AC267</f>
        <v/>
      </c>
      <c r="Q267" s="25">
        <f>Q267 * AC267</f>
        <v/>
      </c>
      <c r="R267" s="25">
        <f>R267 * AC267</f>
        <v/>
      </c>
      <c r="S267" s="25">
        <f>S267 * AC267</f>
        <v/>
      </c>
      <c r="T267" s="25">
        <f>T267 * AC267</f>
        <v/>
      </c>
      <c r="U267" s="25">
        <f>U267 * AC267</f>
        <v/>
      </c>
      <c r="V267" s="25">
        <f>V267 * AC267</f>
        <v/>
      </c>
      <c r="W267" s="25">
        <f>W267 * AC267</f>
        <v/>
      </c>
      <c r="X267" s="25">
        <f>X267 * AC267</f>
        <v/>
      </c>
      <c r="Y267" s="25">
        <f>Y267 * AC267</f>
        <v/>
      </c>
      <c r="Z267" s="17" t="n">
        <v/>
      </c>
      <c r="AA267" s="25">
        <f>AA267 * AC267</f>
        <v/>
      </c>
      <c r="AB267" s="25">
        <f>AB267 * AC267</f>
        <v/>
      </c>
      <c r="AC267" s="22" t="n"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>
        <f>I268 * AC268</f>
        <v/>
      </c>
      <c r="J268" s="19">
        <f>J268 * AC268</f>
        <v/>
      </c>
      <c r="K268" s="19">
        <f>K268 * AC268</f>
        <v/>
      </c>
      <c r="L268" s="19">
        <f>L268 * AC268</f>
        <v/>
      </c>
      <c r="M268" s="24">
        <f>M268 * AC268</f>
        <v/>
      </c>
      <c r="N268" s="24">
        <f>N268 * AC268</f>
        <v/>
      </c>
      <c r="O268" s="24">
        <f>O268 * AC268</f>
        <v/>
      </c>
      <c r="P268" s="24">
        <f>P268 * AC268</f>
        <v/>
      </c>
      <c r="Q268" s="24">
        <f>Q268 * AC268</f>
        <v/>
      </c>
      <c r="R268" s="24">
        <f>R268 * AC268</f>
        <v/>
      </c>
      <c r="S268" s="24">
        <f>S268 * AC268</f>
        <v/>
      </c>
      <c r="T268" s="24">
        <f>T268 * AC268</f>
        <v/>
      </c>
      <c r="U268" s="24">
        <f>U268 * AC268</f>
        <v/>
      </c>
      <c r="V268" s="24">
        <f>V268 * AC268</f>
        <v/>
      </c>
      <c r="W268" s="24">
        <f>W268 * AC268</f>
        <v/>
      </c>
      <c r="X268" s="24">
        <f>X268 * AC268</f>
        <v/>
      </c>
      <c r="Y268" s="24">
        <f>Y268 * AC268</f>
        <v/>
      </c>
      <c r="Z268" s="15" t="n">
        <v/>
      </c>
      <c r="AA268" s="24">
        <f>AA268 * AC268</f>
        <v/>
      </c>
      <c r="AB268" s="24">
        <f>AB268 * AC268</f>
        <v/>
      </c>
      <c r="AC268" s="20" t="n"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>
        <f>I269 * AC269</f>
        <v/>
      </c>
      <c r="J269" s="21">
        <f>J269 * AC269</f>
        <v/>
      </c>
      <c r="K269" s="21">
        <f>K269 * AC269</f>
        <v/>
      </c>
      <c r="L269" s="21">
        <f>L269 * AC269</f>
        <v/>
      </c>
      <c r="M269" s="25">
        <f>M269 * AC269</f>
        <v/>
      </c>
      <c r="N269" s="25">
        <f>N269 * AC269</f>
        <v/>
      </c>
      <c r="O269" s="25">
        <f>O269 * AC269</f>
        <v/>
      </c>
      <c r="P269" s="25">
        <f>P269 * AC269</f>
        <v/>
      </c>
      <c r="Q269" s="25">
        <f>Q269 * AC269</f>
        <v/>
      </c>
      <c r="R269" s="25">
        <f>R269 * AC269</f>
        <v/>
      </c>
      <c r="S269" s="25">
        <f>S269 * AC269</f>
        <v/>
      </c>
      <c r="T269" s="25">
        <f>T269 * AC269</f>
        <v/>
      </c>
      <c r="U269" s="25">
        <f>U269 * AC269</f>
        <v/>
      </c>
      <c r="V269" s="25">
        <f>V269 * AC269</f>
        <v/>
      </c>
      <c r="W269" s="25">
        <f>W269 * AC269</f>
        <v/>
      </c>
      <c r="X269" s="25">
        <f>X269 * AC269</f>
        <v/>
      </c>
      <c r="Y269" s="25">
        <f>Y269 * AC269</f>
        <v/>
      </c>
      <c r="Z269" s="17" t="n">
        <v/>
      </c>
      <c r="AA269" s="25">
        <f>AA269 * AC269</f>
        <v/>
      </c>
      <c r="AB269" s="25">
        <f>AB269 * AC269</f>
        <v/>
      </c>
      <c r="AC269" s="22" t="n"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>
        <f>I270 * AC270</f>
        <v/>
      </c>
      <c r="J270" s="19">
        <f>J270 * AC270</f>
        <v/>
      </c>
      <c r="K270" s="19">
        <f>K270 * AC270</f>
        <v/>
      </c>
      <c r="L270" s="19">
        <f>L270 * AC270</f>
        <v/>
      </c>
      <c r="M270" s="24">
        <f>M270 * AC270</f>
        <v/>
      </c>
      <c r="N270" s="24">
        <f>N270 * AC270</f>
        <v/>
      </c>
      <c r="O270" s="24">
        <f>O270 * AC270</f>
        <v/>
      </c>
      <c r="P270" s="24">
        <f>P270 * AC270</f>
        <v/>
      </c>
      <c r="Q270" s="24">
        <f>Q270 * AC270</f>
        <v/>
      </c>
      <c r="R270" s="24">
        <f>R270 * AC270</f>
        <v/>
      </c>
      <c r="S270" s="24">
        <f>S270 * AC270</f>
        <v/>
      </c>
      <c r="T270" s="24">
        <f>T270 * AC270</f>
        <v/>
      </c>
      <c r="U270" s="24">
        <f>U270 * AC270</f>
        <v/>
      </c>
      <c r="V270" s="24">
        <f>V270 * AC270</f>
        <v/>
      </c>
      <c r="W270" s="24">
        <f>W270 * AC270</f>
        <v/>
      </c>
      <c r="X270" s="24">
        <f>X270 * AC270</f>
        <v/>
      </c>
      <c r="Y270" s="24">
        <f>Y270 * AC270</f>
        <v/>
      </c>
      <c r="Z270" s="15" t="n">
        <v/>
      </c>
      <c r="AA270" s="24">
        <f>AA270 * AC270</f>
        <v/>
      </c>
      <c r="AB270" s="24">
        <f>AB270 * AC270</f>
        <v/>
      </c>
      <c r="AC270" s="20" t="n"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>
        <f>I271 * AC271</f>
        <v/>
      </c>
      <c r="J271" s="21">
        <f>J271 * AC271</f>
        <v/>
      </c>
      <c r="K271" s="21">
        <f>K271 * AC271</f>
        <v/>
      </c>
      <c r="L271" s="21">
        <f>L271 * AC271</f>
        <v/>
      </c>
      <c r="M271" s="25">
        <f>M271 * AC271</f>
        <v/>
      </c>
      <c r="N271" s="25">
        <f>N271 * AC271</f>
        <v/>
      </c>
      <c r="O271" s="25">
        <f>O271 * AC271</f>
        <v/>
      </c>
      <c r="P271" s="25">
        <f>P271 * AC271</f>
        <v/>
      </c>
      <c r="Q271" s="25">
        <f>Q271 * AC271</f>
        <v/>
      </c>
      <c r="R271" s="25">
        <f>R271 * AC271</f>
        <v/>
      </c>
      <c r="S271" s="25">
        <f>S271 * AC271</f>
        <v/>
      </c>
      <c r="T271" s="25">
        <f>T271 * AC271</f>
        <v/>
      </c>
      <c r="U271" s="25">
        <f>U271 * AC271</f>
        <v/>
      </c>
      <c r="V271" s="25">
        <f>V271 * AC271</f>
        <v/>
      </c>
      <c r="W271" s="25">
        <f>W271 * AC271</f>
        <v/>
      </c>
      <c r="X271" s="25">
        <f>X271 * AC271</f>
        <v/>
      </c>
      <c r="Y271" s="25">
        <f>Y271 * AC271</f>
        <v/>
      </c>
      <c r="Z271" s="17" t="n">
        <v/>
      </c>
      <c r="AA271" s="25">
        <f>AA271 * AC271</f>
        <v/>
      </c>
      <c r="AB271" s="25">
        <f>AB271 * AC271</f>
        <v/>
      </c>
      <c r="AC271" s="22" t="n"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>
        <f>I272 * AC272</f>
        <v/>
      </c>
      <c r="J272" s="19">
        <f>J272 * AC272</f>
        <v/>
      </c>
      <c r="K272" s="19">
        <f>K272 * AC272</f>
        <v/>
      </c>
      <c r="L272" s="19">
        <f>L272 * AC272</f>
        <v/>
      </c>
      <c r="M272" s="24">
        <f>M272 * AC272</f>
        <v/>
      </c>
      <c r="N272" s="24">
        <f>N272 * AC272</f>
        <v/>
      </c>
      <c r="O272" s="24">
        <f>O272 * AC272</f>
        <v/>
      </c>
      <c r="P272" s="24">
        <f>P272 * AC272</f>
        <v/>
      </c>
      <c r="Q272" s="24">
        <f>Q272 * AC272</f>
        <v/>
      </c>
      <c r="R272" s="24">
        <f>R272 * AC272</f>
        <v/>
      </c>
      <c r="S272" s="24">
        <f>S272 * AC272</f>
        <v/>
      </c>
      <c r="T272" s="24">
        <f>T272 * AC272</f>
        <v/>
      </c>
      <c r="U272" s="24">
        <f>U272 * AC272</f>
        <v/>
      </c>
      <c r="V272" s="24">
        <f>V272 * AC272</f>
        <v/>
      </c>
      <c r="W272" s="24">
        <f>W272 * AC272</f>
        <v/>
      </c>
      <c r="X272" s="24">
        <f>X272 * AC272</f>
        <v/>
      </c>
      <c r="Y272" s="24">
        <f>Y272 * AC272</f>
        <v/>
      </c>
      <c r="Z272" s="15" t="n">
        <v/>
      </c>
      <c r="AA272" s="24">
        <f>AA272 * AC272</f>
        <v/>
      </c>
      <c r="AB272" s="24">
        <f>AB272 * AC272</f>
        <v/>
      </c>
      <c r="AC272" s="20" t="n"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>
        <f>I273 * AC273</f>
        <v/>
      </c>
      <c r="J273" s="21">
        <f>J273 * AC273</f>
        <v/>
      </c>
      <c r="K273" s="21">
        <f>K273 * AC273</f>
        <v/>
      </c>
      <c r="L273" s="21">
        <f>L273 * AC273</f>
        <v/>
      </c>
      <c r="M273" s="25">
        <f>M273 * AC273</f>
        <v/>
      </c>
      <c r="N273" s="25">
        <f>N273 * AC273</f>
        <v/>
      </c>
      <c r="O273" s="25">
        <f>O273 * AC273</f>
        <v/>
      </c>
      <c r="P273" s="25">
        <f>P273 * AC273</f>
        <v/>
      </c>
      <c r="Q273" s="25">
        <f>Q273 * AC273</f>
        <v/>
      </c>
      <c r="R273" s="25">
        <f>R273 * AC273</f>
        <v/>
      </c>
      <c r="S273" s="25">
        <f>S273 * AC273</f>
        <v/>
      </c>
      <c r="T273" s="25">
        <f>T273 * AC273</f>
        <v/>
      </c>
      <c r="U273" s="25">
        <f>U273 * AC273</f>
        <v/>
      </c>
      <c r="V273" s="25">
        <f>V273 * AC273</f>
        <v/>
      </c>
      <c r="W273" s="25">
        <f>W273 * AC273</f>
        <v/>
      </c>
      <c r="X273" s="25">
        <f>X273 * AC273</f>
        <v/>
      </c>
      <c r="Y273" s="25">
        <f>Y273 * AC273</f>
        <v/>
      </c>
      <c r="Z273" s="17" t="n">
        <v/>
      </c>
      <c r="AA273" s="25">
        <f>AA273 * AC273</f>
        <v/>
      </c>
      <c r="AB273" s="25">
        <f>AB273 * AC273</f>
        <v/>
      </c>
      <c r="AC273" s="22" t="n"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>
        <f>I274 * AC274</f>
        <v/>
      </c>
      <c r="J274" s="19">
        <f>J274 * AC274</f>
        <v/>
      </c>
      <c r="K274" s="19">
        <f>K274 * AC274</f>
        <v/>
      </c>
      <c r="L274" s="19">
        <f>L274 * AC274</f>
        <v/>
      </c>
      <c r="M274" s="24">
        <f>M274 * AC274</f>
        <v/>
      </c>
      <c r="N274" s="24">
        <f>N274 * AC274</f>
        <v/>
      </c>
      <c r="O274" s="24">
        <f>O274 * AC274</f>
        <v/>
      </c>
      <c r="P274" s="24">
        <f>P274 * AC274</f>
        <v/>
      </c>
      <c r="Q274" s="24">
        <f>Q274 * AC274</f>
        <v/>
      </c>
      <c r="R274" s="24">
        <f>R274 * AC274</f>
        <v/>
      </c>
      <c r="S274" s="24">
        <f>S274 * AC274</f>
        <v/>
      </c>
      <c r="T274" s="24">
        <f>T274 * AC274</f>
        <v/>
      </c>
      <c r="U274" s="24">
        <f>U274 * AC274</f>
        <v/>
      </c>
      <c r="V274" s="24">
        <f>V274 * AC274</f>
        <v/>
      </c>
      <c r="W274" s="24">
        <f>W274 * AC274</f>
        <v/>
      </c>
      <c r="X274" s="24">
        <f>X274 * AC274</f>
        <v/>
      </c>
      <c r="Y274" s="24">
        <f>Y274 * AC274</f>
        <v/>
      </c>
      <c r="Z274" s="15" t="n">
        <v/>
      </c>
      <c r="AA274" s="24">
        <f>AA274 * AC274</f>
        <v/>
      </c>
      <c r="AB274" s="24">
        <f>AB274 * AC274</f>
        <v/>
      </c>
      <c r="AC274" s="20" t="n"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>
        <f>I275 * AC275</f>
        <v/>
      </c>
      <c r="J275" s="21">
        <f>J275 * AC275</f>
        <v/>
      </c>
      <c r="K275" s="21">
        <f>K275 * AC275</f>
        <v/>
      </c>
      <c r="L275" s="21">
        <f>L275 * AC275</f>
        <v/>
      </c>
      <c r="M275" s="25">
        <f>M275 * AC275</f>
        <v/>
      </c>
      <c r="N275" s="25">
        <f>N275 * AC275</f>
        <v/>
      </c>
      <c r="O275" s="25">
        <f>O275 * AC275</f>
        <v/>
      </c>
      <c r="P275" s="25">
        <f>P275 * AC275</f>
        <v/>
      </c>
      <c r="Q275" s="25">
        <f>Q275 * AC275</f>
        <v/>
      </c>
      <c r="R275" s="25">
        <f>R275 * AC275</f>
        <v/>
      </c>
      <c r="S275" s="25">
        <f>S275 * AC275</f>
        <v/>
      </c>
      <c r="T275" s="25">
        <f>T275 * AC275</f>
        <v/>
      </c>
      <c r="U275" s="25">
        <f>U275 * AC275</f>
        <v/>
      </c>
      <c r="V275" s="25">
        <f>V275 * AC275</f>
        <v/>
      </c>
      <c r="W275" s="25">
        <f>W275 * AC275</f>
        <v/>
      </c>
      <c r="X275" s="25">
        <f>X275 * AC275</f>
        <v/>
      </c>
      <c r="Y275" s="25">
        <f>Y275 * AC275</f>
        <v/>
      </c>
      <c r="Z275" s="17" t="n">
        <v/>
      </c>
      <c r="AA275" s="25">
        <f>AA275 * AC275</f>
        <v/>
      </c>
      <c r="AB275" s="25">
        <f>AB275 * AC275</f>
        <v/>
      </c>
      <c r="AC275" s="22" t="n"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>
        <f>I276 * AC276</f>
        <v/>
      </c>
      <c r="J276" s="19">
        <f>J276 * AC276</f>
        <v/>
      </c>
      <c r="K276" s="19">
        <f>K276 * AC276</f>
        <v/>
      </c>
      <c r="L276" s="19">
        <f>L276 * AC276</f>
        <v/>
      </c>
      <c r="M276" s="24">
        <f>M276 * AC276</f>
        <v/>
      </c>
      <c r="N276" s="24">
        <f>N276 * AC276</f>
        <v/>
      </c>
      <c r="O276" s="24">
        <f>O276 * AC276</f>
        <v/>
      </c>
      <c r="P276" s="24">
        <f>P276 * AC276</f>
        <v/>
      </c>
      <c r="Q276" s="24">
        <f>Q276 * AC276</f>
        <v/>
      </c>
      <c r="R276" s="24">
        <f>R276 * AC276</f>
        <v/>
      </c>
      <c r="S276" s="24">
        <f>S276 * AC276</f>
        <v/>
      </c>
      <c r="T276" s="24">
        <f>T276 * AC276</f>
        <v/>
      </c>
      <c r="U276" s="24">
        <f>U276 * AC276</f>
        <v/>
      </c>
      <c r="V276" s="24">
        <f>V276 * AC276</f>
        <v/>
      </c>
      <c r="W276" s="24">
        <f>W276 * AC276</f>
        <v/>
      </c>
      <c r="X276" s="24">
        <f>X276 * AC276</f>
        <v/>
      </c>
      <c r="Y276" s="24">
        <f>Y276 * AC276</f>
        <v/>
      </c>
      <c r="Z276" s="15" t="n">
        <v/>
      </c>
      <c r="AA276" s="24">
        <f>AA276 * AC276</f>
        <v/>
      </c>
      <c r="AB276" s="24">
        <f>AB276 * AC276</f>
        <v/>
      </c>
      <c r="AC276" s="20" t="n"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>
        <f>I277 * AC277</f>
        <v/>
      </c>
      <c r="J277" s="21">
        <f>J277 * AC277</f>
        <v/>
      </c>
      <c r="K277" s="21">
        <f>K277 * AC277</f>
        <v/>
      </c>
      <c r="L277" s="21">
        <f>L277 * AC277</f>
        <v/>
      </c>
      <c r="M277" s="25">
        <f>M277 * AC277</f>
        <v/>
      </c>
      <c r="N277" s="25">
        <f>N277 * AC277</f>
        <v/>
      </c>
      <c r="O277" s="25">
        <f>O277 * AC277</f>
        <v/>
      </c>
      <c r="P277" s="25">
        <f>P277 * AC277</f>
        <v/>
      </c>
      <c r="Q277" s="25">
        <f>Q277 * AC277</f>
        <v/>
      </c>
      <c r="R277" s="25">
        <f>R277 * AC277</f>
        <v/>
      </c>
      <c r="S277" s="25">
        <f>S277 * AC277</f>
        <v/>
      </c>
      <c r="T277" s="25">
        <f>T277 * AC277</f>
        <v/>
      </c>
      <c r="U277" s="25">
        <f>U277 * AC277</f>
        <v/>
      </c>
      <c r="V277" s="25">
        <f>V277 * AC277</f>
        <v/>
      </c>
      <c r="W277" s="25">
        <f>W277 * AC277</f>
        <v/>
      </c>
      <c r="X277" s="25">
        <f>X277 * AC277</f>
        <v/>
      </c>
      <c r="Y277" s="25">
        <f>Y277 * AC277</f>
        <v/>
      </c>
      <c r="Z277" s="17" t="n">
        <v/>
      </c>
      <c r="AA277" s="25">
        <f>AA277 * AC277</f>
        <v/>
      </c>
      <c r="AB277" s="25">
        <f>AB277 * AC277</f>
        <v/>
      </c>
      <c r="AC277" s="22" t="n"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>
        <f>I278 * AC278</f>
        <v/>
      </c>
      <c r="J278" s="19">
        <f>J278 * AC278</f>
        <v/>
      </c>
      <c r="K278" s="19">
        <f>K278 * AC278</f>
        <v/>
      </c>
      <c r="L278" s="19">
        <f>L278 * AC278</f>
        <v/>
      </c>
      <c r="M278" s="24">
        <f>M278 * AC278</f>
        <v/>
      </c>
      <c r="N278" s="24">
        <f>N278 * AC278</f>
        <v/>
      </c>
      <c r="O278" s="24">
        <f>O278 * AC278</f>
        <v/>
      </c>
      <c r="P278" s="24">
        <f>P278 * AC278</f>
        <v/>
      </c>
      <c r="Q278" s="24">
        <f>Q278 * AC278</f>
        <v/>
      </c>
      <c r="R278" s="24">
        <f>R278 * AC278</f>
        <v/>
      </c>
      <c r="S278" s="24">
        <f>S278 * AC278</f>
        <v/>
      </c>
      <c r="T278" s="24">
        <f>T278 * AC278</f>
        <v/>
      </c>
      <c r="U278" s="24">
        <f>U278 * AC278</f>
        <v/>
      </c>
      <c r="V278" s="24">
        <f>V278 * AC278</f>
        <v/>
      </c>
      <c r="W278" s="24">
        <f>W278 * AC278</f>
        <v/>
      </c>
      <c r="X278" s="24">
        <f>X278 * AC278</f>
        <v/>
      </c>
      <c r="Y278" s="24">
        <f>Y278 * AC278</f>
        <v/>
      </c>
      <c r="Z278" s="15" t="n">
        <v/>
      </c>
      <c r="AA278" s="24">
        <f>AA278 * AC278</f>
        <v/>
      </c>
      <c r="AB278" s="24">
        <f>AB278 * AC278</f>
        <v/>
      </c>
      <c r="AC278" s="20" t="n"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>
        <f>I279 * AC279</f>
        <v/>
      </c>
      <c r="J279" s="21">
        <f>J279 * AC279</f>
        <v/>
      </c>
      <c r="K279" s="21">
        <f>K279 * AC279</f>
        <v/>
      </c>
      <c r="L279" s="21">
        <f>L279 * AC279</f>
        <v/>
      </c>
      <c r="M279" s="25">
        <f>M279 * AC279</f>
        <v/>
      </c>
      <c r="N279" s="25">
        <f>N279 * AC279</f>
        <v/>
      </c>
      <c r="O279" s="25">
        <f>O279 * AC279</f>
        <v/>
      </c>
      <c r="P279" s="25">
        <f>P279 * AC279</f>
        <v/>
      </c>
      <c r="Q279" s="25">
        <f>Q279 * AC279</f>
        <v/>
      </c>
      <c r="R279" s="25">
        <f>R279 * AC279</f>
        <v/>
      </c>
      <c r="S279" s="25">
        <f>S279 * AC279</f>
        <v/>
      </c>
      <c r="T279" s="25">
        <f>T279 * AC279</f>
        <v/>
      </c>
      <c r="U279" s="25">
        <f>U279 * AC279</f>
        <v/>
      </c>
      <c r="V279" s="25">
        <f>V279 * AC279</f>
        <v/>
      </c>
      <c r="W279" s="25">
        <f>W279 * AC279</f>
        <v/>
      </c>
      <c r="X279" s="25">
        <f>X279 * AC279</f>
        <v/>
      </c>
      <c r="Y279" s="25">
        <f>Y279 * AC279</f>
        <v/>
      </c>
      <c r="Z279" s="17" t="n">
        <v/>
      </c>
      <c r="AA279" s="25">
        <f>AA279 * AC279</f>
        <v/>
      </c>
      <c r="AB279" s="25">
        <f>AB279 * AC279</f>
        <v/>
      </c>
      <c r="AC279" s="22" t="n"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>
        <f>I280 * AC280</f>
        <v/>
      </c>
      <c r="J280" s="19">
        <f>J280 * AC280</f>
        <v/>
      </c>
      <c r="K280" s="19">
        <f>K280 * AC280</f>
        <v/>
      </c>
      <c r="L280" s="19">
        <f>L280 * AC280</f>
        <v/>
      </c>
      <c r="M280" s="24">
        <f>M280 * AC280</f>
        <v/>
      </c>
      <c r="N280" s="24">
        <f>N280 * AC280</f>
        <v/>
      </c>
      <c r="O280" s="24">
        <f>O280 * AC280</f>
        <v/>
      </c>
      <c r="P280" s="24">
        <f>P280 * AC280</f>
        <v/>
      </c>
      <c r="Q280" s="24">
        <f>Q280 * AC280</f>
        <v/>
      </c>
      <c r="R280" s="24">
        <f>R280 * AC280</f>
        <v/>
      </c>
      <c r="S280" s="24">
        <f>S280 * AC280</f>
        <v/>
      </c>
      <c r="T280" s="24">
        <f>T280 * AC280</f>
        <v/>
      </c>
      <c r="U280" s="24">
        <f>U280 * AC280</f>
        <v/>
      </c>
      <c r="V280" s="24">
        <f>V280 * AC280</f>
        <v/>
      </c>
      <c r="W280" s="24">
        <f>W280 * AC280</f>
        <v/>
      </c>
      <c r="X280" s="24">
        <f>X280 * AC280</f>
        <v/>
      </c>
      <c r="Y280" s="24">
        <f>Y280 * AC280</f>
        <v/>
      </c>
      <c r="Z280" s="15" t="n">
        <v/>
      </c>
      <c r="AA280" s="24">
        <f>AA280 * AC280</f>
        <v/>
      </c>
      <c r="AB280" s="24">
        <f>AB280 * AC280</f>
        <v/>
      </c>
      <c r="AC280" s="20" t="n"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>
        <f>I281 * AC281</f>
        <v/>
      </c>
      <c r="J281" s="21">
        <f>J281 * AC281</f>
        <v/>
      </c>
      <c r="K281" s="21">
        <f>K281 * AC281</f>
        <v/>
      </c>
      <c r="L281" s="21">
        <f>L281 * AC281</f>
        <v/>
      </c>
      <c r="M281" s="25">
        <f>M281 * AC281</f>
        <v/>
      </c>
      <c r="N281" s="25">
        <f>N281 * AC281</f>
        <v/>
      </c>
      <c r="O281" s="25">
        <f>O281 * AC281</f>
        <v/>
      </c>
      <c r="P281" s="25">
        <f>P281 * AC281</f>
        <v/>
      </c>
      <c r="Q281" s="25">
        <f>Q281 * AC281</f>
        <v/>
      </c>
      <c r="R281" s="25">
        <f>R281 * AC281</f>
        <v/>
      </c>
      <c r="S281" s="25">
        <f>S281 * AC281</f>
        <v/>
      </c>
      <c r="T281" s="25">
        <f>T281 * AC281</f>
        <v/>
      </c>
      <c r="U281" s="25">
        <f>U281 * AC281</f>
        <v/>
      </c>
      <c r="V281" s="25">
        <f>V281 * AC281</f>
        <v/>
      </c>
      <c r="W281" s="25">
        <f>W281 * AC281</f>
        <v/>
      </c>
      <c r="X281" s="25">
        <f>X281 * AC281</f>
        <v/>
      </c>
      <c r="Y281" s="25">
        <f>Y281 * AC281</f>
        <v/>
      </c>
      <c r="Z281" s="17" t="n">
        <v/>
      </c>
      <c r="AA281" s="25">
        <f>AA281 * AC281</f>
        <v/>
      </c>
      <c r="AB281" s="25">
        <f>AB281 * AC281</f>
        <v/>
      </c>
      <c r="AC281" s="22" t="n"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>
        <f>I282 * AC282</f>
        <v/>
      </c>
      <c r="J282" s="19">
        <f>J282 * AC282</f>
        <v/>
      </c>
      <c r="K282" s="19">
        <f>K282 * AC282</f>
        <v/>
      </c>
      <c r="L282" s="19">
        <f>L282 * AC282</f>
        <v/>
      </c>
      <c r="M282" s="24">
        <f>M282 * AC282</f>
        <v/>
      </c>
      <c r="N282" s="24">
        <f>N282 * AC282</f>
        <v/>
      </c>
      <c r="O282" s="24">
        <f>O282 * AC282</f>
        <v/>
      </c>
      <c r="P282" s="24">
        <f>P282 * AC282</f>
        <v/>
      </c>
      <c r="Q282" s="24">
        <f>Q282 * AC282</f>
        <v/>
      </c>
      <c r="R282" s="24">
        <f>R282 * AC282</f>
        <v/>
      </c>
      <c r="S282" s="24">
        <f>S282 * AC282</f>
        <v/>
      </c>
      <c r="T282" s="24">
        <f>T282 * AC282</f>
        <v/>
      </c>
      <c r="U282" s="24">
        <f>U282 * AC282</f>
        <v/>
      </c>
      <c r="V282" s="24">
        <f>V282 * AC282</f>
        <v/>
      </c>
      <c r="W282" s="24">
        <f>W282 * AC282</f>
        <v/>
      </c>
      <c r="X282" s="24">
        <f>X282 * AC282</f>
        <v/>
      </c>
      <c r="Y282" s="24">
        <f>Y282 * AC282</f>
        <v/>
      </c>
      <c r="Z282" s="15" t="n">
        <v/>
      </c>
      <c r="AA282" s="24">
        <f>AA282 * AC282</f>
        <v/>
      </c>
      <c r="AB282" s="24">
        <f>AB282 * AC282</f>
        <v/>
      </c>
      <c r="AC282" s="20" t="n"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>
        <f>I283 * AC283</f>
        <v/>
      </c>
      <c r="J283" s="21">
        <f>J283 * AC283</f>
        <v/>
      </c>
      <c r="K283" s="21">
        <f>K283 * AC283</f>
        <v/>
      </c>
      <c r="L283" s="21">
        <f>L283 * AC283</f>
        <v/>
      </c>
      <c r="M283" s="25">
        <f>M283 * AC283</f>
        <v/>
      </c>
      <c r="N283" s="25">
        <f>N283 * AC283</f>
        <v/>
      </c>
      <c r="O283" s="25">
        <f>O283 * AC283</f>
        <v/>
      </c>
      <c r="P283" s="25">
        <f>P283 * AC283</f>
        <v/>
      </c>
      <c r="Q283" s="25">
        <f>Q283 * AC283</f>
        <v/>
      </c>
      <c r="R283" s="25">
        <f>R283 * AC283</f>
        <v/>
      </c>
      <c r="S283" s="25">
        <f>S283 * AC283</f>
        <v/>
      </c>
      <c r="T283" s="25">
        <f>T283 * AC283</f>
        <v/>
      </c>
      <c r="U283" s="25">
        <f>U283 * AC283</f>
        <v/>
      </c>
      <c r="V283" s="25">
        <f>V283 * AC283</f>
        <v/>
      </c>
      <c r="W283" s="25">
        <f>W283 * AC283</f>
        <v/>
      </c>
      <c r="X283" s="25">
        <f>X283 * AC283</f>
        <v/>
      </c>
      <c r="Y283" s="25">
        <f>Y283 * AC283</f>
        <v/>
      </c>
      <c r="Z283" s="17" t="n">
        <v/>
      </c>
      <c r="AA283" s="25">
        <f>AA283 * AC283</f>
        <v/>
      </c>
      <c r="AB283" s="25">
        <f>AB283 * AC283</f>
        <v/>
      </c>
      <c r="AC283" s="22" t="n"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>
        <f>I284 * AC284</f>
        <v/>
      </c>
      <c r="J284" s="19">
        <f>J284 * AC284</f>
        <v/>
      </c>
      <c r="K284" s="19">
        <f>K284 * AC284</f>
        <v/>
      </c>
      <c r="L284" s="19">
        <f>L284 * AC284</f>
        <v/>
      </c>
      <c r="M284" s="24">
        <f>M284 * AC284</f>
        <v/>
      </c>
      <c r="N284" s="24">
        <f>N284 * AC284</f>
        <v/>
      </c>
      <c r="O284" s="24">
        <f>O284 * AC284</f>
        <v/>
      </c>
      <c r="P284" s="24">
        <f>P284 * AC284</f>
        <v/>
      </c>
      <c r="Q284" s="24">
        <f>Q284 * AC284</f>
        <v/>
      </c>
      <c r="R284" s="24">
        <f>R284 * AC284</f>
        <v/>
      </c>
      <c r="S284" s="24">
        <f>S284 * AC284</f>
        <v/>
      </c>
      <c r="T284" s="24">
        <f>T284 * AC284</f>
        <v/>
      </c>
      <c r="U284" s="24">
        <f>U284 * AC284</f>
        <v/>
      </c>
      <c r="V284" s="24">
        <f>V284 * AC284</f>
        <v/>
      </c>
      <c r="W284" s="24">
        <f>W284 * AC284</f>
        <v/>
      </c>
      <c r="X284" s="24">
        <f>X284 * AC284</f>
        <v/>
      </c>
      <c r="Y284" s="24">
        <f>Y284 * AC284</f>
        <v/>
      </c>
      <c r="Z284" s="15" t="n">
        <v/>
      </c>
      <c r="AA284" s="24">
        <f>AA284 * AC284</f>
        <v/>
      </c>
      <c r="AB284" s="24">
        <f>AB284 * AC284</f>
        <v/>
      </c>
      <c r="AC284" s="20" t="n"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>
        <f>I285 * AC285</f>
        <v/>
      </c>
      <c r="J285" s="21">
        <f>J285 * AC285</f>
        <v/>
      </c>
      <c r="K285" s="21">
        <f>K285 * AC285</f>
        <v/>
      </c>
      <c r="L285" s="21">
        <f>L285 * AC285</f>
        <v/>
      </c>
      <c r="M285" s="25">
        <f>M285 * AC285</f>
        <v/>
      </c>
      <c r="N285" s="25">
        <f>N285 * AC285</f>
        <v/>
      </c>
      <c r="O285" s="25">
        <f>O285 * AC285</f>
        <v/>
      </c>
      <c r="P285" s="25">
        <f>P285 * AC285</f>
        <v/>
      </c>
      <c r="Q285" s="25">
        <f>Q285 * AC285</f>
        <v/>
      </c>
      <c r="R285" s="25">
        <f>R285 * AC285</f>
        <v/>
      </c>
      <c r="S285" s="25">
        <f>S285 * AC285</f>
        <v/>
      </c>
      <c r="T285" s="25">
        <f>T285 * AC285</f>
        <v/>
      </c>
      <c r="U285" s="25">
        <f>U285 * AC285</f>
        <v/>
      </c>
      <c r="V285" s="25">
        <f>V285 * AC285</f>
        <v/>
      </c>
      <c r="W285" s="25">
        <f>W285 * AC285</f>
        <v/>
      </c>
      <c r="X285" s="25">
        <f>X285 * AC285</f>
        <v/>
      </c>
      <c r="Y285" s="25">
        <f>Y285 * AC285</f>
        <v/>
      </c>
      <c r="Z285" s="17" t="n">
        <v/>
      </c>
      <c r="AA285" s="25">
        <f>AA285 * AC285</f>
        <v/>
      </c>
      <c r="AB285" s="25">
        <f>AB285 * AC285</f>
        <v/>
      </c>
      <c r="AC285" s="22" t="n"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>
        <f>I286 * AC286</f>
        <v/>
      </c>
      <c r="J286" s="19">
        <f>J286 * AC286</f>
        <v/>
      </c>
      <c r="K286" s="19">
        <f>K286 * AC286</f>
        <v/>
      </c>
      <c r="L286" s="19">
        <f>L286 * AC286</f>
        <v/>
      </c>
      <c r="M286" s="24">
        <f>M286 * AC286</f>
        <v/>
      </c>
      <c r="N286" s="24">
        <f>N286 * AC286</f>
        <v/>
      </c>
      <c r="O286" s="24">
        <f>O286 * AC286</f>
        <v/>
      </c>
      <c r="P286" s="24">
        <f>P286 * AC286</f>
        <v/>
      </c>
      <c r="Q286" s="24">
        <f>Q286 * AC286</f>
        <v/>
      </c>
      <c r="R286" s="24">
        <f>R286 * AC286</f>
        <v/>
      </c>
      <c r="S286" s="24">
        <f>S286 * AC286</f>
        <v/>
      </c>
      <c r="T286" s="24">
        <f>T286 * AC286</f>
        <v/>
      </c>
      <c r="U286" s="24">
        <f>U286 * AC286</f>
        <v/>
      </c>
      <c r="V286" s="24">
        <f>V286 * AC286</f>
        <v/>
      </c>
      <c r="W286" s="24">
        <f>W286 * AC286</f>
        <v/>
      </c>
      <c r="X286" s="24">
        <f>X286 * AC286</f>
        <v/>
      </c>
      <c r="Y286" s="24">
        <f>Y286 * AC286</f>
        <v/>
      </c>
      <c r="Z286" s="15" t="n">
        <v/>
      </c>
      <c r="AA286" s="24">
        <f>AA286 * AC286</f>
        <v/>
      </c>
      <c r="AB286" s="24">
        <f>AB286 * AC286</f>
        <v/>
      </c>
      <c r="AC286" s="20" t="n"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>
        <f>I287 * AC287</f>
        <v/>
      </c>
      <c r="J287" s="21">
        <f>J287 * AC287</f>
        <v/>
      </c>
      <c r="K287" s="21">
        <f>K287 * AC287</f>
        <v/>
      </c>
      <c r="L287" s="21">
        <f>L287 * AC287</f>
        <v/>
      </c>
      <c r="M287" s="25">
        <f>M287 * AC287</f>
        <v/>
      </c>
      <c r="N287" s="25">
        <f>N287 * AC287</f>
        <v/>
      </c>
      <c r="O287" s="25">
        <f>O287 * AC287</f>
        <v/>
      </c>
      <c r="P287" s="25">
        <f>P287 * AC287</f>
        <v/>
      </c>
      <c r="Q287" s="25">
        <f>Q287 * AC287</f>
        <v/>
      </c>
      <c r="R287" s="25">
        <f>R287 * AC287</f>
        <v/>
      </c>
      <c r="S287" s="25">
        <f>S287 * AC287</f>
        <v/>
      </c>
      <c r="T287" s="25">
        <f>T287 * AC287</f>
        <v/>
      </c>
      <c r="U287" s="25">
        <f>U287 * AC287</f>
        <v/>
      </c>
      <c r="V287" s="25">
        <f>V287 * AC287</f>
        <v/>
      </c>
      <c r="W287" s="25">
        <f>W287 * AC287</f>
        <v/>
      </c>
      <c r="X287" s="25">
        <f>X287 * AC287</f>
        <v/>
      </c>
      <c r="Y287" s="25">
        <f>Y287 * AC287</f>
        <v/>
      </c>
      <c r="Z287" s="17" t="n">
        <v/>
      </c>
      <c r="AA287" s="25">
        <f>AA287 * AC287</f>
        <v/>
      </c>
      <c r="AB287" s="25">
        <f>AB287 * AC287</f>
        <v/>
      </c>
      <c r="AC287" s="22" t="n"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>
        <f>I288 * AC288</f>
        <v/>
      </c>
      <c r="J288" s="19">
        <f>J288 * AC288</f>
        <v/>
      </c>
      <c r="K288" s="19">
        <f>K288 * AC288</f>
        <v/>
      </c>
      <c r="L288" s="19">
        <f>L288 * AC288</f>
        <v/>
      </c>
      <c r="M288" s="24">
        <f>M288 * AC288</f>
        <v/>
      </c>
      <c r="N288" s="24">
        <f>N288 * AC288</f>
        <v/>
      </c>
      <c r="O288" s="24">
        <f>O288 * AC288</f>
        <v/>
      </c>
      <c r="P288" s="24">
        <f>P288 * AC288</f>
        <v/>
      </c>
      <c r="Q288" s="24">
        <f>Q288 * AC288</f>
        <v/>
      </c>
      <c r="R288" s="24">
        <f>R288 * AC288</f>
        <v/>
      </c>
      <c r="S288" s="24">
        <f>S288 * AC288</f>
        <v/>
      </c>
      <c r="T288" s="24">
        <f>T288 * AC288</f>
        <v/>
      </c>
      <c r="U288" s="24">
        <f>U288 * AC288</f>
        <v/>
      </c>
      <c r="V288" s="24">
        <f>V288 * AC288</f>
        <v/>
      </c>
      <c r="W288" s="24">
        <f>W288 * AC288</f>
        <v/>
      </c>
      <c r="X288" s="24">
        <f>X288 * AC288</f>
        <v/>
      </c>
      <c r="Y288" s="24">
        <f>Y288 * AC288</f>
        <v/>
      </c>
      <c r="Z288" s="15" t="n">
        <v/>
      </c>
      <c r="AA288" s="24">
        <f>AA288 * AC288</f>
        <v/>
      </c>
      <c r="AB288" s="24">
        <f>AB288 * AC288</f>
        <v/>
      </c>
      <c r="AC288" s="20" t="n"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>
        <f>I289 * AC289</f>
        <v/>
      </c>
      <c r="J289" s="21">
        <f>J289 * AC289</f>
        <v/>
      </c>
      <c r="K289" s="21">
        <f>K289 * AC289</f>
        <v/>
      </c>
      <c r="L289" s="21">
        <f>L289 * AC289</f>
        <v/>
      </c>
      <c r="M289" s="25">
        <f>M289 * AC289</f>
        <v/>
      </c>
      <c r="N289" s="25">
        <f>N289 * AC289</f>
        <v/>
      </c>
      <c r="O289" s="25">
        <f>O289 * AC289</f>
        <v/>
      </c>
      <c r="P289" s="25">
        <f>P289 * AC289</f>
        <v/>
      </c>
      <c r="Q289" s="25">
        <f>Q289 * AC289</f>
        <v/>
      </c>
      <c r="R289" s="25">
        <f>R289 * AC289</f>
        <v/>
      </c>
      <c r="S289" s="25">
        <f>S289 * AC289</f>
        <v/>
      </c>
      <c r="T289" s="25">
        <f>T289 * AC289</f>
        <v/>
      </c>
      <c r="U289" s="25">
        <f>U289 * AC289</f>
        <v/>
      </c>
      <c r="V289" s="25">
        <f>V289 * AC289</f>
        <v/>
      </c>
      <c r="W289" s="25">
        <f>W289 * AC289</f>
        <v/>
      </c>
      <c r="X289" s="25">
        <f>X289 * AC289</f>
        <v/>
      </c>
      <c r="Y289" s="25">
        <f>Y289 * AC289</f>
        <v/>
      </c>
      <c r="Z289" s="17" t="n">
        <v/>
      </c>
      <c r="AA289" s="25">
        <f>AA289 * AC289</f>
        <v/>
      </c>
      <c r="AB289" s="25">
        <f>AB289 * AC289</f>
        <v/>
      </c>
      <c r="AC289" s="22" t="n"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>
        <f>I290 * AC290</f>
        <v/>
      </c>
      <c r="J290" s="19">
        <f>J290 * AC290</f>
        <v/>
      </c>
      <c r="K290" s="19">
        <f>K290 * AC290</f>
        <v/>
      </c>
      <c r="L290" s="19">
        <f>L290 * AC290</f>
        <v/>
      </c>
      <c r="M290" s="24">
        <f>M290 * AC290</f>
        <v/>
      </c>
      <c r="N290" s="24">
        <f>N290 * AC290</f>
        <v/>
      </c>
      <c r="O290" s="24">
        <f>O290 * AC290</f>
        <v/>
      </c>
      <c r="P290" s="24">
        <f>P290 * AC290</f>
        <v/>
      </c>
      <c r="Q290" s="24">
        <f>Q290 * AC290</f>
        <v/>
      </c>
      <c r="R290" s="24">
        <f>R290 * AC290</f>
        <v/>
      </c>
      <c r="S290" s="24">
        <f>S290 * AC290</f>
        <v/>
      </c>
      <c r="T290" s="24">
        <f>T290 * AC290</f>
        <v/>
      </c>
      <c r="U290" s="24">
        <f>U290 * AC290</f>
        <v/>
      </c>
      <c r="V290" s="24">
        <f>V290 * AC290</f>
        <v/>
      </c>
      <c r="W290" s="24">
        <f>W290 * AC290</f>
        <v/>
      </c>
      <c r="X290" s="24">
        <f>X290 * AC290</f>
        <v/>
      </c>
      <c r="Y290" s="24">
        <f>Y290 * AC290</f>
        <v/>
      </c>
      <c r="Z290" s="15" t="n">
        <v/>
      </c>
      <c r="AA290" s="24">
        <f>AA290 * AC290</f>
        <v/>
      </c>
      <c r="AB290" s="24">
        <f>AB290 * AC290</f>
        <v/>
      </c>
      <c r="AC290" s="20" t="n"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>
        <f>I291 * AC291</f>
        <v/>
      </c>
      <c r="J291" s="21">
        <f>J291 * AC291</f>
        <v/>
      </c>
      <c r="K291" s="21">
        <f>K291 * AC291</f>
        <v/>
      </c>
      <c r="L291" s="21">
        <f>L291 * AC291</f>
        <v/>
      </c>
      <c r="M291" s="25">
        <f>M291 * AC291</f>
        <v/>
      </c>
      <c r="N291" s="25">
        <f>N291 * AC291</f>
        <v/>
      </c>
      <c r="O291" s="25">
        <f>O291 * AC291</f>
        <v/>
      </c>
      <c r="P291" s="25">
        <f>P291 * AC291</f>
        <v/>
      </c>
      <c r="Q291" s="25">
        <f>Q291 * AC291</f>
        <v/>
      </c>
      <c r="R291" s="25">
        <f>R291 * AC291</f>
        <v/>
      </c>
      <c r="S291" s="25">
        <f>S291 * AC291</f>
        <v/>
      </c>
      <c r="T291" s="25">
        <f>T291 * AC291</f>
        <v/>
      </c>
      <c r="U291" s="25">
        <f>U291 * AC291</f>
        <v/>
      </c>
      <c r="V291" s="25">
        <f>V291 * AC291</f>
        <v/>
      </c>
      <c r="W291" s="25">
        <f>W291 * AC291</f>
        <v/>
      </c>
      <c r="X291" s="25">
        <f>X291 * AC291</f>
        <v/>
      </c>
      <c r="Y291" s="25">
        <f>Y291 * AC291</f>
        <v/>
      </c>
      <c r="Z291" s="17" t="n">
        <v/>
      </c>
      <c r="AA291" s="25">
        <f>AA291 * AC291</f>
        <v/>
      </c>
      <c r="AB291" s="25">
        <f>AB291 * AC291</f>
        <v/>
      </c>
      <c r="AC291" s="22" t="n"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>
        <f>I292 * AC292</f>
        <v/>
      </c>
      <c r="J292" s="19">
        <f>J292 * AC292</f>
        <v/>
      </c>
      <c r="K292" s="19">
        <f>K292 * AC292</f>
        <v/>
      </c>
      <c r="L292" s="19">
        <f>L292 * AC292</f>
        <v/>
      </c>
      <c r="M292" s="24">
        <f>M292 * AC292</f>
        <v/>
      </c>
      <c r="N292" s="24">
        <f>N292 * AC292</f>
        <v/>
      </c>
      <c r="O292" s="24">
        <f>O292 * AC292</f>
        <v/>
      </c>
      <c r="P292" s="24">
        <f>P292 * AC292</f>
        <v/>
      </c>
      <c r="Q292" s="24">
        <f>Q292 * AC292</f>
        <v/>
      </c>
      <c r="R292" s="24">
        <f>R292 * AC292</f>
        <v/>
      </c>
      <c r="S292" s="24">
        <f>S292 * AC292</f>
        <v/>
      </c>
      <c r="T292" s="24">
        <f>T292 * AC292</f>
        <v/>
      </c>
      <c r="U292" s="24">
        <f>U292 * AC292</f>
        <v/>
      </c>
      <c r="V292" s="24">
        <f>V292 * AC292</f>
        <v/>
      </c>
      <c r="W292" s="24">
        <f>W292 * AC292</f>
        <v/>
      </c>
      <c r="X292" s="24">
        <f>X292 * AC292</f>
        <v/>
      </c>
      <c r="Y292" s="24">
        <f>Y292 * AC292</f>
        <v/>
      </c>
      <c r="Z292" s="15" t="n">
        <v/>
      </c>
      <c r="AA292" s="24">
        <f>AA292 * AC292</f>
        <v/>
      </c>
      <c r="AB292" s="24">
        <f>AB292 * AC292</f>
        <v/>
      </c>
      <c r="AC292" s="20" t="n"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>
        <f>I293 * AC293</f>
        <v/>
      </c>
      <c r="J293" s="21">
        <f>J293 * AC293</f>
        <v/>
      </c>
      <c r="K293" s="21">
        <f>K293 * AC293</f>
        <v/>
      </c>
      <c r="L293" s="21">
        <f>L293 * AC293</f>
        <v/>
      </c>
      <c r="M293" s="25">
        <f>M293 * AC293</f>
        <v/>
      </c>
      <c r="N293" s="25">
        <f>N293 * AC293</f>
        <v/>
      </c>
      <c r="O293" s="25">
        <f>O293 * AC293</f>
        <v/>
      </c>
      <c r="P293" s="25">
        <f>P293 * AC293</f>
        <v/>
      </c>
      <c r="Q293" s="25">
        <f>Q293 * AC293</f>
        <v/>
      </c>
      <c r="R293" s="25">
        <f>R293 * AC293</f>
        <v/>
      </c>
      <c r="S293" s="25">
        <f>S293 * AC293</f>
        <v/>
      </c>
      <c r="T293" s="25">
        <f>T293 * AC293</f>
        <v/>
      </c>
      <c r="U293" s="25">
        <f>U293 * AC293</f>
        <v/>
      </c>
      <c r="V293" s="25">
        <f>V293 * AC293</f>
        <v/>
      </c>
      <c r="W293" s="25">
        <f>W293 * AC293</f>
        <v/>
      </c>
      <c r="X293" s="25">
        <f>X293 * AC293</f>
        <v/>
      </c>
      <c r="Y293" s="25">
        <f>Y293 * AC293</f>
        <v/>
      </c>
      <c r="Z293" s="17" t="n">
        <v/>
      </c>
      <c r="AA293" s="25">
        <f>AA293 * AC293</f>
        <v/>
      </c>
      <c r="AB293" s="25">
        <f>AB293 * AC293</f>
        <v/>
      </c>
      <c r="AC293" s="22" t="n"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>
        <f>I294 * AC294</f>
        <v/>
      </c>
      <c r="J294" s="19">
        <f>J294 * AC294</f>
        <v/>
      </c>
      <c r="K294" s="19">
        <f>K294 * AC294</f>
        <v/>
      </c>
      <c r="L294" s="19">
        <f>L294 * AC294</f>
        <v/>
      </c>
      <c r="M294" s="24">
        <f>M294 * AC294</f>
        <v/>
      </c>
      <c r="N294" s="24">
        <f>N294 * AC294</f>
        <v/>
      </c>
      <c r="O294" s="24">
        <f>O294 * AC294</f>
        <v/>
      </c>
      <c r="P294" s="24">
        <f>P294 * AC294</f>
        <v/>
      </c>
      <c r="Q294" s="24">
        <f>Q294 * AC294</f>
        <v/>
      </c>
      <c r="R294" s="24">
        <f>R294 * AC294</f>
        <v/>
      </c>
      <c r="S294" s="24">
        <f>S294 * AC294</f>
        <v/>
      </c>
      <c r="T294" s="24">
        <f>T294 * AC294</f>
        <v/>
      </c>
      <c r="U294" s="24">
        <f>U294 * AC294</f>
        <v/>
      </c>
      <c r="V294" s="24">
        <f>V294 * AC294</f>
        <v/>
      </c>
      <c r="W294" s="24">
        <f>W294 * AC294</f>
        <v/>
      </c>
      <c r="X294" s="24">
        <f>X294 * AC294</f>
        <v/>
      </c>
      <c r="Y294" s="24">
        <f>Y294 * AC294</f>
        <v/>
      </c>
      <c r="Z294" s="15" t="n">
        <v/>
      </c>
      <c r="AA294" s="24">
        <f>AA294 * AC294</f>
        <v/>
      </c>
      <c r="AB294" s="24">
        <f>AB294 * AC294</f>
        <v/>
      </c>
      <c r="AC294" s="20" t="n"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>
        <f>I295 * AC295</f>
        <v/>
      </c>
      <c r="J295" s="21">
        <f>J295 * AC295</f>
        <v/>
      </c>
      <c r="K295" s="21">
        <f>K295 * AC295</f>
        <v/>
      </c>
      <c r="L295" s="21">
        <f>L295 * AC295</f>
        <v/>
      </c>
      <c r="M295" s="25">
        <f>M295 * AC295</f>
        <v/>
      </c>
      <c r="N295" s="25">
        <f>N295 * AC295</f>
        <v/>
      </c>
      <c r="O295" s="25">
        <f>O295 * AC295</f>
        <v/>
      </c>
      <c r="P295" s="25">
        <f>P295 * AC295</f>
        <v/>
      </c>
      <c r="Q295" s="25">
        <f>Q295 * AC295</f>
        <v/>
      </c>
      <c r="R295" s="25">
        <f>R295 * AC295</f>
        <v/>
      </c>
      <c r="S295" s="25">
        <f>S295 * AC295</f>
        <v/>
      </c>
      <c r="T295" s="25">
        <f>T295 * AC295</f>
        <v/>
      </c>
      <c r="U295" s="25">
        <f>U295 * AC295</f>
        <v/>
      </c>
      <c r="V295" s="25">
        <f>V295 * AC295</f>
        <v/>
      </c>
      <c r="W295" s="25">
        <f>W295 * AC295</f>
        <v/>
      </c>
      <c r="X295" s="25">
        <f>X295 * AC295</f>
        <v/>
      </c>
      <c r="Y295" s="25">
        <f>Y295 * AC295</f>
        <v/>
      </c>
      <c r="Z295" s="17" t="n">
        <v/>
      </c>
      <c r="AA295" s="25">
        <f>AA295 * AC295</f>
        <v/>
      </c>
      <c r="AB295" s="25">
        <f>AB295 * AC295</f>
        <v/>
      </c>
      <c r="AC295" s="22" t="n"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>
        <f>I296 * AC296</f>
        <v/>
      </c>
      <c r="J296" s="19">
        <f>J296 * AC296</f>
        <v/>
      </c>
      <c r="K296" s="19">
        <f>K296 * AC296</f>
        <v/>
      </c>
      <c r="L296" s="19">
        <f>L296 * AC296</f>
        <v/>
      </c>
      <c r="M296" s="24">
        <f>M296 * AC296</f>
        <v/>
      </c>
      <c r="N296" s="24">
        <f>N296 * AC296</f>
        <v/>
      </c>
      <c r="O296" s="24">
        <f>O296 * AC296</f>
        <v/>
      </c>
      <c r="P296" s="24">
        <f>P296 * AC296</f>
        <v/>
      </c>
      <c r="Q296" s="24">
        <f>Q296 * AC296</f>
        <v/>
      </c>
      <c r="R296" s="24">
        <f>R296 * AC296</f>
        <v/>
      </c>
      <c r="S296" s="24">
        <f>S296 * AC296</f>
        <v/>
      </c>
      <c r="T296" s="24">
        <f>T296 * AC296</f>
        <v/>
      </c>
      <c r="U296" s="24">
        <f>U296 * AC296</f>
        <v/>
      </c>
      <c r="V296" s="24">
        <f>V296 * AC296</f>
        <v/>
      </c>
      <c r="W296" s="24">
        <f>W296 * AC296</f>
        <v/>
      </c>
      <c r="X296" s="24">
        <f>X296 * AC296</f>
        <v/>
      </c>
      <c r="Y296" s="24">
        <f>Y296 * AC296</f>
        <v/>
      </c>
      <c r="Z296" s="15" t="n">
        <v/>
      </c>
      <c r="AA296" s="24">
        <f>AA296 * AC296</f>
        <v/>
      </c>
      <c r="AB296" s="24">
        <f>AB296 * AC296</f>
        <v/>
      </c>
      <c r="AC296" s="20" t="n"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>
        <f>I297 * AC297</f>
        <v/>
      </c>
      <c r="J297" s="21">
        <f>J297 * AC297</f>
        <v/>
      </c>
      <c r="K297" s="21">
        <f>K297 * AC297</f>
        <v/>
      </c>
      <c r="L297" s="21">
        <f>L297 * AC297</f>
        <v/>
      </c>
      <c r="M297" s="25">
        <f>M297 * AC297</f>
        <v/>
      </c>
      <c r="N297" s="25">
        <f>N297 * AC297</f>
        <v/>
      </c>
      <c r="O297" s="25">
        <f>O297 * AC297</f>
        <v/>
      </c>
      <c r="P297" s="25">
        <f>P297 * AC297</f>
        <v/>
      </c>
      <c r="Q297" s="25">
        <f>Q297 * AC297</f>
        <v/>
      </c>
      <c r="R297" s="25">
        <f>R297 * AC297</f>
        <v/>
      </c>
      <c r="S297" s="25">
        <f>S297 * AC297</f>
        <v/>
      </c>
      <c r="T297" s="25">
        <f>T297 * AC297</f>
        <v/>
      </c>
      <c r="U297" s="25">
        <f>U297 * AC297</f>
        <v/>
      </c>
      <c r="V297" s="25">
        <f>V297 * AC297</f>
        <v/>
      </c>
      <c r="W297" s="25">
        <f>W297 * AC297</f>
        <v/>
      </c>
      <c r="X297" s="25">
        <f>X297 * AC297</f>
        <v/>
      </c>
      <c r="Y297" s="25">
        <f>Y297 * AC297</f>
        <v/>
      </c>
      <c r="Z297" s="17" t="n">
        <v/>
      </c>
      <c r="AA297" s="25">
        <f>AA297 * AC297</f>
        <v/>
      </c>
      <c r="AB297" s="25">
        <f>AB297 * AC297</f>
        <v/>
      </c>
      <c r="AC297" s="22" t="n"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>
        <f>I298 * AC298</f>
        <v/>
      </c>
      <c r="J298" s="19">
        <f>J298 * AC298</f>
        <v/>
      </c>
      <c r="K298" s="19">
        <f>K298 * AC298</f>
        <v/>
      </c>
      <c r="L298" s="19">
        <f>L298 * AC298</f>
        <v/>
      </c>
      <c r="M298" s="24">
        <f>M298 * AC298</f>
        <v/>
      </c>
      <c r="N298" s="24">
        <f>N298 * AC298</f>
        <v/>
      </c>
      <c r="O298" s="24">
        <f>O298 * AC298</f>
        <v/>
      </c>
      <c r="P298" s="24">
        <f>P298 * AC298</f>
        <v/>
      </c>
      <c r="Q298" s="24">
        <f>Q298 * AC298</f>
        <v/>
      </c>
      <c r="R298" s="24">
        <f>R298 * AC298</f>
        <v/>
      </c>
      <c r="S298" s="24">
        <f>S298 * AC298</f>
        <v/>
      </c>
      <c r="T298" s="24">
        <f>T298 * AC298</f>
        <v/>
      </c>
      <c r="U298" s="24">
        <f>U298 * AC298</f>
        <v/>
      </c>
      <c r="V298" s="24">
        <f>V298 * AC298</f>
        <v/>
      </c>
      <c r="W298" s="24">
        <f>W298 * AC298</f>
        <v/>
      </c>
      <c r="X298" s="24">
        <f>X298 * AC298</f>
        <v/>
      </c>
      <c r="Y298" s="24">
        <f>Y298 * AC298</f>
        <v/>
      </c>
      <c r="Z298" s="15" t="n">
        <v/>
      </c>
      <c r="AA298" s="24">
        <f>AA298 * AC298</f>
        <v/>
      </c>
      <c r="AB298" s="24">
        <f>AB298 * AC298</f>
        <v/>
      </c>
      <c r="AC298" s="20" t="n"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>
        <f>I299 * AC299</f>
        <v/>
      </c>
      <c r="J299" s="21">
        <f>J299 * AC299</f>
        <v/>
      </c>
      <c r="K299" s="21">
        <f>K299 * AC299</f>
        <v/>
      </c>
      <c r="L299" s="21">
        <f>L299 * AC299</f>
        <v/>
      </c>
      <c r="M299" s="25">
        <f>M299 * AC299</f>
        <v/>
      </c>
      <c r="N299" s="25">
        <f>N299 * AC299</f>
        <v/>
      </c>
      <c r="O299" s="25">
        <f>O299 * AC299</f>
        <v/>
      </c>
      <c r="P299" s="25">
        <f>P299 * AC299</f>
        <v/>
      </c>
      <c r="Q299" s="25">
        <f>Q299 * AC299</f>
        <v/>
      </c>
      <c r="R299" s="25">
        <f>R299 * AC299</f>
        <v/>
      </c>
      <c r="S299" s="25">
        <f>S299 * AC299</f>
        <v/>
      </c>
      <c r="T299" s="25">
        <f>T299 * AC299</f>
        <v/>
      </c>
      <c r="U299" s="25">
        <f>U299 * AC299</f>
        <v/>
      </c>
      <c r="V299" s="25">
        <f>V299 * AC299</f>
        <v/>
      </c>
      <c r="W299" s="25">
        <f>W299 * AC299</f>
        <v/>
      </c>
      <c r="X299" s="25">
        <f>X299 * AC299</f>
        <v/>
      </c>
      <c r="Y299" s="25">
        <f>Y299 * AC299</f>
        <v/>
      </c>
      <c r="Z299" s="17" t="n">
        <v/>
      </c>
      <c r="AA299" s="25">
        <f>AA299 * AC299</f>
        <v/>
      </c>
      <c r="AB299" s="25">
        <f>AB299 * AC299</f>
        <v/>
      </c>
      <c r="AC299" s="22" t="n"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>
        <f>I300 * AC300</f>
        <v/>
      </c>
      <c r="J300" s="19">
        <f>J300 * AC300</f>
        <v/>
      </c>
      <c r="K300" s="19">
        <f>K300 * AC300</f>
        <v/>
      </c>
      <c r="L300" s="19">
        <f>L300 * AC300</f>
        <v/>
      </c>
      <c r="M300" s="24">
        <f>M300 * AC300</f>
        <v/>
      </c>
      <c r="N300" s="24">
        <f>N300 * AC300</f>
        <v/>
      </c>
      <c r="O300" s="24">
        <f>O300 * AC300</f>
        <v/>
      </c>
      <c r="P300" s="24">
        <f>P300 * AC300</f>
        <v/>
      </c>
      <c r="Q300" s="24">
        <f>Q300 * AC300</f>
        <v/>
      </c>
      <c r="R300" s="24">
        <f>R300 * AC300</f>
        <v/>
      </c>
      <c r="S300" s="24">
        <f>S300 * AC300</f>
        <v/>
      </c>
      <c r="T300" s="24">
        <f>T300 * AC300</f>
        <v/>
      </c>
      <c r="U300" s="24">
        <f>U300 * AC300</f>
        <v/>
      </c>
      <c r="V300" s="24">
        <f>V300 * AC300</f>
        <v/>
      </c>
      <c r="W300" s="24">
        <f>W300 * AC300</f>
        <v/>
      </c>
      <c r="X300" s="24">
        <f>X300 * AC300</f>
        <v/>
      </c>
      <c r="Y300" s="24">
        <f>Y300 * AC300</f>
        <v/>
      </c>
      <c r="Z300" s="15" t="n">
        <v/>
      </c>
      <c r="AA300" s="24">
        <f>AA300 * AC300</f>
        <v/>
      </c>
      <c r="AB300" s="24">
        <f>AB300 * AC300</f>
        <v/>
      </c>
      <c r="AC300" s="20" t="n"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>
        <f>I301 * AC301</f>
        <v/>
      </c>
      <c r="J301" s="21">
        <f>J301 * AC301</f>
        <v/>
      </c>
      <c r="K301" s="21">
        <f>K301 * AC301</f>
        <v/>
      </c>
      <c r="L301" s="21">
        <f>L301 * AC301</f>
        <v/>
      </c>
      <c r="M301" s="25">
        <f>M301 * AC301</f>
        <v/>
      </c>
      <c r="N301" s="25">
        <f>N301 * AC301</f>
        <v/>
      </c>
      <c r="O301" s="25">
        <f>O301 * AC301</f>
        <v/>
      </c>
      <c r="P301" s="25">
        <f>P301 * AC301</f>
        <v/>
      </c>
      <c r="Q301" s="25">
        <f>Q301 * AC301</f>
        <v/>
      </c>
      <c r="R301" s="25">
        <f>R301 * AC301</f>
        <v/>
      </c>
      <c r="S301" s="25">
        <f>S301 * AC301</f>
        <v/>
      </c>
      <c r="T301" s="25">
        <f>T301 * AC301</f>
        <v/>
      </c>
      <c r="U301" s="25">
        <f>U301 * AC301</f>
        <v/>
      </c>
      <c r="V301" s="25">
        <f>V301 * AC301</f>
        <v/>
      </c>
      <c r="W301" s="25">
        <f>W301 * AC301</f>
        <v/>
      </c>
      <c r="X301" s="25">
        <f>X301 * AC301</f>
        <v/>
      </c>
      <c r="Y301" s="25">
        <f>Y301 * AC301</f>
        <v/>
      </c>
      <c r="Z301" s="17" t="n">
        <v/>
      </c>
      <c r="AA301" s="25">
        <f>AA301 * AC301</f>
        <v/>
      </c>
      <c r="AB301" s="25">
        <f>AB301 * AC301</f>
        <v/>
      </c>
      <c r="AC301" s="22" t="n"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>
        <f>I302 * AC302</f>
        <v/>
      </c>
      <c r="J302" s="19">
        <f>J302 * AC302</f>
        <v/>
      </c>
      <c r="K302" s="19">
        <f>K302 * AC302</f>
        <v/>
      </c>
      <c r="L302" s="19">
        <f>L302 * AC302</f>
        <v/>
      </c>
      <c r="M302" s="24">
        <f>M302 * AC302</f>
        <v/>
      </c>
      <c r="N302" s="24">
        <f>N302 * AC302</f>
        <v/>
      </c>
      <c r="O302" s="24">
        <f>O302 * AC302</f>
        <v/>
      </c>
      <c r="P302" s="24">
        <f>P302 * AC302</f>
        <v/>
      </c>
      <c r="Q302" s="24">
        <f>Q302 * AC302</f>
        <v/>
      </c>
      <c r="R302" s="24">
        <f>R302 * AC302</f>
        <v/>
      </c>
      <c r="S302" s="24">
        <f>S302 * AC302</f>
        <v/>
      </c>
      <c r="T302" s="24">
        <f>T302 * AC302</f>
        <v/>
      </c>
      <c r="U302" s="24">
        <f>U302 * AC302</f>
        <v/>
      </c>
      <c r="V302" s="24">
        <f>V302 * AC302</f>
        <v/>
      </c>
      <c r="W302" s="24">
        <f>W302 * AC302</f>
        <v/>
      </c>
      <c r="X302" s="24">
        <f>X302 * AC302</f>
        <v/>
      </c>
      <c r="Y302" s="24">
        <f>Y302 * AC302</f>
        <v/>
      </c>
      <c r="Z302" s="15" t="n">
        <v/>
      </c>
      <c r="AA302" s="24">
        <f>AA302 * AC302</f>
        <v/>
      </c>
      <c r="AB302" s="24">
        <f>AB302 * AC302</f>
        <v/>
      </c>
      <c r="AC302" s="20" t="n"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>
        <f>I303 * AC303</f>
        <v/>
      </c>
      <c r="J303" s="21">
        <f>J303 * AC303</f>
        <v/>
      </c>
      <c r="K303" s="21">
        <f>K303 * AC303</f>
        <v/>
      </c>
      <c r="L303" s="21">
        <f>L303 * AC303</f>
        <v/>
      </c>
      <c r="M303" s="25">
        <f>M303 * AC303</f>
        <v/>
      </c>
      <c r="N303" s="25">
        <f>N303 * AC303</f>
        <v/>
      </c>
      <c r="O303" s="25">
        <f>O303 * AC303</f>
        <v/>
      </c>
      <c r="P303" s="25">
        <f>P303 * AC303</f>
        <v/>
      </c>
      <c r="Q303" s="25">
        <f>Q303 * AC303</f>
        <v/>
      </c>
      <c r="R303" s="25">
        <f>R303 * AC303</f>
        <v/>
      </c>
      <c r="S303" s="25">
        <f>S303 * AC303</f>
        <v/>
      </c>
      <c r="T303" s="25">
        <f>T303 * AC303</f>
        <v/>
      </c>
      <c r="U303" s="25">
        <f>U303 * AC303</f>
        <v/>
      </c>
      <c r="V303" s="25">
        <f>V303 * AC303</f>
        <v/>
      </c>
      <c r="W303" s="25">
        <f>W303 * AC303</f>
        <v/>
      </c>
      <c r="X303" s="25">
        <f>X303 * AC303</f>
        <v/>
      </c>
      <c r="Y303" s="25">
        <f>Y303 * AC303</f>
        <v/>
      </c>
      <c r="Z303" s="17" t="n">
        <v/>
      </c>
      <c r="AA303" s="25">
        <f>AA303 * AC303</f>
        <v/>
      </c>
      <c r="AB303" s="25">
        <f>AB303 * AC303</f>
        <v/>
      </c>
      <c r="AC303" s="22" t="n"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>
        <f>I304 * AC304</f>
        <v/>
      </c>
      <c r="J304" s="19">
        <f>J304 * AC304</f>
        <v/>
      </c>
      <c r="K304" s="19">
        <f>K304 * AC304</f>
        <v/>
      </c>
      <c r="L304" s="19">
        <f>L304 * AC304</f>
        <v/>
      </c>
      <c r="M304" s="24">
        <f>M304 * AC304</f>
        <v/>
      </c>
      <c r="N304" s="24">
        <f>N304 * AC304</f>
        <v/>
      </c>
      <c r="O304" s="24">
        <f>O304 * AC304</f>
        <v/>
      </c>
      <c r="P304" s="24">
        <f>P304 * AC304</f>
        <v/>
      </c>
      <c r="Q304" s="24">
        <f>Q304 * AC304</f>
        <v/>
      </c>
      <c r="R304" s="24">
        <f>R304 * AC304</f>
        <v/>
      </c>
      <c r="S304" s="24">
        <f>S304 * AC304</f>
        <v/>
      </c>
      <c r="T304" s="24">
        <f>T304 * AC304</f>
        <v/>
      </c>
      <c r="U304" s="24">
        <f>U304 * AC304</f>
        <v/>
      </c>
      <c r="V304" s="24">
        <f>V304 * AC304</f>
        <v/>
      </c>
      <c r="W304" s="24">
        <f>W304 * AC304</f>
        <v/>
      </c>
      <c r="X304" s="24">
        <f>X304 * AC304</f>
        <v/>
      </c>
      <c r="Y304" s="24">
        <f>Y304 * AC304</f>
        <v/>
      </c>
      <c r="Z304" s="15" t="n">
        <v/>
      </c>
      <c r="AA304" s="24">
        <f>AA304 * AC304</f>
        <v/>
      </c>
      <c r="AB304" s="24">
        <f>AB304 * AC304</f>
        <v/>
      </c>
      <c r="AC304" s="20" t="n"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>
        <f>I305 * AC305</f>
        <v/>
      </c>
      <c r="J305" s="21">
        <f>J305 * AC305</f>
        <v/>
      </c>
      <c r="K305" s="21">
        <f>K305 * AC305</f>
        <v/>
      </c>
      <c r="L305" s="21">
        <f>L305 * AC305</f>
        <v/>
      </c>
      <c r="M305" s="25">
        <f>M305 * AC305</f>
        <v/>
      </c>
      <c r="N305" s="25">
        <f>N305 * AC305</f>
        <v/>
      </c>
      <c r="O305" s="25">
        <f>O305 * AC305</f>
        <v/>
      </c>
      <c r="P305" s="25">
        <f>P305 * AC305</f>
        <v/>
      </c>
      <c r="Q305" s="25">
        <f>Q305 * AC305</f>
        <v/>
      </c>
      <c r="R305" s="25">
        <f>R305 * AC305</f>
        <v/>
      </c>
      <c r="S305" s="25">
        <f>S305 * AC305</f>
        <v/>
      </c>
      <c r="T305" s="25">
        <f>T305 * AC305</f>
        <v/>
      </c>
      <c r="U305" s="25">
        <f>U305 * AC305</f>
        <v/>
      </c>
      <c r="V305" s="25">
        <f>V305 * AC305</f>
        <v/>
      </c>
      <c r="W305" s="25">
        <f>W305 * AC305</f>
        <v/>
      </c>
      <c r="X305" s="25">
        <f>X305 * AC305</f>
        <v/>
      </c>
      <c r="Y305" s="25">
        <f>Y305 * AC305</f>
        <v/>
      </c>
      <c r="Z305" s="17" t="n">
        <v/>
      </c>
      <c r="AA305" s="25">
        <f>AA305 * AC305</f>
        <v/>
      </c>
      <c r="AB305" s="25">
        <f>AB305 * AC305</f>
        <v/>
      </c>
      <c r="AC305" s="22" t="n"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>
        <f>I306 * AC306</f>
        <v/>
      </c>
      <c r="J306" s="19">
        <f>J306 * AC306</f>
        <v/>
      </c>
      <c r="K306" s="19">
        <f>K306 * AC306</f>
        <v/>
      </c>
      <c r="L306" s="19">
        <f>L306 * AC306</f>
        <v/>
      </c>
      <c r="M306" s="24">
        <f>M306 * AC306</f>
        <v/>
      </c>
      <c r="N306" s="24">
        <f>N306 * AC306</f>
        <v/>
      </c>
      <c r="O306" s="24">
        <f>O306 * AC306</f>
        <v/>
      </c>
      <c r="P306" s="24">
        <f>P306 * AC306</f>
        <v/>
      </c>
      <c r="Q306" s="24">
        <f>Q306 * AC306</f>
        <v/>
      </c>
      <c r="R306" s="24">
        <f>R306 * AC306</f>
        <v/>
      </c>
      <c r="S306" s="24">
        <f>S306 * AC306</f>
        <v/>
      </c>
      <c r="T306" s="24">
        <f>T306 * AC306</f>
        <v/>
      </c>
      <c r="U306" s="24">
        <f>U306 * AC306</f>
        <v/>
      </c>
      <c r="V306" s="24">
        <f>V306 * AC306</f>
        <v/>
      </c>
      <c r="W306" s="24">
        <f>W306 * AC306</f>
        <v/>
      </c>
      <c r="X306" s="24">
        <f>X306 * AC306</f>
        <v/>
      </c>
      <c r="Y306" s="24">
        <f>Y306 * AC306</f>
        <v/>
      </c>
      <c r="Z306" s="15" t="n">
        <v/>
      </c>
      <c r="AA306" s="24">
        <f>AA306 * AC306</f>
        <v/>
      </c>
      <c r="AB306" s="24">
        <f>AB306 * AC306</f>
        <v/>
      </c>
      <c r="AC306" s="20" t="n"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>
        <f>I307 * AC307</f>
        <v/>
      </c>
      <c r="J307" s="21">
        <f>J307 * AC307</f>
        <v/>
      </c>
      <c r="K307" s="21">
        <f>K307 * AC307</f>
        <v/>
      </c>
      <c r="L307" s="21">
        <f>L307 * AC307</f>
        <v/>
      </c>
      <c r="M307" s="25">
        <f>M307 * AC307</f>
        <v/>
      </c>
      <c r="N307" s="25">
        <f>N307 * AC307</f>
        <v/>
      </c>
      <c r="O307" s="25">
        <f>O307 * AC307</f>
        <v/>
      </c>
      <c r="P307" s="25">
        <f>P307 * AC307</f>
        <v/>
      </c>
      <c r="Q307" s="25">
        <f>Q307 * AC307</f>
        <v/>
      </c>
      <c r="R307" s="25">
        <f>R307 * AC307</f>
        <v/>
      </c>
      <c r="S307" s="25">
        <f>S307 * AC307</f>
        <v/>
      </c>
      <c r="T307" s="25">
        <f>T307 * AC307</f>
        <v/>
      </c>
      <c r="U307" s="25">
        <f>U307 * AC307</f>
        <v/>
      </c>
      <c r="V307" s="25">
        <f>V307 * AC307</f>
        <v/>
      </c>
      <c r="W307" s="25">
        <f>W307 * AC307</f>
        <v/>
      </c>
      <c r="X307" s="25">
        <f>X307 * AC307</f>
        <v/>
      </c>
      <c r="Y307" s="25">
        <f>Y307 * AC307</f>
        <v/>
      </c>
      <c r="Z307" s="17" t="n">
        <v/>
      </c>
      <c r="AA307" s="25">
        <f>AA307 * AC307</f>
        <v/>
      </c>
      <c r="AB307" s="25">
        <f>AB307 * AC307</f>
        <v/>
      </c>
      <c r="AC307" s="22" t="n"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>
        <f>I308 * AC308</f>
        <v/>
      </c>
      <c r="J308" s="19">
        <f>J308 * AC308</f>
        <v/>
      </c>
      <c r="K308" s="19">
        <f>K308 * AC308</f>
        <v/>
      </c>
      <c r="L308" s="19">
        <f>L308 * AC308</f>
        <v/>
      </c>
      <c r="M308" s="24">
        <f>M308 * AC308</f>
        <v/>
      </c>
      <c r="N308" s="24">
        <f>N308 * AC308</f>
        <v/>
      </c>
      <c r="O308" s="24">
        <f>O308 * AC308</f>
        <v/>
      </c>
      <c r="P308" s="24">
        <f>P308 * AC308</f>
        <v/>
      </c>
      <c r="Q308" s="24">
        <f>Q308 * AC308</f>
        <v/>
      </c>
      <c r="R308" s="24">
        <f>R308 * AC308</f>
        <v/>
      </c>
      <c r="S308" s="24">
        <f>S308 * AC308</f>
        <v/>
      </c>
      <c r="T308" s="24">
        <f>T308 * AC308</f>
        <v/>
      </c>
      <c r="U308" s="24">
        <f>U308 * AC308</f>
        <v/>
      </c>
      <c r="V308" s="24">
        <f>V308 * AC308</f>
        <v/>
      </c>
      <c r="W308" s="24">
        <f>W308 * AC308</f>
        <v/>
      </c>
      <c r="X308" s="24">
        <f>X308 * AC308</f>
        <v/>
      </c>
      <c r="Y308" s="24">
        <f>Y308 * AC308</f>
        <v/>
      </c>
      <c r="Z308" s="15" t="n">
        <v/>
      </c>
      <c r="AA308" s="24">
        <f>AA308 * AC308</f>
        <v/>
      </c>
      <c r="AB308" s="24">
        <f>AB308 * AC308</f>
        <v/>
      </c>
      <c r="AC308" s="20" t="n"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>
        <f>I309 * AC309</f>
        <v/>
      </c>
      <c r="J309" s="21">
        <f>J309 * AC309</f>
        <v/>
      </c>
      <c r="K309" s="21">
        <f>K309 * AC309</f>
        <v/>
      </c>
      <c r="L309" s="21">
        <f>L309 * AC309</f>
        <v/>
      </c>
      <c r="M309" s="25">
        <f>M309 * AC309</f>
        <v/>
      </c>
      <c r="N309" s="25">
        <f>N309 * AC309</f>
        <v/>
      </c>
      <c r="O309" s="25">
        <f>O309 * AC309</f>
        <v/>
      </c>
      <c r="P309" s="25">
        <f>P309 * AC309</f>
        <v/>
      </c>
      <c r="Q309" s="25">
        <f>Q309 * AC309</f>
        <v/>
      </c>
      <c r="R309" s="25">
        <f>R309 * AC309</f>
        <v/>
      </c>
      <c r="S309" s="25">
        <f>S309 * AC309</f>
        <v/>
      </c>
      <c r="T309" s="25">
        <f>T309 * AC309</f>
        <v/>
      </c>
      <c r="U309" s="25">
        <f>U309 * AC309</f>
        <v/>
      </c>
      <c r="V309" s="25">
        <f>V309 * AC309</f>
        <v/>
      </c>
      <c r="W309" s="25">
        <f>W309 * AC309</f>
        <v/>
      </c>
      <c r="X309" s="25">
        <f>X309 * AC309</f>
        <v/>
      </c>
      <c r="Y309" s="25">
        <f>Y309 * AC309</f>
        <v/>
      </c>
      <c r="Z309" s="17" t="n">
        <v/>
      </c>
      <c r="AA309" s="25">
        <f>AA309 * AC309</f>
        <v/>
      </c>
      <c r="AB309" s="25">
        <f>AB309 * AC309</f>
        <v/>
      </c>
      <c r="AC309" s="22" t="n"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>
        <f>I310 * AC310</f>
        <v/>
      </c>
      <c r="J310" s="19">
        <f>J310 * AC310</f>
        <v/>
      </c>
      <c r="K310" s="19">
        <f>K310 * AC310</f>
        <v/>
      </c>
      <c r="L310" s="19">
        <f>L310 * AC310</f>
        <v/>
      </c>
      <c r="M310" s="24">
        <f>M310 * AC310</f>
        <v/>
      </c>
      <c r="N310" s="24">
        <f>N310 * AC310</f>
        <v/>
      </c>
      <c r="O310" s="24">
        <f>O310 * AC310</f>
        <v/>
      </c>
      <c r="P310" s="24">
        <f>P310 * AC310</f>
        <v/>
      </c>
      <c r="Q310" s="24">
        <f>Q310 * AC310</f>
        <v/>
      </c>
      <c r="R310" s="24">
        <f>R310 * AC310</f>
        <v/>
      </c>
      <c r="S310" s="24">
        <f>S310 * AC310</f>
        <v/>
      </c>
      <c r="T310" s="24">
        <f>T310 * AC310</f>
        <v/>
      </c>
      <c r="U310" s="24">
        <f>U310 * AC310</f>
        <v/>
      </c>
      <c r="V310" s="24">
        <f>V310 * AC310</f>
        <v/>
      </c>
      <c r="W310" s="24">
        <f>W310 * AC310</f>
        <v/>
      </c>
      <c r="X310" s="24">
        <f>X310 * AC310</f>
        <v/>
      </c>
      <c r="Y310" s="24">
        <f>Y310 * AC310</f>
        <v/>
      </c>
      <c r="Z310" s="15" t="n">
        <v/>
      </c>
      <c r="AA310" s="24">
        <f>AA310 * AC310</f>
        <v/>
      </c>
      <c r="AB310" s="24">
        <f>AB310 * AC310</f>
        <v/>
      </c>
      <c r="AC310" s="20" t="n"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>
        <f>I311 * AC311</f>
        <v/>
      </c>
      <c r="J311" s="21">
        <f>J311 * AC311</f>
        <v/>
      </c>
      <c r="K311" s="21">
        <f>K311 * AC311</f>
        <v/>
      </c>
      <c r="L311" s="21">
        <f>L311 * AC311</f>
        <v/>
      </c>
      <c r="M311" s="25">
        <f>M311 * AC311</f>
        <v/>
      </c>
      <c r="N311" s="25">
        <f>N311 * AC311</f>
        <v/>
      </c>
      <c r="O311" s="25">
        <f>O311 * AC311</f>
        <v/>
      </c>
      <c r="P311" s="25">
        <f>P311 * AC311</f>
        <v/>
      </c>
      <c r="Q311" s="25">
        <f>Q311 * AC311</f>
        <v/>
      </c>
      <c r="R311" s="25">
        <f>R311 * AC311</f>
        <v/>
      </c>
      <c r="S311" s="25">
        <f>S311 * AC311</f>
        <v/>
      </c>
      <c r="T311" s="25">
        <f>T311 * AC311</f>
        <v/>
      </c>
      <c r="U311" s="25">
        <f>U311 * AC311</f>
        <v/>
      </c>
      <c r="V311" s="25">
        <f>V311 * AC311</f>
        <v/>
      </c>
      <c r="W311" s="25">
        <f>W311 * AC311</f>
        <v/>
      </c>
      <c r="X311" s="25">
        <f>X311 * AC311</f>
        <v/>
      </c>
      <c r="Y311" s="25">
        <f>Y311 * AC311</f>
        <v/>
      </c>
      <c r="Z311" s="17" t="n">
        <v/>
      </c>
      <c r="AA311" s="25">
        <f>AA311 * AC311</f>
        <v/>
      </c>
      <c r="AB311" s="25">
        <f>AB311 * AC311</f>
        <v/>
      </c>
      <c r="AC311" s="22" t="n"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>
        <f>I312 * AC312</f>
        <v/>
      </c>
      <c r="J312" s="19">
        <f>J312 * AC312</f>
        <v/>
      </c>
      <c r="K312" s="19">
        <f>K312 * AC312</f>
        <v/>
      </c>
      <c r="L312" s="19">
        <f>L312 * AC312</f>
        <v/>
      </c>
      <c r="M312" s="24">
        <f>M312 * AC312</f>
        <v/>
      </c>
      <c r="N312" s="24">
        <f>N312 * AC312</f>
        <v/>
      </c>
      <c r="O312" s="24">
        <f>O312 * AC312</f>
        <v/>
      </c>
      <c r="P312" s="24">
        <f>P312 * AC312</f>
        <v/>
      </c>
      <c r="Q312" s="24">
        <f>Q312 * AC312</f>
        <v/>
      </c>
      <c r="R312" s="24">
        <f>R312 * AC312</f>
        <v/>
      </c>
      <c r="S312" s="24">
        <f>S312 * AC312</f>
        <v/>
      </c>
      <c r="T312" s="24">
        <f>T312 * AC312</f>
        <v/>
      </c>
      <c r="U312" s="24">
        <f>U312 * AC312</f>
        <v/>
      </c>
      <c r="V312" s="24">
        <f>V312 * AC312</f>
        <v/>
      </c>
      <c r="W312" s="24">
        <f>W312 * AC312</f>
        <v/>
      </c>
      <c r="X312" s="24">
        <f>X312 * AC312</f>
        <v/>
      </c>
      <c r="Y312" s="24">
        <f>Y312 * AC312</f>
        <v/>
      </c>
      <c r="Z312" s="15" t="n">
        <v/>
      </c>
      <c r="AA312" s="24">
        <f>AA312 * AC312</f>
        <v/>
      </c>
      <c r="AB312" s="24">
        <f>AB312 * AC312</f>
        <v/>
      </c>
      <c r="AC312" s="20" t="n"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>
        <f>I313 * AC313</f>
        <v/>
      </c>
      <c r="J313" s="21">
        <f>J313 * AC313</f>
        <v/>
      </c>
      <c r="K313" s="21">
        <f>K313 * AC313</f>
        <v/>
      </c>
      <c r="L313" s="21">
        <f>L313 * AC313</f>
        <v/>
      </c>
      <c r="M313" s="25">
        <f>M313 * AC313</f>
        <v/>
      </c>
      <c r="N313" s="25">
        <f>N313 * AC313</f>
        <v/>
      </c>
      <c r="O313" s="25">
        <f>O313 * AC313</f>
        <v/>
      </c>
      <c r="P313" s="25">
        <f>P313 * AC313</f>
        <v/>
      </c>
      <c r="Q313" s="25">
        <f>Q313 * AC313</f>
        <v/>
      </c>
      <c r="R313" s="25">
        <f>R313 * AC313</f>
        <v/>
      </c>
      <c r="S313" s="25">
        <f>S313 * AC313</f>
        <v/>
      </c>
      <c r="T313" s="25">
        <f>T313 * AC313</f>
        <v/>
      </c>
      <c r="U313" s="25">
        <f>U313 * AC313</f>
        <v/>
      </c>
      <c r="V313" s="25">
        <f>V313 * AC313</f>
        <v/>
      </c>
      <c r="W313" s="25">
        <f>W313 * AC313</f>
        <v/>
      </c>
      <c r="X313" s="25">
        <f>X313 * AC313</f>
        <v/>
      </c>
      <c r="Y313" s="25">
        <f>Y313 * AC313</f>
        <v/>
      </c>
      <c r="Z313" s="17" t="n">
        <v/>
      </c>
      <c r="AA313" s="25">
        <f>AA313 * AC313</f>
        <v/>
      </c>
      <c r="AB313" s="25">
        <f>AB313 * AC313</f>
        <v/>
      </c>
      <c r="AC313" s="22" t="n"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>
        <f>I314 * AC314</f>
        <v/>
      </c>
      <c r="J314" s="19">
        <f>J314 * AC314</f>
        <v/>
      </c>
      <c r="K314" s="19">
        <f>K314 * AC314</f>
        <v/>
      </c>
      <c r="L314" s="19">
        <f>L314 * AC314</f>
        <v/>
      </c>
      <c r="M314" s="24">
        <f>M314 * AC314</f>
        <v/>
      </c>
      <c r="N314" s="24">
        <f>N314 * AC314</f>
        <v/>
      </c>
      <c r="O314" s="24">
        <f>O314 * AC314</f>
        <v/>
      </c>
      <c r="P314" s="24">
        <f>P314 * AC314</f>
        <v/>
      </c>
      <c r="Q314" s="24">
        <f>Q314 * AC314</f>
        <v/>
      </c>
      <c r="R314" s="24">
        <f>R314 * AC314</f>
        <v/>
      </c>
      <c r="S314" s="24">
        <f>S314 * AC314</f>
        <v/>
      </c>
      <c r="T314" s="24">
        <f>T314 * AC314</f>
        <v/>
      </c>
      <c r="U314" s="24">
        <f>U314 * AC314</f>
        <v/>
      </c>
      <c r="V314" s="24">
        <f>V314 * AC314</f>
        <v/>
      </c>
      <c r="W314" s="24">
        <f>W314 * AC314</f>
        <v/>
      </c>
      <c r="X314" s="24">
        <f>X314 * AC314</f>
        <v/>
      </c>
      <c r="Y314" s="24">
        <f>Y314 * AC314</f>
        <v/>
      </c>
      <c r="Z314" s="15" t="n">
        <v/>
      </c>
      <c r="AA314" s="24">
        <f>AA314 * AC314</f>
        <v/>
      </c>
      <c r="AB314" s="24">
        <f>AB314 * AC314</f>
        <v/>
      </c>
      <c r="AC314" s="20" t="n"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>
        <f>I315 * AC315</f>
        <v/>
      </c>
      <c r="J315" s="21">
        <f>J315 * AC315</f>
        <v/>
      </c>
      <c r="K315" s="21">
        <f>K315 * AC315</f>
        <v/>
      </c>
      <c r="L315" s="21">
        <f>L315 * AC315</f>
        <v/>
      </c>
      <c r="M315" s="25">
        <f>M315 * AC315</f>
        <v/>
      </c>
      <c r="N315" s="25">
        <f>N315 * AC315</f>
        <v/>
      </c>
      <c r="O315" s="25">
        <f>O315 * AC315</f>
        <v/>
      </c>
      <c r="P315" s="25">
        <f>P315 * AC315</f>
        <v/>
      </c>
      <c r="Q315" s="25">
        <f>Q315 * AC315</f>
        <v/>
      </c>
      <c r="R315" s="25">
        <f>R315 * AC315</f>
        <v/>
      </c>
      <c r="S315" s="25">
        <f>S315 * AC315</f>
        <v/>
      </c>
      <c r="T315" s="25">
        <f>T315 * AC315</f>
        <v/>
      </c>
      <c r="U315" s="25">
        <f>U315 * AC315</f>
        <v/>
      </c>
      <c r="V315" s="25">
        <f>V315 * AC315</f>
        <v/>
      </c>
      <c r="W315" s="25">
        <f>W315 * AC315</f>
        <v/>
      </c>
      <c r="X315" s="25">
        <f>X315 * AC315</f>
        <v/>
      </c>
      <c r="Y315" s="25">
        <f>Y315 * AC315</f>
        <v/>
      </c>
      <c r="Z315" s="17" t="n">
        <v/>
      </c>
      <c r="AA315" s="25">
        <f>AA315 * AC315</f>
        <v/>
      </c>
      <c r="AB315" s="25">
        <f>AB315 * AC315</f>
        <v/>
      </c>
      <c r="AC315" s="22" t="n"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>
        <f>I316 * AC316</f>
        <v/>
      </c>
      <c r="J316" s="19">
        <f>J316 * AC316</f>
        <v/>
      </c>
      <c r="K316" s="19">
        <f>K316 * AC316</f>
        <v/>
      </c>
      <c r="L316" s="19">
        <f>L316 * AC316</f>
        <v/>
      </c>
      <c r="M316" s="24">
        <f>M316 * AC316</f>
        <v/>
      </c>
      <c r="N316" s="24">
        <f>N316 * AC316</f>
        <v/>
      </c>
      <c r="O316" s="24">
        <f>O316 * AC316</f>
        <v/>
      </c>
      <c r="P316" s="24">
        <f>P316 * AC316</f>
        <v/>
      </c>
      <c r="Q316" s="24">
        <f>Q316 * AC316</f>
        <v/>
      </c>
      <c r="R316" s="24">
        <f>R316 * AC316</f>
        <v/>
      </c>
      <c r="S316" s="24">
        <f>S316 * AC316</f>
        <v/>
      </c>
      <c r="T316" s="24">
        <f>T316 * AC316</f>
        <v/>
      </c>
      <c r="U316" s="24">
        <f>U316 * AC316</f>
        <v/>
      </c>
      <c r="V316" s="24">
        <f>V316 * AC316</f>
        <v/>
      </c>
      <c r="W316" s="24">
        <f>W316 * AC316</f>
        <v/>
      </c>
      <c r="X316" s="24">
        <f>X316 * AC316</f>
        <v/>
      </c>
      <c r="Y316" s="24">
        <f>Y316 * AC316</f>
        <v/>
      </c>
      <c r="Z316" s="15" t="n">
        <v/>
      </c>
      <c r="AA316" s="24">
        <f>AA316 * AC316</f>
        <v/>
      </c>
      <c r="AB316" s="24">
        <f>AB316 * AC316</f>
        <v/>
      </c>
      <c r="AC316" s="20" t="n"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>
        <f>I317 * AC317</f>
        <v/>
      </c>
      <c r="J317" s="21">
        <f>J317 * AC317</f>
        <v/>
      </c>
      <c r="K317" s="21">
        <f>K317 * AC317</f>
        <v/>
      </c>
      <c r="L317" s="21">
        <f>L317 * AC317</f>
        <v/>
      </c>
      <c r="M317" s="25">
        <f>M317 * AC317</f>
        <v/>
      </c>
      <c r="N317" s="25">
        <f>N317 * AC317</f>
        <v/>
      </c>
      <c r="O317" s="25">
        <f>O317 * AC317</f>
        <v/>
      </c>
      <c r="P317" s="25">
        <f>P317 * AC317</f>
        <v/>
      </c>
      <c r="Q317" s="25">
        <f>Q317 * AC317</f>
        <v/>
      </c>
      <c r="R317" s="25">
        <f>R317 * AC317</f>
        <v/>
      </c>
      <c r="S317" s="25">
        <f>S317 * AC317</f>
        <v/>
      </c>
      <c r="T317" s="25">
        <f>T317 * AC317</f>
        <v/>
      </c>
      <c r="U317" s="25">
        <f>U317 * AC317</f>
        <v/>
      </c>
      <c r="V317" s="25">
        <f>V317 * AC317</f>
        <v/>
      </c>
      <c r="W317" s="25">
        <f>W317 * AC317</f>
        <v/>
      </c>
      <c r="X317" s="25">
        <f>X317 * AC317</f>
        <v/>
      </c>
      <c r="Y317" s="25">
        <f>Y317 * AC317</f>
        <v/>
      </c>
      <c r="Z317" s="17" t="n">
        <v/>
      </c>
      <c r="AA317" s="25">
        <f>AA317 * AC317</f>
        <v/>
      </c>
      <c r="AB317" s="25">
        <f>AB317 * AC317</f>
        <v/>
      </c>
      <c r="AC317" s="22" t="n"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>
        <f>I318 * AC318</f>
        <v/>
      </c>
      <c r="J318" s="19">
        <f>J318 * AC318</f>
        <v/>
      </c>
      <c r="K318" s="19">
        <f>K318 * AC318</f>
        <v/>
      </c>
      <c r="L318" s="19">
        <f>L318 * AC318</f>
        <v/>
      </c>
      <c r="M318" s="24">
        <f>M318 * AC318</f>
        <v/>
      </c>
      <c r="N318" s="24">
        <f>N318 * AC318</f>
        <v/>
      </c>
      <c r="O318" s="24">
        <f>O318 * AC318</f>
        <v/>
      </c>
      <c r="P318" s="24">
        <f>P318 * AC318</f>
        <v/>
      </c>
      <c r="Q318" s="24">
        <f>Q318 * AC318</f>
        <v/>
      </c>
      <c r="R318" s="24">
        <f>R318 * AC318</f>
        <v/>
      </c>
      <c r="S318" s="24">
        <f>S318 * AC318</f>
        <v/>
      </c>
      <c r="T318" s="24">
        <f>T318 * AC318</f>
        <v/>
      </c>
      <c r="U318" s="24">
        <f>U318 * AC318</f>
        <v/>
      </c>
      <c r="V318" s="24">
        <f>V318 * AC318</f>
        <v/>
      </c>
      <c r="W318" s="24">
        <f>W318 * AC318</f>
        <v/>
      </c>
      <c r="X318" s="24">
        <f>X318 * AC318</f>
        <v/>
      </c>
      <c r="Y318" s="24">
        <f>Y318 * AC318</f>
        <v/>
      </c>
      <c r="Z318" s="15" t="n">
        <v/>
      </c>
      <c r="AA318" s="24">
        <f>AA318 * AC318</f>
        <v/>
      </c>
      <c r="AB318" s="24">
        <f>AB318 * AC318</f>
        <v/>
      </c>
      <c r="AC318" s="20" t="n"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>
        <f>I319 * AC319</f>
        <v/>
      </c>
      <c r="J319" s="21">
        <f>J319 * AC319</f>
        <v/>
      </c>
      <c r="K319" s="21">
        <f>K319 * AC319</f>
        <v/>
      </c>
      <c r="L319" s="21">
        <f>L319 * AC319</f>
        <v/>
      </c>
      <c r="M319" s="25">
        <f>M319 * AC319</f>
        <v/>
      </c>
      <c r="N319" s="25">
        <f>N319 * AC319</f>
        <v/>
      </c>
      <c r="O319" s="25">
        <f>O319 * AC319</f>
        <v/>
      </c>
      <c r="P319" s="25">
        <f>P319 * AC319</f>
        <v/>
      </c>
      <c r="Q319" s="25">
        <f>Q319 * AC319</f>
        <v/>
      </c>
      <c r="R319" s="25">
        <f>R319 * AC319</f>
        <v/>
      </c>
      <c r="S319" s="25">
        <f>S319 * AC319</f>
        <v/>
      </c>
      <c r="T319" s="25">
        <f>T319 * AC319</f>
        <v/>
      </c>
      <c r="U319" s="25">
        <f>U319 * AC319</f>
        <v/>
      </c>
      <c r="V319" s="25">
        <f>V319 * AC319</f>
        <v/>
      </c>
      <c r="W319" s="25">
        <f>W319 * AC319</f>
        <v/>
      </c>
      <c r="X319" s="25">
        <f>X319 * AC319</f>
        <v/>
      </c>
      <c r="Y319" s="25">
        <f>Y319 * AC319</f>
        <v/>
      </c>
      <c r="Z319" s="17" t="n">
        <v/>
      </c>
      <c r="AA319" s="25">
        <f>AA319 * AC319</f>
        <v/>
      </c>
      <c r="AB319" s="25">
        <f>AB319 * AC319</f>
        <v/>
      </c>
      <c r="AC319" s="22" t="n"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>
        <f>I320 * AC320</f>
        <v/>
      </c>
      <c r="J320" s="19">
        <f>J320 * AC320</f>
        <v/>
      </c>
      <c r="K320" s="19">
        <f>K320 * AC320</f>
        <v/>
      </c>
      <c r="L320" s="19">
        <f>L320 * AC320</f>
        <v/>
      </c>
      <c r="M320" s="24">
        <f>M320 * AC320</f>
        <v/>
      </c>
      <c r="N320" s="24">
        <f>N320 * AC320</f>
        <v/>
      </c>
      <c r="O320" s="24">
        <f>O320 * AC320</f>
        <v/>
      </c>
      <c r="P320" s="24">
        <f>P320 * AC320</f>
        <v/>
      </c>
      <c r="Q320" s="24">
        <f>Q320 * AC320</f>
        <v/>
      </c>
      <c r="R320" s="24">
        <f>R320 * AC320</f>
        <v/>
      </c>
      <c r="S320" s="24">
        <f>S320 * AC320</f>
        <v/>
      </c>
      <c r="T320" s="24">
        <f>T320 * AC320</f>
        <v/>
      </c>
      <c r="U320" s="24">
        <f>U320 * AC320</f>
        <v/>
      </c>
      <c r="V320" s="24">
        <f>V320 * AC320</f>
        <v/>
      </c>
      <c r="W320" s="24">
        <f>W320 * AC320</f>
        <v/>
      </c>
      <c r="X320" s="24">
        <f>X320 * AC320</f>
        <v/>
      </c>
      <c r="Y320" s="24">
        <f>Y320 * AC320</f>
        <v/>
      </c>
      <c r="Z320" s="15" t="n">
        <v/>
      </c>
      <c r="AA320" s="24">
        <f>AA320 * AC320</f>
        <v/>
      </c>
      <c r="AB320" s="24">
        <f>AB320 * AC320</f>
        <v/>
      </c>
      <c r="AC320" s="20" t="n"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>
        <f>I321 * AC321</f>
        <v/>
      </c>
      <c r="J321" s="21">
        <f>J321 * AC321</f>
        <v/>
      </c>
      <c r="K321" s="21">
        <f>K321 * AC321</f>
        <v/>
      </c>
      <c r="L321" s="21">
        <f>L321 * AC321</f>
        <v/>
      </c>
      <c r="M321" s="25">
        <f>M321 * AC321</f>
        <v/>
      </c>
      <c r="N321" s="25">
        <f>N321 * AC321</f>
        <v/>
      </c>
      <c r="O321" s="25">
        <f>O321 * AC321</f>
        <v/>
      </c>
      <c r="P321" s="25">
        <f>P321 * AC321</f>
        <v/>
      </c>
      <c r="Q321" s="25">
        <f>Q321 * AC321</f>
        <v/>
      </c>
      <c r="R321" s="25">
        <f>R321 * AC321</f>
        <v/>
      </c>
      <c r="S321" s="25">
        <f>S321 * AC321</f>
        <v/>
      </c>
      <c r="T321" s="25">
        <f>T321 * AC321</f>
        <v/>
      </c>
      <c r="U321" s="25">
        <f>U321 * AC321</f>
        <v/>
      </c>
      <c r="V321" s="25">
        <f>V321 * AC321</f>
        <v/>
      </c>
      <c r="W321" s="25">
        <f>W321 * AC321</f>
        <v/>
      </c>
      <c r="X321" s="25">
        <f>X321 * AC321</f>
        <v/>
      </c>
      <c r="Y321" s="25">
        <f>Y321 * AC321</f>
        <v/>
      </c>
      <c r="Z321" s="17" t="n">
        <v/>
      </c>
      <c r="AA321" s="25">
        <f>AA321 * AC321</f>
        <v/>
      </c>
      <c r="AB321" s="25">
        <f>AB321 * AC321</f>
        <v/>
      </c>
      <c r="AC321" s="22" t="n"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>
        <f>I322 * AC322</f>
        <v/>
      </c>
      <c r="J322" s="19">
        <f>J322 * AC322</f>
        <v/>
      </c>
      <c r="K322" s="19">
        <f>K322 * AC322</f>
        <v/>
      </c>
      <c r="L322" s="19">
        <f>L322 * AC322</f>
        <v/>
      </c>
      <c r="M322" s="24">
        <f>M322 * AC322</f>
        <v/>
      </c>
      <c r="N322" s="24">
        <f>N322 * AC322</f>
        <v/>
      </c>
      <c r="O322" s="24">
        <f>O322 * AC322</f>
        <v/>
      </c>
      <c r="P322" s="24">
        <f>P322 * AC322</f>
        <v/>
      </c>
      <c r="Q322" s="24">
        <f>Q322 * AC322</f>
        <v/>
      </c>
      <c r="R322" s="24">
        <f>R322 * AC322</f>
        <v/>
      </c>
      <c r="S322" s="24">
        <f>S322 * AC322</f>
        <v/>
      </c>
      <c r="T322" s="24">
        <f>T322 * AC322</f>
        <v/>
      </c>
      <c r="U322" s="24">
        <f>U322 * AC322</f>
        <v/>
      </c>
      <c r="V322" s="24">
        <f>V322 * AC322</f>
        <v/>
      </c>
      <c r="W322" s="24">
        <f>W322 * AC322</f>
        <v/>
      </c>
      <c r="X322" s="24">
        <f>X322 * AC322</f>
        <v/>
      </c>
      <c r="Y322" s="24">
        <f>Y322 * AC322</f>
        <v/>
      </c>
      <c r="Z322" s="15" t="n">
        <v/>
      </c>
      <c r="AA322" s="24">
        <f>AA322 * AC322</f>
        <v/>
      </c>
      <c r="AB322" s="24">
        <f>AB322 * AC322</f>
        <v/>
      </c>
      <c r="AC322" s="20" t="n"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>
        <f>I323 * AC323</f>
        <v/>
      </c>
      <c r="J323" s="21">
        <f>J323 * AC323</f>
        <v/>
      </c>
      <c r="K323" s="21">
        <f>K323 * AC323</f>
        <v/>
      </c>
      <c r="L323" s="21">
        <f>L323 * AC323</f>
        <v/>
      </c>
      <c r="M323" s="25">
        <f>M323 * AC323</f>
        <v/>
      </c>
      <c r="N323" s="25">
        <f>N323 * AC323</f>
        <v/>
      </c>
      <c r="O323" s="25">
        <f>O323 * AC323</f>
        <v/>
      </c>
      <c r="P323" s="25">
        <f>P323 * AC323</f>
        <v/>
      </c>
      <c r="Q323" s="25">
        <f>Q323 * AC323</f>
        <v/>
      </c>
      <c r="R323" s="25">
        <f>R323 * AC323</f>
        <v/>
      </c>
      <c r="S323" s="25">
        <f>S323 * AC323</f>
        <v/>
      </c>
      <c r="T323" s="25">
        <f>T323 * AC323</f>
        <v/>
      </c>
      <c r="U323" s="25">
        <f>U323 * AC323</f>
        <v/>
      </c>
      <c r="V323" s="25">
        <f>V323 * AC323</f>
        <v/>
      </c>
      <c r="W323" s="25">
        <f>W323 * AC323</f>
        <v/>
      </c>
      <c r="X323" s="25">
        <f>X323 * AC323</f>
        <v/>
      </c>
      <c r="Y323" s="25">
        <f>Y323 * AC323</f>
        <v/>
      </c>
      <c r="Z323" s="17" t="n">
        <v/>
      </c>
      <c r="AA323" s="25">
        <f>AA323 * AC323</f>
        <v/>
      </c>
      <c r="AB323" s="25">
        <f>AB323 * AC323</f>
        <v/>
      </c>
      <c r="AC323" s="22" t="n"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>
        <f>I324 * AC324</f>
        <v/>
      </c>
      <c r="J324" s="19">
        <f>J324 * AC324</f>
        <v/>
      </c>
      <c r="K324" s="19">
        <f>K324 * AC324</f>
        <v/>
      </c>
      <c r="L324" s="19">
        <f>L324 * AC324</f>
        <v/>
      </c>
      <c r="M324" s="24">
        <f>M324 * AC324</f>
        <v/>
      </c>
      <c r="N324" s="24">
        <f>N324 * AC324</f>
        <v/>
      </c>
      <c r="O324" s="24">
        <f>O324 * AC324</f>
        <v/>
      </c>
      <c r="P324" s="24">
        <f>P324 * AC324</f>
        <v/>
      </c>
      <c r="Q324" s="24">
        <f>Q324 * AC324</f>
        <v/>
      </c>
      <c r="R324" s="24">
        <f>R324 * AC324</f>
        <v/>
      </c>
      <c r="S324" s="24">
        <f>S324 * AC324</f>
        <v/>
      </c>
      <c r="T324" s="24">
        <f>T324 * AC324</f>
        <v/>
      </c>
      <c r="U324" s="24">
        <f>U324 * AC324</f>
        <v/>
      </c>
      <c r="V324" s="24">
        <f>V324 * AC324</f>
        <v/>
      </c>
      <c r="W324" s="24">
        <f>W324 * AC324</f>
        <v/>
      </c>
      <c r="X324" s="24">
        <f>X324 * AC324</f>
        <v/>
      </c>
      <c r="Y324" s="24">
        <f>Y324 * AC324</f>
        <v/>
      </c>
      <c r="Z324" s="15" t="n">
        <v/>
      </c>
      <c r="AA324" s="24">
        <f>AA324 * AC324</f>
        <v/>
      </c>
      <c r="AB324" s="24">
        <f>AB324 * AC324</f>
        <v/>
      </c>
      <c r="AC324" s="20" t="n"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>
        <f>I325 * AC325</f>
        <v/>
      </c>
      <c r="J325" s="21">
        <f>J325 * AC325</f>
        <v/>
      </c>
      <c r="K325" s="21">
        <f>K325 * AC325</f>
        <v/>
      </c>
      <c r="L325" s="21">
        <f>L325 * AC325</f>
        <v/>
      </c>
      <c r="M325" s="25">
        <f>M325 * AC325</f>
        <v/>
      </c>
      <c r="N325" s="25">
        <f>N325 * AC325</f>
        <v/>
      </c>
      <c r="O325" s="25">
        <f>O325 * AC325</f>
        <v/>
      </c>
      <c r="P325" s="25">
        <f>P325 * AC325</f>
        <v/>
      </c>
      <c r="Q325" s="25">
        <f>Q325 * AC325</f>
        <v/>
      </c>
      <c r="R325" s="25">
        <f>R325 * AC325</f>
        <v/>
      </c>
      <c r="S325" s="25">
        <f>S325 * AC325</f>
        <v/>
      </c>
      <c r="T325" s="25">
        <f>T325 * AC325</f>
        <v/>
      </c>
      <c r="U325" s="25">
        <f>U325 * AC325</f>
        <v/>
      </c>
      <c r="V325" s="25">
        <f>V325 * AC325</f>
        <v/>
      </c>
      <c r="W325" s="25">
        <f>W325 * AC325</f>
        <v/>
      </c>
      <c r="X325" s="25">
        <f>X325 * AC325</f>
        <v/>
      </c>
      <c r="Y325" s="25">
        <f>Y325 * AC325</f>
        <v/>
      </c>
      <c r="Z325" s="17" t="n">
        <v/>
      </c>
      <c r="AA325" s="25">
        <f>AA325 * AC325</f>
        <v/>
      </c>
      <c r="AB325" s="25">
        <f>AB325 * AC325</f>
        <v/>
      </c>
      <c r="AC325" s="22" t="n"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>
        <f>I326 * AC326</f>
        <v/>
      </c>
      <c r="J326" s="19">
        <f>J326 * AC326</f>
        <v/>
      </c>
      <c r="K326" s="19">
        <f>K326 * AC326</f>
        <v/>
      </c>
      <c r="L326" s="19">
        <f>L326 * AC326</f>
        <v/>
      </c>
      <c r="M326" s="24">
        <f>M326 * AC326</f>
        <v/>
      </c>
      <c r="N326" s="24">
        <f>N326 * AC326</f>
        <v/>
      </c>
      <c r="O326" s="24">
        <f>O326 * AC326</f>
        <v/>
      </c>
      <c r="P326" s="24">
        <f>P326 * AC326</f>
        <v/>
      </c>
      <c r="Q326" s="24">
        <f>Q326 * AC326</f>
        <v/>
      </c>
      <c r="R326" s="24">
        <f>R326 * AC326</f>
        <v/>
      </c>
      <c r="S326" s="24">
        <f>S326 * AC326</f>
        <v/>
      </c>
      <c r="T326" s="24">
        <f>T326 * AC326</f>
        <v/>
      </c>
      <c r="U326" s="24">
        <f>U326 * AC326</f>
        <v/>
      </c>
      <c r="V326" s="24">
        <f>V326 * AC326</f>
        <v/>
      </c>
      <c r="W326" s="24">
        <f>W326 * AC326</f>
        <v/>
      </c>
      <c r="X326" s="24">
        <f>X326 * AC326</f>
        <v/>
      </c>
      <c r="Y326" s="24">
        <f>Y326 * AC326</f>
        <v/>
      </c>
      <c r="Z326" s="15" t="n">
        <v/>
      </c>
      <c r="AA326" s="24">
        <f>AA326 * AC326</f>
        <v/>
      </c>
      <c r="AB326" s="24">
        <f>AB326 * AC326</f>
        <v/>
      </c>
      <c r="AC326" s="20" t="n"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>
        <f>I327 * AC327</f>
        <v/>
      </c>
      <c r="J327" s="21">
        <f>J327 * AC327</f>
        <v/>
      </c>
      <c r="K327" s="21">
        <f>K327 * AC327</f>
        <v/>
      </c>
      <c r="L327" s="21">
        <f>L327 * AC327</f>
        <v/>
      </c>
      <c r="M327" s="25">
        <f>M327 * AC327</f>
        <v/>
      </c>
      <c r="N327" s="25">
        <f>N327 * AC327</f>
        <v/>
      </c>
      <c r="O327" s="25">
        <f>O327 * AC327</f>
        <v/>
      </c>
      <c r="P327" s="25">
        <f>P327 * AC327</f>
        <v/>
      </c>
      <c r="Q327" s="25">
        <f>Q327 * AC327</f>
        <v/>
      </c>
      <c r="R327" s="25">
        <f>R327 * AC327</f>
        <v/>
      </c>
      <c r="S327" s="25">
        <f>S327 * AC327</f>
        <v/>
      </c>
      <c r="T327" s="25">
        <f>T327 * AC327</f>
        <v/>
      </c>
      <c r="U327" s="25">
        <f>U327 * AC327</f>
        <v/>
      </c>
      <c r="V327" s="25">
        <f>V327 * AC327</f>
        <v/>
      </c>
      <c r="W327" s="25">
        <f>W327 * AC327</f>
        <v/>
      </c>
      <c r="X327" s="25">
        <f>X327 * AC327</f>
        <v/>
      </c>
      <c r="Y327" s="25">
        <f>Y327 * AC327</f>
        <v/>
      </c>
      <c r="Z327" s="17" t="n">
        <v/>
      </c>
      <c r="AA327" s="25">
        <f>AA327 * AC327</f>
        <v/>
      </c>
      <c r="AB327" s="25">
        <f>AB327 * AC327</f>
        <v/>
      </c>
      <c r="AC327" s="22" t="n"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>
        <f>I328 * AC328</f>
        <v/>
      </c>
      <c r="J328" s="19">
        <f>J328 * AC328</f>
        <v/>
      </c>
      <c r="K328" s="19">
        <f>K328 * AC328</f>
        <v/>
      </c>
      <c r="L328" s="19">
        <f>L328 * AC328</f>
        <v/>
      </c>
      <c r="M328" s="24">
        <f>M328 * AC328</f>
        <v/>
      </c>
      <c r="N328" s="24">
        <f>N328 * AC328</f>
        <v/>
      </c>
      <c r="O328" s="24">
        <f>O328 * AC328</f>
        <v/>
      </c>
      <c r="P328" s="24">
        <f>P328 * AC328</f>
        <v/>
      </c>
      <c r="Q328" s="24">
        <f>Q328 * AC328</f>
        <v/>
      </c>
      <c r="R328" s="24">
        <f>R328 * AC328</f>
        <v/>
      </c>
      <c r="S328" s="24">
        <f>S328 * AC328</f>
        <v/>
      </c>
      <c r="T328" s="24">
        <f>T328 * AC328</f>
        <v/>
      </c>
      <c r="U328" s="24">
        <f>U328 * AC328</f>
        <v/>
      </c>
      <c r="V328" s="24">
        <f>V328 * AC328</f>
        <v/>
      </c>
      <c r="W328" s="24">
        <f>W328 * AC328</f>
        <v/>
      </c>
      <c r="X328" s="24">
        <f>X328 * AC328</f>
        <v/>
      </c>
      <c r="Y328" s="24">
        <f>Y328 * AC328</f>
        <v/>
      </c>
      <c r="Z328" s="15" t="n">
        <v/>
      </c>
      <c r="AA328" s="24">
        <f>AA328 * AC328</f>
        <v/>
      </c>
      <c r="AB328" s="24">
        <f>AB328 * AC328</f>
        <v/>
      </c>
      <c r="AC328" s="20" t="n"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>
        <f>I329 * AC329</f>
        <v/>
      </c>
      <c r="J329" s="21">
        <f>J329 * AC329</f>
        <v/>
      </c>
      <c r="K329" s="21">
        <f>K329 * AC329</f>
        <v/>
      </c>
      <c r="L329" s="21">
        <f>L329 * AC329</f>
        <v/>
      </c>
      <c r="M329" s="25">
        <f>M329 * AC329</f>
        <v/>
      </c>
      <c r="N329" s="25">
        <f>N329 * AC329</f>
        <v/>
      </c>
      <c r="O329" s="25">
        <f>O329 * AC329</f>
        <v/>
      </c>
      <c r="P329" s="25">
        <f>P329 * AC329</f>
        <v/>
      </c>
      <c r="Q329" s="25">
        <f>Q329 * AC329</f>
        <v/>
      </c>
      <c r="R329" s="25">
        <f>R329 * AC329</f>
        <v/>
      </c>
      <c r="S329" s="25">
        <f>S329 * AC329</f>
        <v/>
      </c>
      <c r="T329" s="25">
        <f>T329 * AC329</f>
        <v/>
      </c>
      <c r="U329" s="25">
        <f>U329 * AC329</f>
        <v/>
      </c>
      <c r="V329" s="25">
        <f>V329 * AC329</f>
        <v/>
      </c>
      <c r="W329" s="25">
        <f>W329 * AC329</f>
        <v/>
      </c>
      <c r="X329" s="25">
        <f>X329 * AC329</f>
        <v/>
      </c>
      <c r="Y329" s="25">
        <f>Y329 * AC329</f>
        <v/>
      </c>
      <c r="Z329" s="17" t="n">
        <v/>
      </c>
      <c r="AA329" s="25">
        <f>AA329 * AC329</f>
        <v/>
      </c>
      <c r="AB329" s="25">
        <f>AB329 * AC329</f>
        <v/>
      </c>
      <c r="AC329" s="22" t="n"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>
        <f>I330 * AC330</f>
        <v/>
      </c>
      <c r="J330" s="19">
        <f>J330 * AC330</f>
        <v/>
      </c>
      <c r="K330" s="19">
        <f>K330 * AC330</f>
        <v/>
      </c>
      <c r="L330" s="19">
        <f>L330 * AC330</f>
        <v/>
      </c>
      <c r="M330" s="24">
        <f>M330 * AC330</f>
        <v/>
      </c>
      <c r="N330" s="24">
        <f>N330 * AC330</f>
        <v/>
      </c>
      <c r="O330" s="24">
        <f>O330 * AC330</f>
        <v/>
      </c>
      <c r="P330" s="24">
        <f>P330 * AC330</f>
        <v/>
      </c>
      <c r="Q330" s="24">
        <f>Q330 * AC330</f>
        <v/>
      </c>
      <c r="R330" s="24">
        <f>R330 * AC330</f>
        <v/>
      </c>
      <c r="S330" s="24">
        <f>S330 * AC330</f>
        <v/>
      </c>
      <c r="T330" s="24">
        <f>T330 * AC330</f>
        <v/>
      </c>
      <c r="U330" s="24">
        <f>U330 * AC330</f>
        <v/>
      </c>
      <c r="V330" s="24">
        <f>V330 * AC330</f>
        <v/>
      </c>
      <c r="W330" s="24">
        <f>W330 * AC330</f>
        <v/>
      </c>
      <c r="X330" s="24">
        <f>X330 * AC330</f>
        <v/>
      </c>
      <c r="Y330" s="24">
        <f>Y330 * AC330</f>
        <v/>
      </c>
      <c r="Z330" s="15" t="n">
        <v/>
      </c>
      <c r="AA330" s="24">
        <f>AA330 * AC330</f>
        <v/>
      </c>
      <c r="AB330" s="24">
        <f>AB330 * AC330</f>
        <v/>
      </c>
      <c r="AC330" s="20" t="n"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>
        <f>I331 * AC331</f>
        <v/>
      </c>
      <c r="J331" s="21">
        <f>J331 * AC331</f>
        <v/>
      </c>
      <c r="K331" s="21">
        <f>K331 * AC331</f>
        <v/>
      </c>
      <c r="L331" s="21">
        <f>L331 * AC331</f>
        <v/>
      </c>
      <c r="M331" s="25">
        <f>M331 * AC331</f>
        <v/>
      </c>
      <c r="N331" s="25">
        <f>N331 * AC331</f>
        <v/>
      </c>
      <c r="O331" s="25">
        <f>O331 * AC331</f>
        <v/>
      </c>
      <c r="P331" s="25">
        <f>P331 * AC331</f>
        <v/>
      </c>
      <c r="Q331" s="25">
        <f>Q331 * AC331</f>
        <v/>
      </c>
      <c r="R331" s="25">
        <f>R331 * AC331</f>
        <v/>
      </c>
      <c r="S331" s="25">
        <f>S331 * AC331</f>
        <v/>
      </c>
      <c r="T331" s="25">
        <f>T331 * AC331</f>
        <v/>
      </c>
      <c r="U331" s="25">
        <f>U331 * AC331</f>
        <v/>
      </c>
      <c r="V331" s="25">
        <f>V331 * AC331</f>
        <v/>
      </c>
      <c r="W331" s="25">
        <f>W331 * AC331</f>
        <v/>
      </c>
      <c r="X331" s="25">
        <f>X331 * AC331</f>
        <v/>
      </c>
      <c r="Y331" s="25">
        <f>Y331 * AC331</f>
        <v/>
      </c>
      <c r="Z331" s="17" t="n">
        <v/>
      </c>
      <c r="AA331" s="25">
        <f>AA331 * AC331</f>
        <v/>
      </c>
      <c r="AB331" s="25">
        <f>AB331 * AC331</f>
        <v/>
      </c>
      <c r="AC331" s="22" t="n"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>
        <f>I332 * AC332</f>
        <v/>
      </c>
      <c r="J332" s="19">
        <f>J332 * AC332</f>
        <v/>
      </c>
      <c r="K332" s="19">
        <f>K332 * AC332</f>
        <v/>
      </c>
      <c r="L332" s="19">
        <f>L332 * AC332</f>
        <v/>
      </c>
      <c r="M332" s="24">
        <f>M332 * AC332</f>
        <v/>
      </c>
      <c r="N332" s="24">
        <f>N332 * AC332</f>
        <v/>
      </c>
      <c r="O332" s="24">
        <f>O332 * AC332</f>
        <v/>
      </c>
      <c r="P332" s="24">
        <f>P332 * AC332</f>
        <v/>
      </c>
      <c r="Q332" s="24">
        <f>Q332 * AC332</f>
        <v/>
      </c>
      <c r="R332" s="24">
        <f>R332 * AC332</f>
        <v/>
      </c>
      <c r="S332" s="24">
        <f>S332 * AC332</f>
        <v/>
      </c>
      <c r="T332" s="24">
        <f>T332 * AC332</f>
        <v/>
      </c>
      <c r="U332" s="24">
        <f>U332 * AC332</f>
        <v/>
      </c>
      <c r="V332" s="24">
        <f>V332 * AC332</f>
        <v/>
      </c>
      <c r="W332" s="24">
        <f>W332 * AC332</f>
        <v/>
      </c>
      <c r="X332" s="24">
        <f>X332 * AC332</f>
        <v/>
      </c>
      <c r="Y332" s="24">
        <f>Y332 * AC332</f>
        <v/>
      </c>
      <c r="Z332" s="15" t="n">
        <v/>
      </c>
      <c r="AA332" s="24">
        <f>AA332 * AC332</f>
        <v/>
      </c>
      <c r="AB332" s="24">
        <f>AB332 * AC332</f>
        <v/>
      </c>
      <c r="AC332" s="20" t="n"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>
        <f>I333 * AC333</f>
        <v/>
      </c>
      <c r="J333" s="21">
        <f>J333 * AC333</f>
        <v/>
      </c>
      <c r="K333" s="21">
        <f>K333 * AC333</f>
        <v/>
      </c>
      <c r="L333" s="21">
        <f>L333 * AC333</f>
        <v/>
      </c>
      <c r="M333" s="25">
        <f>M333 * AC333</f>
        <v/>
      </c>
      <c r="N333" s="25">
        <f>N333 * AC333</f>
        <v/>
      </c>
      <c r="O333" s="25">
        <f>O333 * AC333</f>
        <v/>
      </c>
      <c r="P333" s="25">
        <f>P333 * AC333</f>
        <v/>
      </c>
      <c r="Q333" s="25">
        <f>Q333 * AC333</f>
        <v/>
      </c>
      <c r="R333" s="25">
        <f>R333 * AC333</f>
        <v/>
      </c>
      <c r="S333" s="25">
        <f>S333 * AC333</f>
        <v/>
      </c>
      <c r="T333" s="25">
        <f>T333 * AC333</f>
        <v/>
      </c>
      <c r="U333" s="25">
        <f>U333 * AC333</f>
        <v/>
      </c>
      <c r="V333" s="25">
        <f>V333 * AC333</f>
        <v/>
      </c>
      <c r="W333" s="25">
        <f>W333 * AC333</f>
        <v/>
      </c>
      <c r="X333" s="25">
        <f>X333 * AC333</f>
        <v/>
      </c>
      <c r="Y333" s="25">
        <f>Y333 * AC333</f>
        <v/>
      </c>
      <c r="Z333" s="17" t="n">
        <v/>
      </c>
      <c r="AA333" s="25">
        <f>AA333 * AC333</f>
        <v/>
      </c>
      <c r="AB333" s="25">
        <f>AB333 * AC333</f>
        <v/>
      </c>
      <c r="AC333" s="22" t="n"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>
        <f>I334 * AC334</f>
        <v/>
      </c>
      <c r="J334" s="19">
        <f>J334 * AC334</f>
        <v/>
      </c>
      <c r="K334" s="19">
        <f>K334 * AC334</f>
        <v/>
      </c>
      <c r="L334" s="19">
        <f>L334 * AC334</f>
        <v/>
      </c>
      <c r="M334" s="24">
        <f>M334 * AC334</f>
        <v/>
      </c>
      <c r="N334" s="24">
        <f>N334 * AC334</f>
        <v/>
      </c>
      <c r="O334" s="24">
        <f>O334 * AC334</f>
        <v/>
      </c>
      <c r="P334" s="24">
        <f>P334 * AC334</f>
        <v/>
      </c>
      <c r="Q334" s="24">
        <f>Q334 * AC334</f>
        <v/>
      </c>
      <c r="R334" s="24">
        <f>R334 * AC334</f>
        <v/>
      </c>
      <c r="S334" s="24">
        <f>S334 * AC334</f>
        <v/>
      </c>
      <c r="T334" s="24">
        <f>T334 * AC334</f>
        <v/>
      </c>
      <c r="U334" s="24">
        <f>U334 * AC334</f>
        <v/>
      </c>
      <c r="V334" s="24">
        <f>V334 * AC334</f>
        <v/>
      </c>
      <c r="W334" s="24">
        <f>W334 * AC334</f>
        <v/>
      </c>
      <c r="X334" s="24">
        <f>X334 * AC334</f>
        <v/>
      </c>
      <c r="Y334" s="24">
        <f>Y334 * AC334</f>
        <v/>
      </c>
      <c r="Z334" s="15" t="n">
        <v/>
      </c>
      <c r="AA334" s="24">
        <f>AA334 * AC334</f>
        <v/>
      </c>
      <c r="AB334" s="24">
        <f>AB334 * AC334</f>
        <v/>
      </c>
      <c r="AC334" s="20" t="n"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>
        <f>I335 * AC335</f>
        <v/>
      </c>
      <c r="J335" s="21">
        <f>J335 * AC335</f>
        <v/>
      </c>
      <c r="K335" s="21">
        <f>K335 * AC335</f>
        <v/>
      </c>
      <c r="L335" s="21">
        <f>L335 * AC335</f>
        <v/>
      </c>
      <c r="M335" s="25">
        <f>M335 * AC335</f>
        <v/>
      </c>
      <c r="N335" s="25">
        <f>N335 * AC335</f>
        <v/>
      </c>
      <c r="O335" s="25">
        <f>O335 * AC335</f>
        <v/>
      </c>
      <c r="P335" s="25">
        <f>P335 * AC335</f>
        <v/>
      </c>
      <c r="Q335" s="25">
        <f>Q335 * AC335</f>
        <v/>
      </c>
      <c r="R335" s="25">
        <f>R335 * AC335</f>
        <v/>
      </c>
      <c r="S335" s="25">
        <f>S335 * AC335</f>
        <v/>
      </c>
      <c r="T335" s="25">
        <f>T335 * AC335</f>
        <v/>
      </c>
      <c r="U335" s="25">
        <f>U335 * AC335</f>
        <v/>
      </c>
      <c r="V335" s="25">
        <f>V335 * AC335</f>
        <v/>
      </c>
      <c r="W335" s="25">
        <f>W335 * AC335</f>
        <v/>
      </c>
      <c r="X335" s="25">
        <f>X335 * AC335</f>
        <v/>
      </c>
      <c r="Y335" s="25">
        <f>Y335 * AC335</f>
        <v/>
      </c>
      <c r="Z335" s="17" t="n">
        <v/>
      </c>
      <c r="AA335" s="25">
        <f>AA335 * AC335</f>
        <v/>
      </c>
      <c r="AB335" s="25">
        <f>AB335 * AC335</f>
        <v/>
      </c>
      <c r="AC335" s="22" t="n"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>
        <f>I336 * AC336</f>
        <v/>
      </c>
      <c r="J336" s="19">
        <f>J336 * AC336</f>
        <v/>
      </c>
      <c r="K336" s="19">
        <f>K336 * AC336</f>
        <v/>
      </c>
      <c r="L336" s="19">
        <f>L336 * AC336</f>
        <v/>
      </c>
      <c r="M336" s="24">
        <f>M336 * AC336</f>
        <v/>
      </c>
      <c r="N336" s="24">
        <f>N336 * AC336</f>
        <v/>
      </c>
      <c r="O336" s="24">
        <f>O336 * AC336</f>
        <v/>
      </c>
      <c r="P336" s="24">
        <f>P336 * AC336</f>
        <v/>
      </c>
      <c r="Q336" s="24">
        <f>Q336 * AC336</f>
        <v/>
      </c>
      <c r="R336" s="24">
        <f>R336 * AC336</f>
        <v/>
      </c>
      <c r="S336" s="24">
        <f>S336 * AC336</f>
        <v/>
      </c>
      <c r="T336" s="24">
        <f>T336 * AC336</f>
        <v/>
      </c>
      <c r="U336" s="24">
        <f>U336 * AC336</f>
        <v/>
      </c>
      <c r="V336" s="24">
        <f>V336 * AC336</f>
        <v/>
      </c>
      <c r="W336" s="24">
        <f>W336 * AC336</f>
        <v/>
      </c>
      <c r="X336" s="24">
        <f>X336 * AC336</f>
        <v/>
      </c>
      <c r="Y336" s="24">
        <f>Y336 * AC336</f>
        <v/>
      </c>
      <c r="Z336" s="15" t="n">
        <v/>
      </c>
      <c r="AA336" s="24">
        <f>AA336 * AC336</f>
        <v/>
      </c>
      <c r="AB336" s="24">
        <f>AB336 * AC336</f>
        <v/>
      </c>
      <c r="AC336" s="20" t="n"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>
        <f>I337 * AC337</f>
        <v/>
      </c>
      <c r="J337" s="21">
        <f>J337 * AC337</f>
        <v/>
      </c>
      <c r="K337" s="21">
        <f>K337 * AC337</f>
        <v/>
      </c>
      <c r="L337" s="21">
        <f>L337 * AC337</f>
        <v/>
      </c>
      <c r="M337" s="25">
        <f>M337 * AC337</f>
        <v/>
      </c>
      <c r="N337" s="25">
        <f>N337 * AC337</f>
        <v/>
      </c>
      <c r="O337" s="25">
        <f>O337 * AC337</f>
        <v/>
      </c>
      <c r="P337" s="25">
        <f>P337 * AC337</f>
        <v/>
      </c>
      <c r="Q337" s="25">
        <f>Q337 * AC337</f>
        <v/>
      </c>
      <c r="R337" s="25">
        <f>R337 * AC337</f>
        <v/>
      </c>
      <c r="S337" s="25">
        <f>S337 * AC337</f>
        <v/>
      </c>
      <c r="T337" s="25">
        <f>T337 * AC337</f>
        <v/>
      </c>
      <c r="U337" s="25">
        <f>U337 * AC337</f>
        <v/>
      </c>
      <c r="V337" s="25">
        <f>V337 * AC337</f>
        <v/>
      </c>
      <c r="W337" s="25">
        <f>W337 * AC337</f>
        <v/>
      </c>
      <c r="X337" s="25">
        <f>X337 * AC337</f>
        <v/>
      </c>
      <c r="Y337" s="25">
        <f>Y337 * AC337</f>
        <v/>
      </c>
      <c r="Z337" s="17" t="n">
        <v/>
      </c>
      <c r="AA337" s="25">
        <f>AA337 * AC337</f>
        <v/>
      </c>
      <c r="AB337" s="25">
        <f>AB337 * AC337</f>
        <v/>
      </c>
      <c r="AC337" s="22" t="n"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>
        <f>I338 * AC338</f>
        <v/>
      </c>
      <c r="J338" s="19">
        <f>J338 * AC338</f>
        <v/>
      </c>
      <c r="K338" s="19">
        <f>K338 * AC338</f>
        <v/>
      </c>
      <c r="L338" s="19">
        <f>L338 * AC338</f>
        <v/>
      </c>
      <c r="M338" s="24">
        <f>M338 * AC338</f>
        <v/>
      </c>
      <c r="N338" s="24">
        <f>N338 * AC338</f>
        <v/>
      </c>
      <c r="O338" s="24">
        <f>O338 * AC338</f>
        <v/>
      </c>
      <c r="P338" s="24">
        <f>P338 * AC338</f>
        <v/>
      </c>
      <c r="Q338" s="24">
        <f>Q338 * AC338</f>
        <v/>
      </c>
      <c r="R338" s="24">
        <f>R338 * AC338</f>
        <v/>
      </c>
      <c r="S338" s="24">
        <f>S338 * AC338</f>
        <v/>
      </c>
      <c r="T338" s="24">
        <f>T338 * AC338</f>
        <v/>
      </c>
      <c r="U338" s="24">
        <f>U338 * AC338</f>
        <v/>
      </c>
      <c r="V338" s="24">
        <f>V338 * AC338</f>
        <v/>
      </c>
      <c r="W338" s="24">
        <f>W338 * AC338</f>
        <v/>
      </c>
      <c r="X338" s="24">
        <f>X338 * AC338</f>
        <v/>
      </c>
      <c r="Y338" s="24">
        <f>Y338 * AC338</f>
        <v/>
      </c>
      <c r="Z338" s="15" t="n">
        <v/>
      </c>
      <c r="AA338" s="24">
        <f>AA338 * AC338</f>
        <v/>
      </c>
      <c r="AB338" s="24">
        <f>AB338 * AC338</f>
        <v/>
      </c>
      <c r="AC338" s="20" t="n"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>
        <f>I339 * AC339</f>
        <v/>
      </c>
      <c r="J339" s="21">
        <f>J339 * AC339</f>
        <v/>
      </c>
      <c r="K339" s="21">
        <f>K339 * AC339</f>
        <v/>
      </c>
      <c r="L339" s="21">
        <f>L339 * AC339</f>
        <v/>
      </c>
      <c r="M339" s="25">
        <f>M339 * AC339</f>
        <v/>
      </c>
      <c r="N339" s="25">
        <f>N339 * AC339</f>
        <v/>
      </c>
      <c r="O339" s="25">
        <f>O339 * AC339</f>
        <v/>
      </c>
      <c r="P339" s="25">
        <f>P339 * AC339</f>
        <v/>
      </c>
      <c r="Q339" s="25">
        <f>Q339 * AC339</f>
        <v/>
      </c>
      <c r="R339" s="25">
        <f>R339 * AC339</f>
        <v/>
      </c>
      <c r="S339" s="25">
        <f>S339 * AC339</f>
        <v/>
      </c>
      <c r="T339" s="25">
        <f>T339 * AC339</f>
        <v/>
      </c>
      <c r="U339" s="25">
        <f>U339 * AC339</f>
        <v/>
      </c>
      <c r="V339" s="25">
        <f>V339 * AC339</f>
        <v/>
      </c>
      <c r="W339" s="25">
        <f>W339 * AC339</f>
        <v/>
      </c>
      <c r="X339" s="25">
        <f>X339 * AC339</f>
        <v/>
      </c>
      <c r="Y339" s="25">
        <f>Y339 * AC339</f>
        <v/>
      </c>
      <c r="Z339" s="17" t="n">
        <v/>
      </c>
      <c r="AA339" s="25">
        <f>AA339 * AC339</f>
        <v/>
      </c>
      <c r="AB339" s="25">
        <f>AB339 * AC339</f>
        <v/>
      </c>
      <c r="AC339" s="22" t="n"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>
        <f>I340 * AC340</f>
        <v/>
      </c>
      <c r="J340" s="19">
        <f>J340 * AC340</f>
        <v/>
      </c>
      <c r="K340" s="19">
        <f>K340 * AC340</f>
        <v/>
      </c>
      <c r="L340" s="19">
        <f>L340 * AC340</f>
        <v/>
      </c>
      <c r="M340" s="24">
        <f>M340 * AC340</f>
        <v/>
      </c>
      <c r="N340" s="24">
        <f>N340 * AC340</f>
        <v/>
      </c>
      <c r="O340" s="24">
        <f>O340 * AC340</f>
        <v/>
      </c>
      <c r="P340" s="24">
        <f>P340 * AC340</f>
        <v/>
      </c>
      <c r="Q340" s="24">
        <f>Q340 * AC340</f>
        <v/>
      </c>
      <c r="R340" s="24">
        <f>R340 * AC340</f>
        <v/>
      </c>
      <c r="S340" s="24">
        <f>S340 * AC340</f>
        <v/>
      </c>
      <c r="T340" s="24">
        <f>T340 * AC340</f>
        <v/>
      </c>
      <c r="U340" s="24">
        <f>U340 * AC340</f>
        <v/>
      </c>
      <c r="V340" s="24">
        <f>V340 * AC340</f>
        <v/>
      </c>
      <c r="W340" s="24">
        <f>W340 * AC340</f>
        <v/>
      </c>
      <c r="X340" s="24">
        <f>X340 * AC340</f>
        <v/>
      </c>
      <c r="Y340" s="24">
        <f>Y340 * AC340</f>
        <v/>
      </c>
      <c r="Z340" s="15" t="n">
        <v/>
      </c>
      <c r="AA340" s="24">
        <f>AA340 * AC340</f>
        <v/>
      </c>
      <c r="AB340" s="24">
        <f>AB340 * AC340</f>
        <v/>
      </c>
      <c r="AC340" s="20" t="n"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>
        <f>I341 * AC341</f>
        <v/>
      </c>
      <c r="J341" s="21">
        <f>J341 * AC341</f>
        <v/>
      </c>
      <c r="K341" s="21">
        <f>K341 * AC341</f>
        <v/>
      </c>
      <c r="L341" s="21">
        <f>L341 * AC341</f>
        <v/>
      </c>
      <c r="M341" s="25">
        <f>M341 * AC341</f>
        <v/>
      </c>
      <c r="N341" s="25">
        <f>N341 * AC341</f>
        <v/>
      </c>
      <c r="O341" s="25">
        <f>O341 * AC341</f>
        <v/>
      </c>
      <c r="P341" s="25">
        <f>P341 * AC341</f>
        <v/>
      </c>
      <c r="Q341" s="25">
        <f>Q341 * AC341</f>
        <v/>
      </c>
      <c r="R341" s="25">
        <f>R341 * AC341</f>
        <v/>
      </c>
      <c r="S341" s="25">
        <f>S341 * AC341</f>
        <v/>
      </c>
      <c r="T341" s="25">
        <f>T341 * AC341</f>
        <v/>
      </c>
      <c r="U341" s="25">
        <f>U341 * AC341</f>
        <v/>
      </c>
      <c r="V341" s="25">
        <f>V341 * AC341</f>
        <v/>
      </c>
      <c r="W341" s="25">
        <f>W341 * AC341</f>
        <v/>
      </c>
      <c r="X341" s="25">
        <f>X341 * AC341</f>
        <v/>
      </c>
      <c r="Y341" s="25">
        <f>Y341 * AC341</f>
        <v/>
      </c>
      <c r="Z341" s="17" t="n">
        <v/>
      </c>
      <c r="AA341" s="25">
        <f>AA341 * AC341</f>
        <v/>
      </c>
      <c r="AB341" s="25">
        <f>AB341 * AC341</f>
        <v/>
      </c>
      <c r="AC341" s="22" t="n"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>
        <f>I342 * AC342</f>
        <v/>
      </c>
      <c r="J342" s="19">
        <f>J342 * AC342</f>
        <v/>
      </c>
      <c r="K342" s="19">
        <f>K342 * AC342</f>
        <v/>
      </c>
      <c r="L342" s="19">
        <f>L342 * AC342</f>
        <v/>
      </c>
      <c r="M342" s="24">
        <f>M342 * AC342</f>
        <v/>
      </c>
      <c r="N342" s="24">
        <f>N342 * AC342</f>
        <v/>
      </c>
      <c r="O342" s="24">
        <f>O342 * AC342</f>
        <v/>
      </c>
      <c r="P342" s="24">
        <f>P342 * AC342</f>
        <v/>
      </c>
      <c r="Q342" s="24">
        <f>Q342 * AC342</f>
        <v/>
      </c>
      <c r="R342" s="24">
        <f>R342 * AC342</f>
        <v/>
      </c>
      <c r="S342" s="24">
        <f>S342 * AC342</f>
        <v/>
      </c>
      <c r="T342" s="24">
        <f>T342 * AC342</f>
        <v/>
      </c>
      <c r="U342" s="24">
        <f>U342 * AC342</f>
        <v/>
      </c>
      <c r="V342" s="24">
        <f>V342 * AC342</f>
        <v/>
      </c>
      <c r="W342" s="24">
        <f>W342 * AC342</f>
        <v/>
      </c>
      <c r="X342" s="24">
        <f>X342 * AC342</f>
        <v/>
      </c>
      <c r="Y342" s="24">
        <f>Y342 * AC342</f>
        <v/>
      </c>
      <c r="Z342" s="15" t="n">
        <v/>
      </c>
      <c r="AA342" s="24">
        <f>AA342 * AC342</f>
        <v/>
      </c>
      <c r="AB342" s="24">
        <f>AB342 * AC342</f>
        <v/>
      </c>
      <c r="AC342" s="20" t="n"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>
        <f>I343 * AC343</f>
        <v/>
      </c>
      <c r="J343" s="21">
        <f>J343 * AC343</f>
        <v/>
      </c>
      <c r="K343" s="21">
        <f>K343 * AC343</f>
        <v/>
      </c>
      <c r="L343" s="21">
        <f>L343 * AC343</f>
        <v/>
      </c>
      <c r="M343" s="25">
        <f>M343 * AC343</f>
        <v/>
      </c>
      <c r="N343" s="25">
        <f>N343 * AC343</f>
        <v/>
      </c>
      <c r="O343" s="25">
        <f>O343 * AC343</f>
        <v/>
      </c>
      <c r="P343" s="25">
        <f>P343 * AC343</f>
        <v/>
      </c>
      <c r="Q343" s="25">
        <f>Q343 * AC343</f>
        <v/>
      </c>
      <c r="R343" s="25">
        <f>R343 * AC343</f>
        <v/>
      </c>
      <c r="S343" s="25">
        <f>S343 * AC343</f>
        <v/>
      </c>
      <c r="T343" s="25">
        <f>T343 * AC343</f>
        <v/>
      </c>
      <c r="U343" s="25">
        <f>U343 * AC343</f>
        <v/>
      </c>
      <c r="V343" s="25">
        <f>V343 * AC343</f>
        <v/>
      </c>
      <c r="W343" s="25">
        <f>W343 * AC343</f>
        <v/>
      </c>
      <c r="X343" s="25">
        <f>X343 * AC343</f>
        <v/>
      </c>
      <c r="Y343" s="25">
        <f>Y343 * AC343</f>
        <v/>
      </c>
      <c r="Z343" s="17" t="n">
        <v/>
      </c>
      <c r="AA343" s="25">
        <f>AA343 * AC343</f>
        <v/>
      </c>
      <c r="AB343" s="25">
        <f>AB343 * AC343</f>
        <v/>
      </c>
      <c r="AC343" s="22" t="n"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>
        <f>I344 * AC344</f>
        <v/>
      </c>
      <c r="J344" s="19">
        <f>J344 * AC344</f>
        <v/>
      </c>
      <c r="K344" s="19">
        <f>K344 * AC344</f>
        <v/>
      </c>
      <c r="L344" s="19">
        <f>L344 * AC344</f>
        <v/>
      </c>
      <c r="M344" s="24">
        <f>M344 * AC344</f>
        <v/>
      </c>
      <c r="N344" s="24">
        <f>N344 * AC344</f>
        <v/>
      </c>
      <c r="O344" s="24">
        <f>O344 * AC344</f>
        <v/>
      </c>
      <c r="P344" s="24">
        <f>P344 * AC344</f>
        <v/>
      </c>
      <c r="Q344" s="24">
        <f>Q344 * AC344</f>
        <v/>
      </c>
      <c r="R344" s="24">
        <f>R344 * AC344</f>
        <v/>
      </c>
      <c r="S344" s="24">
        <f>S344 * AC344</f>
        <v/>
      </c>
      <c r="T344" s="24">
        <f>T344 * AC344</f>
        <v/>
      </c>
      <c r="U344" s="24">
        <f>U344 * AC344</f>
        <v/>
      </c>
      <c r="V344" s="24">
        <f>V344 * AC344</f>
        <v/>
      </c>
      <c r="W344" s="24">
        <f>W344 * AC344</f>
        <v/>
      </c>
      <c r="X344" s="24">
        <f>X344 * AC344</f>
        <v/>
      </c>
      <c r="Y344" s="24">
        <f>Y344 * AC344</f>
        <v/>
      </c>
      <c r="Z344" s="15" t="n">
        <v/>
      </c>
      <c r="AA344" s="24">
        <f>AA344 * AC344</f>
        <v/>
      </c>
      <c r="AB344" s="24">
        <f>AB344 * AC344</f>
        <v/>
      </c>
      <c r="AC344" s="20" t="n"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>
        <f>I345 * AC345</f>
        <v/>
      </c>
      <c r="J345" s="21">
        <f>J345 * AC345</f>
        <v/>
      </c>
      <c r="K345" s="21">
        <f>K345 * AC345</f>
        <v/>
      </c>
      <c r="L345" s="21">
        <f>L345 * AC345</f>
        <v/>
      </c>
      <c r="M345" s="25">
        <f>M345 * AC345</f>
        <v/>
      </c>
      <c r="N345" s="25">
        <f>N345 * AC345</f>
        <v/>
      </c>
      <c r="O345" s="25">
        <f>O345 * AC345</f>
        <v/>
      </c>
      <c r="P345" s="25">
        <f>P345 * AC345</f>
        <v/>
      </c>
      <c r="Q345" s="25">
        <f>Q345 * AC345</f>
        <v/>
      </c>
      <c r="R345" s="25">
        <f>R345 * AC345</f>
        <v/>
      </c>
      <c r="S345" s="25">
        <f>S345 * AC345</f>
        <v/>
      </c>
      <c r="T345" s="25">
        <f>T345 * AC345</f>
        <v/>
      </c>
      <c r="U345" s="25">
        <f>U345 * AC345</f>
        <v/>
      </c>
      <c r="V345" s="25">
        <f>V345 * AC345</f>
        <v/>
      </c>
      <c r="W345" s="25">
        <f>W345 * AC345</f>
        <v/>
      </c>
      <c r="X345" s="25">
        <f>X345 * AC345</f>
        <v/>
      </c>
      <c r="Y345" s="25">
        <f>Y345 * AC345</f>
        <v/>
      </c>
      <c r="Z345" s="17" t="n">
        <v/>
      </c>
      <c r="AA345" s="25">
        <f>AA345 * AC345</f>
        <v/>
      </c>
      <c r="AB345" s="25">
        <f>AB345 * AC345</f>
        <v/>
      </c>
      <c r="AC345" s="22" t="n"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>
        <f>I346 * AC346</f>
        <v/>
      </c>
      <c r="J346" s="19">
        <f>J346 * AC346</f>
        <v/>
      </c>
      <c r="K346" s="19">
        <f>K346 * AC346</f>
        <v/>
      </c>
      <c r="L346" s="19">
        <f>L346 * AC346</f>
        <v/>
      </c>
      <c r="M346" s="24">
        <f>M346 * AC346</f>
        <v/>
      </c>
      <c r="N346" s="24">
        <f>N346 * AC346</f>
        <v/>
      </c>
      <c r="O346" s="24">
        <f>O346 * AC346</f>
        <v/>
      </c>
      <c r="P346" s="24">
        <f>P346 * AC346</f>
        <v/>
      </c>
      <c r="Q346" s="24">
        <f>Q346 * AC346</f>
        <v/>
      </c>
      <c r="R346" s="24">
        <f>R346 * AC346</f>
        <v/>
      </c>
      <c r="S346" s="24">
        <f>S346 * AC346</f>
        <v/>
      </c>
      <c r="T346" s="24">
        <f>T346 * AC346</f>
        <v/>
      </c>
      <c r="U346" s="24">
        <f>U346 * AC346</f>
        <v/>
      </c>
      <c r="V346" s="24">
        <f>V346 * AC346</f>
        <v/>
      </c>
      <c r="W346" s="24">
        <f>W346 * AC346</f>
        <v/>
      </c>
      <c r="X346" s="24">
        <f>X346 * AC346</f>
        <v/>
      </c>
      <c r="Y346" s="24">
        <f>Y346 * AC346</f>
        <v/>
      </c>
      <c r="Z346" s="15" t="n">
        <v/>
      </c>
      <c r="AA346" s="24">
        <f>AA346 * AC346</f>
        <v/>
      </c>
      <c r="AB346" s="24">
        <f>AB346 * AC346</f>
        <v/>
      </c>
      <c r="AC346" s="20" t="n"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>
        <f>I347 * AC347</f>
        <v/>
      </c>
      <c r="J347" s="21">
        <f>J347 * AC347</f>
        <v/>
      </c>
      <c r="K347" s="21">
        <f>K347 * AC347</f>
        <v/>
      </c>
      <c r="L347" s="21">
        <f>L347 * AC347</f>
        <v/>
      </c>
      <c r="M347" s="25">
        <f>M347 * AC347</f>
        <v/>
      </c>
      <c r="N347" s="25">
        <f>N347 * AC347</f>
        <v/>
      </c>
      <c r="O347" s="25">
        <f>O347 * AC347</f>
        <v/>
      </c>
      <c r="P347" s="25">
        <f>P347 * AC347</f>
        <v/>
      </c>
      <c r="Q347" s="25">
        <f>Q347 * AC347</f>
        <v/>
      </c>
      <c r="R347" s="25">
        <f>R347 * AC347</f>
        <v/>
      </c>
      <c r="S347" s="25">
        <f>S347 * AC347</f>
        <v/>
      </c>
      <c r="T347" s="25">
        <f>T347 * AC347</f>
        <v/>
      </c>
      <c r="U347" s="25">
        <f>U347 * AC347</f>
        <v/>
      </c>
      <c r="V347" s="25">
        <f>V347 * AC347</f>
        <v/>
      </c>
      <c r="W347" s="25">
        <f>W347 * AC347</f>
        <v/>
      </c>
      <c r="X347" s="25">
        <f>X347 * AC347</f>
        <v/>
      </c>
      <c r="Y347" s="25">
        <f>Y347 * AC347</f>
        <v/>
      </c>
      <c r="Z347" s="17" t="n">
        <v/>
      </c>
      <c r="AA347" s="25">
        <f>AA347 * AC347</f>
        <v/>
      </c>
      <c r="AB347" s="25">
        <f>AB347 * AC347</f>
        <v/>
      </c>
      <c r="AC347" s="22" t="n"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>
        <f>I348 * AC348</f>
        <v/>
      </c>
      <c r="J348" s="19">
        <f>J348 * AC348</f>
        <v/>
      </c>
      <c r="K348" s="19">
        <f>K348 * AC348</f>
        <v/>
      </c>
      <c r="L348" s="19">
        <f>L348 * AC348</f>
        <v/>
      </c>
      <c r="M348" s="24">
        <f>M348 * AC348</f>
        <v/>
      </c>
      <c r="N348" s="24">
        <f>N348 * AC348</f>
        <v/>
      </c>
      <c r="O348" s="24">
        <f>O348 * AC348</f>
        <v/>
      </c>
      <c r="P348" s="24">
        <f>P348 * AC348</f>
        <v/>
      </c>
      <c r="Q348" s="24">
        <f>Q348 * AC348</f>
        <v/>
      </c>
      <c r="R348" s="24">
        <f>R348 * AC348</f>
        <v/>
      </c>
      <c r="S348" s="24">
        <f>S348 * AC348</f>
        <v/>
      </c>
      <c r="T348" s="24">
        <f>T348 * AC348</f>
        <v/>
      </c>
      <c r="U348" s="24">
        <f>U348 * AC348</f>
        <v/>
      </c>
      <c r="V348" s="24">
        <f>V348 * AC348</f>
        <v/>
      </c>
      <c r="W348" s="24">
        <f>W348 * AC348</f>
        <v/>
      </c>
      <c r="X348" s="24">
        <f>X348 * AC348</f>
        <v/>
      </c>
      <c r="Y348" s="24">
        <f>Y348 * AC348</f>
        <v/>
      </c>
      <c r="Z348" s="15" t="n">
        <v/>
      </c>
      <c r="AA348" s="24">
        <f>AA348 * AC348</f>
        <v/>
      </c>
      <c r="AB348" s="24">
        <f>AB348 * AC348</f>
        <v/>
      </c>
      <c r="AC348" s="20" t="n"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>
        <f>I349 * AC349</f>
        <v/>
      </c>
      <c r="J349" s="21">
        <f>J349 * AC349</f>
        <v/>
      </c>
      <c r="K349" s="21">
        <f>K349 * AC349</f>
        <v/>
      </c>
      <c r="L349" s="21">
        <f>L349 * AC349</f>
        <v/>
      </c>
      <c r="M349" s="25">
        <f>M349 * AC349</f>
        <v/>
      </c>
      <c r="N349" s="25">
        <f>N349 * AC349</f>
        <v/>
      </c>
      <c r="O349" s="25">
        <f>O349 * AC349</f>
        <v/>
      </c>
      <c r="P349" s="25">
        <f>P349 * AC349</f>
        <v/>
      </c>
      <c r="Q349" s="25">
        <f>Q349 * AC349</f>
        <v/>
      </c>
      <c r="R349" s="25">
        <f>R349 * AC349</f>
        <v/>
      </c>
      <c r="S349" s="25">
        <f>S349 * AC349</f>
        <v/>
      </c>
      <c r="T349" s="25">
        <f>T349 * AC349</f>
        <v/>
      </c>
      <c r="U349" s="25">
        <f>U349 * AC349</f>
        <v/>
      </c>
      <c r="V349" s="25">
        <f>V349 * AC349</f>
        <v/>
      </c>
      <c r="W349" s="25">
        <f>W349 * AC349</f>
        <v/>
      </c>
      <c r="X349" s="25">
        <f>X349 * AC349</f>
        <v/>
      </c>
      <c r="Y349" s="25">
        <f>Y349 * AC349</f>
        <v/>
      </c>
      <c r="Z349" s="17" t="n">
        <v/>
      </c>
      <c r="AA349" s="25">
        <f>AA349 * AC349</f>
        <v/>
      </c>
      <c r="AB349" s="25">
        <f>AB349 * AC349</f>
        <v/>
      </c>
      <c r="AC349" s="22" t="n"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>
        <f>I350 * AC350</f>
        <v/>
      </c>
      <c r="J350" s="19">
        <f>J350 * AC350</f>
        <v/>
      </c>
      <c r="K350" s="19">
        <f>K350 * AC350</f>
        <v/>
      </c>
      <c r="L350" s="19">
        <f>L350 * AC350</f>
        <v/>
      </c>
      <c r="M350" s="24">
        <f>M350 * AC350</f>
        <v/>
      </c>
      <c r="N350" s="24">
        <f>N350 * AC350</f>
        <v/>
      </c>
      <c r="O350" s="24">
        <f>O350 * AC350</f>
        <v/>
      </c>
      <c r="P350" s="24">
        <f>P350 * AC350</f>
        <v/>
      </c>
      <c r="Q350" s="24">
        <f>Q350 * AC350</f>
        <v/>
      </c>
      <c r="R350" s="24">
        <f>R350 * AC350</f>
        <v/>
      </c>
      <c r="S350" s="24">
        <f>S350 * AC350</f>
        <v/>
      </c>
      <c r="T350" s="24">
        <f>T350 * AC350</f>
        <v/>
      </c>
      <c r="U350" s="24">
        <f>U350 * AC350</f>
        <v/>
      </c>
      <c r="V350" s="24">
        <f>V350 * AC350</f>
        <v/>
      </c>
      <c r="W350" s="24">
        <f>W350 * AC350</f>
        <v/>
      </c>
      <c r="X350" s="24">
        <f>X350 * AC350</f>
        <v/>
      </c>
      <c r="Y350" s="24">
        <f>Y350 * AC350</f>
        <v/>
      </c>
      <c r="Z350" s="15" t="n">
        <v/>
      </c>
      <c r="AA350" s="24">
        <f>AA350 * AC350</f>
        <v/>
      </c>
      <c r="AB350" s="24">
        <f>AB350 * AC350</f>
        <v/>
      </c>
      <c r="AC350" s="20" t="n"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>
        <f>I351 * AC351</f>
        <v/>
      </c>
      <c r="J351" s="21">
        <f>J351 * AC351</f>
        <v/>
      </c>
      <c r="K351" s="21">
        <f>K351 * AC351</f>
        <v/>
      </c>
      <c r="L351" s="21">
        <f>L351 * AC351</f>
        <v/>
      </c>
      <c r="M351" s="25">
        <f>M351 * AC351</f>
        <v/>
      </c>
      <c r="N351" s="25">
        <f>N351 * AC351</f>
        <v/>
      </c>
      <c r="O351" s="25">
        <f>O351 * AC351</f>
        <v/>
      </c>
      <c r="P351" s="25">
        <f>P351 * AC351</f>
        <v/>
      </c>
      <c r="Q351" s="25">
        <f>Q351 * AC351</f>
        <v/>
      </c>
      <c r="R351" s="25">
        <f>R351 * AC351</f>
        <v/>
      </c>
      <c r="S351" s="25">
        <f>S351 * AC351</f>
        <v/>
      </c>
      <c r="T351" s="25">
        <f>T351 * AC351</f>
        <v/>
      </c>
      <c r="U351" s="25">
        <f>U351 * AC351</f>
        <v/>
      </c>
      <c r="V351" s="25">
        <f>V351 * AC351</f>
        <v/>
      </c>
      <c r="W351" s="25">
        <f>W351 * AC351</f>
        <v/>
      </c>
      <c r="X351" s="25">
        <f>X351 * AC351</f>
        <v/>
      </c>
      <c r="Y351" s="25">
        <f>Y351 * AC351</f>
        <v/>
      </c>
      <c r="Z351" s="17" t="n">
        <v/>
      </c>
      <c r="AA351" s="25">
        <f>AA351 * AC351</f>
        <v/>
      </c>
      <c r="AB351" s="25">
        <f>AB351 * AC351</f>
        <v/>
      </c>
      <c r="AC351" s="22" t="n"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>
        <f>I352 * AC352</f>
        <v/>
      </c>
      <c r="J352" s="19">
        <f>J352 * AC352</f>
        <v/>
      </c>
      <c r="K352" s="19">
        <f>K352 * AC352</f>
        <v/>
      </c>
      <c r="L352" s="19">
        <f>L352 * AC352</f>
        <v/>
      </c>
      <c r="M352" s="24">
        <f>M352 * AC352</f>
        <v/>
      </c>
      <c r="N352" s="24">
        <f>N352 * AC352</f>
        <v/>
      </c>
      <c r="O352" s="24">
        <f>O352 * AC352</f>
        <v/>
      </c>
      <c r="P352" s="24">
        <f>P352 * AC352</f>
        <v/>
      </c>
      <c r="Q352" s="24">
        <f>Q352 * AC352</f>
        <v/>
      </c>
      <c r="R352" s="24">
        <f>R352 * AC352</f>
        <v/>
      </c>
      <c r="S352" s="24">
        <f>S352 * AC352</f>
        <v/>
      </c>
      <c r="T352" s="24">
        <f>T352 * AC352</f>
        <v/>
      </c>
      <c r="U352" s="24">
        <f>U352 * AC352</f>
        <v/>
      </c>
      <c r="V352" s="24">
        <f>V352 * AC352</f>
        <v/>
      </c>
      <c r="W352" s="24">
        <f>W352 * AC352</f>
        <v/>
      </c>
      <c r="X352" s="24">
        <f>X352 * AC352</f>
        <v/>
      </c>
      <c r="Y352" s="24">
        <f>Y352 * AC352</f>
        <v/>
      </c>
      <c r="Z352" s="15" t="n">
        <v/>
      </c>
      <c r="AA352" s="24">
        <f>AA352 * AC352</f>
        <v/>
      </c>
      <c r="AB352" s="24">
        <f>AB352 * AC352</f>
        <v/>
      </c>
      <c r="AC352" s="20" t="n"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>
        <f>I353 * AC353</f>
        <v/>
      </c>
      <c r="J353" s="21">
        <f>J353 * AC353</f>
        <v/>
      </c>
      <c r="K353" s="21">
        <f>K353 * AC353</f>
        <v/>
      </c>
      <c r="L353" s="21">
        <f>L353 * AC353</f>
        <v/>
      </c>
      <c r="M353" s="25">
        <f>M353 * AC353</f>
        <v/>
      </c>
      <c r="N353" s="25">
        <f>N353 * AC353</f>
        <v/>
      </c>
      <c r="O353" s="25">
        <f>O353 * AC353</f>
        <v/>
      </c>
      <c r="P353" s="25">
        <f>P353 * AC353</f>
        <v/>
      </c>
      <c r="Q353" s="25">
        <f>Q353 * AC353</f>
        <v/>
      </c>
      <c r="R353" s="25">
        <f>R353 * AC353</f>
        <v/>
      </c>
      <c r="S353" s="25">
        <f>S353 * AC353</f>
        <v/>
      </c>
      <c r="T353" s="25">
        <f>T353 * AC353</f>
        <v/>
      </c>
      <c r="U353" s="25">
        <f>U353 * AC353</f>
        <v/>
      </c>
      <c r="V353" s="25">
        <f>V353 * AC353</f>
        <v/>
      </c>
      <c r="W353" s="25">
        <f>W353 * AC353</f>
        <v/>
      </c>
      <c r="X353" s="25">
        <f>X353 * AC353</f>
        <v/>
      </c>
      <c r="Y353" s="25">
        <f>Y353 * AC353</f>
        <v/>
      </c>
      <c r="Z353" s="17" t="n">
        <v/>
      </c>
      <c r="AA353" s="25">
        <f>AA353 * AC353</f>
        <v/>
      </c>
      <c r="AB353" s="25">
        <f>AB353 * AC353</f>
        <v/>
      </c>
      <c r="AC353" s="22" t="n"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>
        <f>I354 * AC354</f>
        <v/>
      </c>
      <c r="J354" s="19">
        <f>J354 * AC354</f>
        <v/>
      </c>
      <c r="K354" s="19">
        <f>K354 * AC354</f>
        <v/>
      </c>
      <c r="L354" s="19">
        <f>L354 * AC354</f>
        <v/>
      </c>
      <c r="M354" s="24">
        <f>M354 * AC354</f>
        <v/>
      </c>
      <c r="N354" s="24">
        <f>N354 * AC354</f>
        <v/>
      </c>
      <c r="O354" s="24">
        <f>O354 * AC354</f>
        <v/>
      </c>
      <c r="P354" s="24">
        <f>P354 * AC354</f>
        <v/>
      </c>
      <c r="Q354" s="24">
        <f>Q354 * AC354</f>
        <v/>
      </c>
      <c r="R354" s="24">
        <f>R354 * AC354</f>
        <v/>
      </c>
      <c r="S354" s="24">
        <f>S354 * AC354</f>
        <v/>
      </c>
      <c r="T354" s="24">
        <f>T354 * AC354</f>
        <v/>
      </c>
      <c r="U354" s="24">
        <f>U354 * AC354</f>
        <v/>
      </c>
      <c r="V354" s="24">
        <f>V354 * AC354</f>
        <v/>
      </c>
      <c r="W354" s="24">
        <f>W354 * AC354</f>
        <v/>
      </c>
      <c r="X354" s="24">
        <f>X354 * AC354</f>
        <v/>
      </c>
      <c r="Y354" s="24">
        <f>Y354 * AC354</f>
        <v/>
      </c>
      <c r="Z354" s="15" t="n">
        <v/>
      </c>
      <c r="AA354" s="24">
        <f>AA354 * AC354</f>
        <v/>
      </c>
      <c r="AB354" s="24">
        <f>AB354 * AC354</f>
        <v/>
      </c>
      <c r="AC354" s="20" t="n"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>
        <f>I355 * AC355</f>
        <v/>
      </c>
      <c r="J355" s="21">
        <f>J355 * AC355</f>
        <v/>
      </c>
      <c r="K355" s="21">
        <f>K355 * AC355</f>
        <v/>
      </c>
      <c r="L355" s="21">
        <f>L355 * AC355</f>
        <v/>
      </c>
      <c r="M355" s="25">
        <f>M355 * AC355</f>
        <v/>
      </c>
      <c r="N355" s="25">
        <f>N355 * AC355</f>
        <v/>
      </c>
      <c r="O355" s="25">
        <f>O355 * AC355</f>
        <v/>
      </c>
      <c r="P355" s="25">
        <f>P355 * AC355</f>
        <v/>
      </c>
      <c r="Q355" s="25">
        <f>Q355 * AC355</f>
        <v/>
      </c>
      <c r="R355" s="25">
        <f>R355 * AC355</f>
        <v/>
      </c>
      <c r="S355" s="25">
        <f>S355 * AC355</f>
        <v/>
      </c>
      <c r="T355" s="25">
        <f>T355 * AC355</f>
        <v/>
      </c>
      <c r="U355" s="25">
        <f>U355 * AC355</f>
        <v/>
      </c>
      <c r="V355" s="25">
        <f>V355 * AC355</f>
        <v/>
      </c>
      <c r="W355" s="25">
        <f>W355 * AC355</f>
        <v/>
      </c>
      <c r="X355" s="25">
        <f>X355 * AC355</f>
        <v/>
      </c>
      <c r="Y355" s="25">
        <f>Y355 * AC355</f>
        <v/>
      </c>
      <c r="Z355" s="17" t="n">
        <v/>
      </c>
      <c r="AA355" s="25">
        <f>AA355 * AC355</f>
        <v/>
      </c>
      <c r="AB355" s="25">
        <f>AB355 * AC355</f>
        <v/>
      </c>
      <c r="AC355" s="22" t="n"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>
        <f>I356 * AC356</f>
        <v/>
      </c>
      <c r="J356" s="19">
        <f>J356 * AC356</f>
        <v/>
      </c>
      <c r="K356" s="19">
        <f>K356 * AC356</f>
        <v/>
      </c>
      <c r="L356" s="19">
        <f>L356 * AC356</f>
        <v/>
      </c>
      <c r="M356" s="24">
        <f>M356 * AC356</f>
        <v/>
      </c>
      <c r="N356" s="24">
        <f>N356 * AC356</f>
        <v/>
      </c>
      <c r="O356" s="24">
        <f>O356 * AC356</f>
        <v/>
      </c>
      <c r="P356" s="24">
        <f>P356 * AC356</f>
        <v/>
      </c>
      <c r="Q356" s="24">
        <f>Q356 * AC356</f>
        <v/>
      </c>
      <c r="R356" s="24">
        <f>R356 * AC356</f>
        <v/>
      </c>
      <c r="S356" s="24">
        <f>S356 * AC356</f>
        <v/>
      </c>
      <c r="T356" s="24">
        <f>T356 * AC356</f>
        <v/>
      </c>
      <c r="U356" s="24">
        <f>U356 * AC356</f>
        <v/>
      </c>
      <c r="V356" s="24">
        <f>V356 * AC356</f>
        <v/>
      </c>
      <c r="W356" s="24">
        <f>W356 * AC356</f>
        <v/>
      </c>
      <c r="X356" s="24">
        <f>X356 * AC356</f>
        <v/>
      </c>
      <c r="Y356" s="24">
        <f>Y356 * AC356</f>
        <v/>
      </c>
      <c r="Z356" s="15" t="n">
        <v/>
      </c>
      <c r="AA356" s="24">
        <f>AA356 * AC356</f>
        <v/>
      </c>
      <c r="AB356" s="24">
        <f>AB356 * AC356</f>
        <v/>
      </c>
      <c r="AC356" s="20" t="n"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>
        <f>I357 * AC357</f>
        <v/>
      </c>
      <c r="J357" s="21">
        <f>J357 * AC357</f>
        <v/>
      </c>
      <c r="K357" s="21">
        <f>K357 * AC357</f>
        <v/>
      </c>
      <c r="L357" s="21">
        <f>L357 * AC357</f>
        <v/>
      </c>
      <c r="M357" s="25">
        <f>M357 * AC357</f>
        <v/>
      </c>
      <c r="N357" s="25">
        <f>N357 * AC357</f>
        <v/>
      </c>
      <c r="O357" s="25">
        <f>O357 * AC357</f>
        <v/>
      </c>
      <c r="P357" s="25">
        <f>P357 * AC357</f>
        <v/>
      </c>
      <c r="Q357" s="25">
        <f>Q357 * AC357</f>
        <v/>
      </c>
      <c r="R357" s="25">
        <f>R357 * AC357</f>
        <v/>
      </c>
      <c r="S357" s="25">
        <f>S357 * AC357</f>
        <v/>
      </c>
      <c r="T357" s="25">
        <f>T357 * AC357</f>
        <v/>
      </c>
      <c r="U357" s="25">
        <f>U357 * AC357</f>
        <v/>
      </c>
      <c r="V357" s="25">
        <f>V357 * AC357</f>
        <v/>
      </c>
      <c r="W357" s="25">
        <f>W357 * AC357</f>
        <v/>
      </c>
      <c r="X357" s="25">
        <f>X357 * AC357</f>
        <v/>
      </c>
      <c r="Y357" s="25">
        <f>Y357 * AC357</f>
        <v/>
      </c>
      <c r="Z357" s="17" t="n">
        <v/>
      </c>
      <c r="AA357" s="25">
        <f>AA357 * AC357</f>
        <v/>
      </c>
      <c r="AB357" s="25">
        <f>AB357 * AC357</f>
        <v/>
      </c>
      <c r="AC357" s="22" t="n"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>
        <f>I358 * AC358</f>
        <v/>
      </c>
      <c r="J358" s="19">
        <f>J358 * AC358</f>
        <v/>
      </c>
      <c r="K358" s="19">
        <f>K358 * AC358</f>
        <v/>
      </c>
      <c r="L358" s="19">
        <f>L358 * AC358</f>
        <v/>
      </c>
      <c r="M358" s="24">
        <f>M358 * AC358</f>
        <v/>
      </c>
      <c r="N358" s="24">
        <f>N358 * AC358</f>
        <v/>
      </c>
      <c r="O358" s="24">
        <f>O358 * AC358</f>
        <v/>
      </c>
      <c r="P358" s="24">
        <f>P358 * AC358</f>
        <v/>
      </c>
      <c r="Q358" s="24">
        <f>Q358 * AC358</f>
        <v/>
      </c>
      <c r="R358" s="24">
        <f>R358 * AC358</f>
        <v/>
      </c>
      <c r="S358" s="24">
        <f>S358 * AC358</f>
        <v/>
      </c>
      <c r="T358" s="24">
        <f>T358 * AC358</f>
        <v/>
      </c>
      <c r="U358" s="24">
        <f>U358 * AC358</f>
        <v/>
      </c>
      <c r="V358" s="24">
        <f>V358 * AC358</f>
        <v/>
      </c>
      <c r="W358" s="24">
        <f>W358 * AC358</f>
        <v/>
      </c>
      <c r="X358" s="24">
        <f>X358 * AC358</f>
        <v/>
      </c>
      <c r="Y358" s="24">
        <f>Y358 * AC358</f>
        <v/>
      </c>
      <c r="Z358" s="15" t="n">
        <v/>
      </c>
      <c r="AA358" s="24">
        <f>AA358 * AC358</f>
        <v/>
      </c>
      <c r="AB358" s="24">
        <f>AB358 * AC358</f>
        <v/>
      </c>
      <c r="AC358" s="20" t="n"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>
        <f>I359 * AC359</f>
        <v/>
      </c>
      <c r="J359" s="21">
        <f>J359 * AC359</f>
        <v/>
      </c>
      <c r="K359" s="21">
        <f>K359 * AC359</f>
        <v/>
      </c>
      <c r="L359" s="21">
        <f>L359 * AC359</f>
        <v/>
      </c>
      <c r="M359" s="25">
        <f>M359 * AC359</f>
        <v/>
      </c>
      <c r="N359" s="25">
        <f>N359 * AC359</f>
        <v/>
      </c>
      <c r="O359" s="25">
        <f>O359 * AC359</f>
        <v/>
      </c>
      <c r="P359" s="25">
        <f>P359 * AC359</f>
        <v/>
      </c>
      <c r="Q359" s="25">
        <f>Q359 * AC359</f>
        <v/>
      </c>
      <c r="R359" s="25">
        <f>R359 * AC359</f>
        <v/>
      </c>
      <c r="S359" s="25">
        <f>S359 * AC359</f>
        <v/>
      </c>
      <c r="T359" s="25">
        <f>T359 * AC359</f>
        <v/>
      </c>
      <c r="U359" s="25">
        <f>U359 * AC359</f>
        <v/>
      </c>
      <c r="V359" s="25">
        <f>V359 * AC359</f>
        <v/>
      </c>
      <c r="W359" s="25">
        <f>W359 * AC359</f>
        <v/>
      </c>
      <c r="X359" s="25">
        <f>X359 * AC359</f>
        <v/>
      </c>
      <c r="Y359" s="25">
        <f>Y359 * AC359</f>
        <v/>
      </c>
      <c r="Z359" s="17" t="n">
        <v/>
      </c>
      <c r="AA359" s="25">
        <f>AA359 * AC359</f>
        <v/>
      </c>
      <c r="AB359" s="25">
        <f>AB359 * AC359</f>
        <v/>
      </c>
      <c r="AC359" s="22" t="n"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>
        <f>I360 * AC360</f>
        <v/>
      </c>
      <c r="J360" s="19">
        <f>J360 * AC360</f>
        <v/>
      </c>
      <c r="K360" s="19">
        <f>K360 * AC360</f>
        <v/>
      </c>
      <c r="L360" s="19">
        <f>L360 * AC360</f>
        <v/>
      </c>
      <c r="M360" s="24">
        <f>M360 * AC360</f>
        <v/>
      </c>
      <c r="N360" s="24">
        <f>N360 * AC360</f>
        <v/>
      </c>
      <c r="O360" s="24">
        <f>O360 * AC360</f>
        <v/>
      </c>
      <c r="P360" s="24">
        <f>P360 * AC360</f>
        <v/>
      </c>
      <c r="Q360" s="24">
        <f>Q360 * AC360</f>
        <v/>
      </c>
      <c r="R360" s="24">
        <f>R360 * AC360</f>
        <v/>
      </c>
      <c r="S360" s="24">
        <f>S360 * AC360</f>
        <v/>
      </c>
      <c r="T360" s="24">
        <f>T360 * AC360</f>
        <v/>
      </c>
      <c r="U360" s="24">
        <f>U360 * AC360</f>
        <v/>
      </c>
      <c r="V360" s="24">
        <f>V360 * AC360</f>
        <v/>
      </c>
      <c r="W360" s="24">
        <f>W360 * AC360</f>
        <v/>
      </c>
      <c r="X360" s="24">
        <f>X360 * AC360</f>
        <v/>
      </c>
      <c r="Y360" s="24">
        <f>Y360 * AC360</f>
        <v/>
      </c>
      <c r="Z360" s="15" t="n">
        <v/>
      </c>
      <c r="AA360" s="24">
        <f>AA360 * AC360</f>
        <v/>
      </c>
      <c r="AB360" s="24">
        <f>AB360 * AC360</f>
        <v/>
      </c>
      <c r="AC360" s="20" t="n"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>
        <f>I361 * AC361</f>
        <v/>
      </c>
      <c r="J361" s="21">
        <f>J361 * AC361</f>
        <v/>
      </c>
      <c r="K361" s="21">
        <f>K361 * AC361</f>
        <v/>
      </c>
      <c r="L361" s="21">
        <f>L361 * AC361</f>
        <v/>
      </c>
      <c r="M361" s="25">
        <f>M361 * AC361</f>
        <v/>
      </c>
      <c r="N361" s="25">
        <f>N361 * AC361</f>
        <v/>
      </c>
      <c r="O361" s="25">
        <f>O361 * AC361</f>
        <v/>
      </c>
      <c r="P361" s="25">
        <f>P361 * AC361</f>
        <v/>
      </c>
      <c r="Q361" s="25">
        <f>Q361 * AC361</f>
        <v/>
      </c>
      <c r="R361" s="25">
        <f>R361 * AC361</f>
        <v/>
      </c>
      <c r="S361" s="25">
        <f>S361 * AC361</f>
        <v/>
      </c>
      <c r="T361" s="25">
        <f>T361 * AC361</f>
        <v/>
      </c>
      <c r="U361" s="25">
        <f>U361 * AC361</f>
        <v/>
      </c>
      <c r="V361" s="25">
        <f>V361 * AC361</f>
        <v/>
      </c>
      <c r="W361" s="25">
        <f>W361 * AC361</f>
        <v/>
      </c>
      <c r="X361" s="25">
        <f>X361 * AC361</f>
        <v/>
      </c>
      <c r="Y361" s="25">
        <f>Y361 * AC361</f>
        <v/>
      </c>
      <c r="Z361" s="17" t="n">
        <v/>
      </c>
      <c r="AA361" s="25">
        <f>AA361 * AC361</f>
        <v/>
      </c>
      <c r="AB361" s="25">
        <f>AB361 * AC361</f>
        <v/>
      </c>
      <c r="AC361" s="22" t="n"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>
        <f>I362 * AC362</f>
        <v/>
      </c>
      <c r="J362" s="19">
        <f>J362 * AC362</f>
        <v/>
      </c>
      <c r="K362" s="19">
        <f>K362 * AC362</f>
        <v/>
      </c>
      <c r="L362" s="19">
        <f>L362 * AC362</f>
        <v/>
      </c>
      <c r="M362" s="24">
        <f>M362 * AC362</f>
        <v/>
      </c>
      <c r="N362" s="24">
        <f>N362 * AC362</f>
        <v/>
      </c>
      <c r="O362" s="24">
        <f>O362 * AC362</f>
        <v/>
      </c>
      <c r="P362" s="24">
        <f>P362 * AC362</f>
        <v/>
      </c>
      <c r="Q362" s="24">
        <f>Q362 * AC362</f>
        <v/>
      </c>
      <c r="R362" s="24">
        <f>R362 * AC362</f>
        <v/>
      </c>
      <c r="S362" s="24">
        <f>S362 * AC362</f>
        <v/>
      </c>
      <c r="T362" s="24">
        <f>T362 * AC362</f>
        <v/>
      </c>
      <c r="U362" s="24">
        <f>U362 * AC362</f>
        <v/>
      </c>
      <c r="V362" s="24">
        <f>V362 * AC362</f>
        <v/>
      </c>
      <c r="W362" s="24">
        <f>W362 * AC362</f>
        <v/>
      </c>
      <c r="X362" s="24">
        <f>X362 * AC362</f>
        <v/>
      </c>
      <c r="Y362" s="24">
        <f>Y362 * AC362</f>
        <v/>
      </c>
      <c r="Z362" s="15" t="n">
        <v/>
      </c>
      <c r="AA362" s="24">
        <f>AA362 * AC362</f>
        <v/>
      </c>
      <c r="AB362" s="24">
        <f>AB362 * AC362</f>
        <v/>
      </c>
      <c r="AC362" s="20" t="n"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>
        <f>I363 * AC363</f>
        <v/>
      </c>
      <c r="J363" s="21">
        <f>J363 * AC363</f>
        <v/>
      </c>
      <c r="K363" s="21">
        <f>K363 * AC363</f>
        <v/>
      </c>
      <c r="L363" s="21">
        <f>L363 * AC363</f>
        <v/>
      </c>
      <c r="M363" s="25">
        <f>M363 * AC363</f>
        <v/>
      </c>
      <c r="N363" s="25">
        <f>N363 * AC363</f>
        <v/>
      </c>
      <c r="O363" s="25">
        <f>O363 * AC363</f>
        <v/>
      </c>
      <c r="P363" s="25">
        <f>P363 * AC363</f>
        <v/>
      </c>
      <c r="Q363" s="25">
        <f>Q363 * AC363</f>
        <v/>
      </c>
      <c r="R363" s="25">
        <f>R363 * AC363</f>
        <v/>
      </c>
      <c r="S363" s="25">
        <f>S363 * AC363</f>
        <v/>
      </c>
      <c r="T363" s="25">
        <f>T363 * AC363</f>
        <v/>
      </c>
      <c r="U363" s="25">
        <f>U363 * AC363</f>
        <v/>
      </c>
      <c r="V363" s="25">
        <f>V363 * AC363</f>
        <v/>
      </c>
      <c r="W363" s="25">
        <f>W363 * AC363</f>
        <v/>
      </c>
      <c r="X363" s="25">
        <f>X363 * AC363</f>
        <v/>
      </c>
      <c r="Y363" s="25">
        <f>Y363 * AC363</f>
        <v/>
      </c>
      <c r="Z363" s="17" t="n">
        <v/>
      </c>
      <c r="AA363" s="25">
        <f>AA363 * AC363</f>
        <v/>
      </c>
      <c r="AB363" s="25">
        <f>AB363 * AC363</f>
        <v/>
      </c>
      <c r="AC363" s="22" t="n"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>
        <f>I364 * AC364</f>
        <v/>
      </c>
      <c r="J364" s="19">
        <f>J364 * AC364</f>
        <v/>
      </c>
      <c r="K364" s="19">
        <f>K364 * AC364</f>
        <v/>
      </c>
      <c r="L364" s="19">
        <f>L364 * AC364</f>
        <v/>
      </c>
      <c r="M364" s="24">
        <f>M364 * AC364</f>
        <v/>
      </c>
      <c r="N364" s="24">
        <f>N364 * AC364</f>
        <v/>
      </c>
      <c r="O364" s="24">
        <f>O364 * AC364</f>
        <v/>
      </c>
      <c r="P364" s="24">
        <f>P364 * AC364</f>
        <v/>
      </c>
      <c r="Q364" s="24">
        <f>Q364 * AC364</f>
        <v/>
      </c>
      <c r="R364" s="24">
        <f>R364 * AC364</f>
        <v/>
      </c>
      <c r="S364" s="24">
        <f>S364 * AC364</f>
        <v/>
      </c>
      <c r="T364" s="24">
        <f>T364 * AC364</f>
        <v/>
      </c>
      <c r="U364" s="24">
        <f>U364 * AC364</f>
        <v/>
      </c>
      <c r="V364" s="24">
        <f>V364 * AC364</f>
        <v/>
      </c>
      <c r="W364" s="24">
        <f>W364 * AC364</f>
        <v/>
      </c>
      <c r="X364" s="24">
        <f>X364 * AC364</f>
        <v/>
      </c>
      <c r="Y364" s="24">
        <f>Y364 * AC364</f>
        <v/>
      </c>
      <c r="Z364" s="15" t="n">
        <v/>
      </c>
      <c r="AA364" s="24">
        <f>AA364 * AC364</f>
        <v/>
      </c>
      <c r="AB364" s="24">
        <f>AB364 * AC364</f>
        <v/>
      </c>
      <c r="AC364" s="20" t="n"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>
        <f>I365 * AC365</f>
        <v/>
      </c>
      <c r="J365" s="21">
        <f>J365 * AC365</f>
        <v/>
      </c>
      <c r="K365" s="21">
        <f>K365 * AC365</f>
        <v/>
      </c>
      <c r="L365" s="21">
        <f>L365 * AC365</f>
        <v/>
      </c>
      <c r="M365" s="25">
        <f>M365 * AC365</f>
        <v/>
      </c>
      <c r="N365" s="25">
        <f>N365 * AC365</f>
        <v/>
      </c>
      <c r="O365" s="25">
        <f>O365 * AC365</f>
        <v/>
      </c>
      <c r="P365" s="25">
        <f>P365 * AC365</f>
        <v/>
      </c>
      <c r="Q365" s="25">
        <f>Q365 * AC365</f>
        <v/>
      </c>
      <c r="R365" s="25">
        <f>R365 * AC365</f>
        <v/>
      </c>
      <c r="S365" s="25">
        <f>S365 * AC365</f>
        <v/>
      </c>
      <c r="T365" s="25">
        <f>T365 * AC365</f>
        <v/>
      </c>
      <c r="U365" s="25">
        <f>U365 * AC365</f>
        <v/>
      </c>
      <c r="V365" s="25">
        <f>V365 * AC365</f>
        <v/>
      </c>
      <c r="W365" s="25">
        <f>W365 * AC365</f>
        <v/>
      </c>
      <c r="X365" s="25">
        <f>X365 * AC365</f>
        <v/>
      </c>
      <c r="Y365" s="25">
        <f>Y365 * AC365</f>
        <v/>
      </c>
      <c r="Z365" s="17" t="n">
        <v/>
      </c>
      <c r="AA365" s="25">
        <f>AA365 * AC365</f>
        <v/>
      </c>
      <c r="AB365" s="25">
        <f>AB365 * AC365</f>
        <v/>
      </c>
      <c r="AC365" s="22" t="n"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>
        <f>I366 * AC366</f>
        <v/>
      </c>
      <c r="J366" s="19">
        <f>J366 * AC366</f>
        <v/>
      </c>
      <c r="K366" s="19">
        <f>K366 * AC366</f>
        <v/>
      </c>
      <c r="L366" s="19">
        <f>L366 * AC366</f>
        <v/>
      </c>
      <c r="M366" s="24">
        <f>M366 * AC366</f>
        <v/>
      </c>
      <c r="N366" s="24">
        <f>N366 * AC366</f>
        <v/>
      </c>
      <c r="O366" s="24">
        <f>O366 * AC366</f>
        <v/>
      </c>
      <c r="P366" s="24">
        <f>P366 * AC366</f>
        <v/>
      </c>
      <c r="Q366" s="24">
        <f>Q366 * AC366</f>
        <v/>
      </c>
      <c r="R366" s="24">
        <f>R366 * AC366</f>
        <v/>
      </c>
      <c r="S366" s="24">
        <f>S366 * AC366</f>
        <v/>
      </c>
      <c r="T366" s="24">
        <f>T366 * AC366</f>
        <v/>
      </c>
      <c r="U366" s="24">
        <f>U366 * AC366</f>
        <v/>
      </c>
      <c r="V366" s="24">
        <f>V366 * AC366</f>
        <v/>
      </c>
      <c r="W366" s="24">
        <f>W366 * AC366</f>
        <v/>
      </c>
      <c r="X366" s="24">
        <f>X366 * AC366</f>
        <v/>
      </c>
      <c r="Y366" s="24">
        <f>Y366 * AC366</f>
        <v/>
      </c>
      <c r="Z366" s="15" t="n">
        <v/>
      </c>
      <c r="AA366" s="24">
        <f>AA366 * AC366</f>
        <v/>
      </c>
      <c r="AB366" s="24">
        <f>AB366 * AC366</f>
        <v/>
      </c>
      <c r="AC366" s="20" t="n"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>
        <f>I367 * AC367</f>
        <v/>
      </c>
      <c r="J367" s="21">
        <f>J367 * AC367</f>
        <v/>
      </c>
      <c r="K367" s="21">
        <f>K367 * AC367</f>
        <v/>
      </c>
      <c r="L367" s="21">
        <f>L367 * AC367</f>
        <v/>
      </c>
      <c r="M367" s="25">
        <f>M367 * AC367</f>
        <v/>
      </c>
      <c r="N367" s="25">
        <f>N367 * AC367</f>
        <v/>
      </c>
      <c r="O367" s="25">
        <f>O367 * AC367</f>
        <v/>
      </c>
      <c r="P367" s="25">
        <f>P367 * AC367</f>
        <v/>
      </c>
      <c r="Q367" s="25">
        <f>Q367 * AC367</f>
        <v/>
      </c>
      <c r="R367" s="25">
        <f>R367 * AC367</f>
        <v/>
      </c>
      <c r="S367" s="25">
        <f>S367 * AC367</f>
        <v/>
      </c>
      <c r="T367" s="25">
        <f>T367 * AC367</f>
        <v/>
      </c>
      <c r="U367" s="25">
        <f>U367 * AC367</f>
        <v/>
      </c>
      <c r="V367" s="25">
        <f>V367 * AC367</f>
        <v/>
      </c>
      <c r="W367" s="25">
        <f>W367 * AC367</f>
        <v/>
      </c>
      <c r="X367" s="25">
        <f>X367 * AC367</f>
        <v/>
      </c>
      <c r="Y367" s="25">
        <f>Y367 * AC367</f>
        <v/>
      </c>
      <c r="Z367" s="17" t="n">
        <v/>
      </c>
      <c r="AA367" s="25">
        <f>AA367 * AC367</f>
        <v/>
      </c>
      <c r="AB367" s="25">
        <f>AB367 * AC367</f>
        <v/>
      </c>
      <c r="AC367" s="22" t="n"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>
        <f>I368 * AC368</f>
        <v/>
      </c>
      <c r="J368" s="19">
        <f>J368 * AC368</f>
        <v/>
      </c>
      <c r="K368" s="19">
        <f>K368 * AC368</f>
        <v/>
      </c>
      <c r="L368" s="19">
        <f>L368 * AC368</f>
        <v/>
      </c>
      <c r="M368" s="24">
        <f>M368 * AC368</f>
        <v/>
      </c>
      <c r="N368" s="24">
        <f>N368 * AC368</f>
        <v/>
      </c>
      <c r="O368" s="24">
        <f>O368 * AC368</f>
        <v/>
      </c>
      <c r="P368" s="24">
        <f>P368 * AC368</f>
        <v/>
      </c>
      <c r="Q368" s="24">
        <f>Q368 * AC368</f>
        <v/>
      </c>
      <c r="R368" s="24">
        <f>R368 * AC368</f>
        <v/>
      </c>
      <c r="S368" s="24">
        <f>S368 * AC368</f>
        <v/>
      </c>
      <c r="T368" s="24">
        <f>T368 * AC368</f>
        <v/>
      </c>
      <c r="U368" s="24">
        <f>U368 * AC368</f>
        <v/>
      </c>
      <c r="V368" s="24">
        <f>V368 * AC368</f>
        <v/>
      </c>
      <c r="W368" s="24">
        <f>W368 * AC368</f>
        <v/>
      </c>
      <c r="X368" s="24">
        <f>X368 * AC368</f>
        <v/>
      </c>
      <c r="Y368" s="24">
        <f>Y368 * AC368</f>
        <v/>
      </c>
      <c r="Z368" s="15" t="n">
        <v/>
      </c>
      <c r="AA368" s="24">
        <f>AA368 * AC368</f>
        <v/>
      </c>
      <c r="AB368" s="24">
        <f>AB368 * AC368</f>
        <v/>
      </c>
      <c r="AC368" s="20" t="n"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>
        <f>I369 * AC369</f>
        <v/>
      </c>
      <c r="J369" s="21">
        <f>J369 * AC369</f>
        <v/>
      </c>
      <c r="K369" s="21">
        <f>K369 * AC369</f>
        <v/>
      </c>
      <c r="L369" s="21">
        <f>L369 * AC369</f>
        <v/>
      </c>
      <c r="M369" s="25">
        <f>M369 * AC369</f>
        <v/>
      </c>
      <c r="N369" s="25">
        <f>N369 * AC369</f>
        <v/>
      </c>
      <c r="O369" s="25">
        <f>O369 * AC369</f>
        <v/>
      </c>
      <c r="P369" s="25">
        <f>P369 * AC369</f>
        <v/>
      </c>
      <c r="Q369" s="25">
        <f>Q369 * AC369</f>
        <v/>
      </c>
      <c r="R369" s="25">
        <f>R369 * AC369</f>
        <v/>
      </c>
      <c r="S369" s="25">
        <f>S369 * AC369</f>
        <v/>
      </c>
      <c r="T369" s="25">
        <f>T369 * AC369</f>
        <v/>
      </c>
      <c r="U369" s="25">
        <f>U369 * AC369</f>
        <v/>
      </c>
      <c r="V369" s="25">
        <f>V369 * AC369</f>
        <v/>
      </c>
      <c r="W369" s="25">
        <f>W369 * AC369</f>
        <v/>
      </c>
      <c r="X369" s="25">
        <f>X369 * AC369</f>
        <v/>
      </c>
      <c r="Y369" s="25">
        <f>Y369 * AC369</f>
        <v/>
      </c>
      <c r="Z369" s="17" t="n">
        <v/>
      </c>
      <c r="AA369" s="25">
        <f>AA369 * AC369</f>
        <v/>
      </c>
      <c r="AB369" s="25">
        <f>AB369 * AC369</f>
        <v/>
      </c>
      <c r="AC369" s="22" t="n"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>
        <f>I370 * AC370</f>
        <v/>
      </c>
      <c r="J370" s="19">
        <f>J370 * AC370</f>
        <v/>
      </c>
      <c r="K370" s="19">
        <f>K370 * AC370</f>
        <v/>
      </c>
      <c r="L370" s="19">
        <f>L370 * AC370</f>
        <v/>
      </c>
      <c r="M370" s="24">
        <f>M370 * AC370</f>
        <v/>
      </c>
      <c r="N370" s="24">
        <f>N370 * AC370</f>
        <v/>
      </c>
      <c r="O370" s="24">
        <f>O370 * AC370</f>
        <v/>
      </c>
      <c r="P370" s="24">
        <f>P370 * AC370</f>
        <v/>
      </c>
      <c r="Q370" s="24">
        <f>Q370 * AC370</f>
        <v/>
      </c>
      <c r="R370" s="24">
        <f>R370 * AC370</f>
        <v/>
      </c>
      <c r="S370" s="24">
        <f>S370 * AC370</f>
        <v/>
      </c>
      <c r="T370" s="24">
        <f>T370 * AC370</f>
        <v/>
      </c>
      <c r="U370" s="24">
        <f>U370 * AC370</f>
        <v/>
      </c>
      <c r="V370" s="24">
        <f>V370 * AC370</f>
        <v/>
      </c>
      <c r="W370" s="24">
        <f>W370 * AC370</f>
        <v/>
      </c>
      <c r="X370" s="24">
        <f>X370 * AC370</f>
        <v/>
      </c>
      <c r="Y370" s="24">
        <f>Y370 * AC370</f>
        <v/>
      </c>
      <c r="Z370" s="15" t="n">
        <v/>
      </c>
      <c r="AA370" s="24">
        <f>AA370 * AC370</f>
        <v/>
      </c>
      <c r="AB370" s="24">
        <f>AB370 * AC370</f>
        <v/>
      </c>
      <c r="AC370" s="20" t="n"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>
        <f>I371 * AC371</f>
        <v/>
      </c>
      <c r="J371" s="21">
        <f>J371 * AC371</f>
        <v/>
      </c>
      <c r="K371" s="21">
        <f>K371 * AC371</f>
        <v/>
      </c>
      <c r="L371" s="21">
        <f>L371 * AC371</f>
        <v/>
      </c>
      <c r="M371" s="25">
        <f>M371 * AC371</f>
        <v/>
      </c>
      <c r="N371" s="25">
        <f>N371 * AC371</f>
        <v/>
      </c>
      <c r="O371" s="25">
        <f>O371 * AC371</f>
        <v/>
      </c>
      <c r="P371" s="25">
        <f>P371 * AC371</f>
        <v/>
      </c>
      <c r="Q371" s="25">
        <f>Q371 * AC371</f>
        <v/>
      </c>
      <c r="R371" s="25">
        <f>R371 * AC371</f>
        <v/>
      </c>
      <c r="S371" s="25">
        <f>S371 * AC371</f>
        <v/>
      </c>
      <c r="T371" s="25">
        <f>T371 * AC371</f>
        <v/>
      </c>
      <c r="U371" s="25">
        <f>U371 * AC371</f>
        <v/>
      </c>
      <c r="V371" s="25">
        <f>V371 * AC371</f>
        <v/>
      </c>
      <c r="W371" s="25">
        <f>W371 * AC371</f>
        <v/>
      </c>
      <c r="X371" s="25">
        <f>X371 * AC371</f>
        <v/>
      </c>
      <c r="Y371" s="25">
        <f>Y371 * AC371</f>
        <v/>
      </c>
      <c r="Z371" s="17" t="n">
        <v/>
      </c>
      <c r="AA371" s="25">
        <f>AA371 * AC371</f>
        <v/>
      </c>
      <c r="AB371" s="25">
        <f>AB371 * AC371</f>
        <v/>
      </c>
      <c r="AC371" s="22" t="n"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>
        <f>I372 * AC372</f>
        <v/>
      </c>
      <c r="J372" s="19">
        <f>J372 * AC372</f>
        <v/>
      </c>
      <c r="K372" s="19">
        <f>K372 * AC372</f>
        <v/>
      </c>
      <c r="L372" s="19">
        <f>L372 * AC372</f>
        <v/>
      </c>
      <c r="M372" s="24">
        <f>M372 * AC372</f>
        <v/>
      </c>
      <c r="N372" s="24">
        <f>N372 * AC372</f>
        <v/>
      </c>
      <c r="O372" s="24">
        <f>O372 * AC372</f>
        <v/>
      </c>
      <c r="P372" s="24">
        <f>P372 * AC372</f>
        <v/>
      </c>
      <c r="Q372" s="24">
        <f>Q372 * AC372</f>
        <v/>
      </c>
      <c r="R372" s="24">
        <f>R372 * AC372</f>
        <v/>
      </c>
      <c r="S372" s="24">
        <f>S372 * AC372</f>
        <v/>
      </c>
      <c r="T372" s="24">
        <f>T372 * AC372</f>
        <v/>
      </c>
      <c r="U372" s="24">
        <f>U372 * AC372</f>
        <v/>
      </c>
      <c r="V372" s="24">
        <f>V372 * AC372</f>
        <v/>
      </c>
      <c r="W372" s="24">
        <f>W372 * AC372</f>
        <v/>
      </c>
      <c r="X372" s="24">
        <f>X372 * AC372</f>
        <v/>
      </c>
      <c r="Y372" s="24">
        <f>Y372 * AC372</f>
        <v/>
      </c>
      <c r="Z372" s="15" t="n">
        <v/>
      </c>
      <c r="AA372" s="24">
        <f>AA372 * AC372</f>
        <v/>
      </c>
      <c r="AB372" s="24">
        <f>AB372 * AC372</f>
        <v/>
      </c>
      <c r="AC372" s="20" t="n"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>
        <f>I373 * AC373</f>
        <v/>
      </c>
      <c r="J373" s="21">
        <f>J373 * AC373</f>
        <v/>
      </c>
      <c r="K373" s="21">
        <f>K373 * AC373</f>
        <v/>
      </c>
      <c r="L373" s="21">
        <f>L373 * AC373</f>
        <v/>
      </c>
      <c r="M373" s="25">
        <f>M373 * AC373</f>
        <v/>
      </c>
      <c r="N373" s="25">
        <f>N373 * AC373</f>
        <v/>
      </c>
      <c r="O373" s="25">
        <f>O373 * AC373</f>
        <v/>
      </c>
      <c r="P373" s="25">
        <f>P373 * AC373</f>
        <v/>
      </c>
      <c r="Q373" s="25">
        <f>Q373 * AC373</f>
        <v/>
      </c>
      <c r="R373" s="25">
        <f>R373 * AC373</f>
        <v/>
      </c>
      <c r="S373" s="25">
        <f>S373 * AC373</f>
        <v/>
      </c>
      <c r="T373" s="25">
        <f>T373 * AC373</f>
        <v/>
      </c>
      <c r="U373" s="25">
        <f>U373 * AC373</f>
        <v/>
      </c>
      <c r="V373" s="25">
        <f>V373 * AC373</f>
        <v/>
      </c>
      <c r="W373" s="25">
        <f>W373 * AC373</f>
        <v/>
      </c>
      <c r="X373" s="25">
        <f>X373 * AC373</f>
        <v/>
      </c>
      <c r="Y373" s="25">
        <f>Y373 * AC373</f>
        <v/>
      </c>
      <c r="Z373" s="17" t="n">
        <v/>
      </c>
      <c r="AA373" s="25">
        <f>AA373 * AC373</f>
        <v/>
      </c>
      <c r="AB373" s="25">
        <f>AB373 * AC373</f>
        <v/>
      </c>
      <c r="AC373" s="22" t="n"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>
        <f>I374 * AC374</f>
        <v/>
      </c>
      <c r="J374" s="19">
        <f>J374 * AC374</f>
        <v/>
      </c>
      <c r="K374" s="19">
        <f>K374 * AC374</f>
        <v/>
      </c>
      <c r="L374" s="19">
        <f>L374 * AC374</f>
        <v/>
      </c>
      <c r="M374" s="24">
        <f>M374 * AC374</f>
        <v/>
      </c>
      <c r="N374" s="24">
        <f>N374 * AC374</f>
        <v/>
      </c>
      <c r="O374" s="24">
        <f>O374 * AC374</f>
        <v/>
      </c>
      <c r="P374" s="24">
        <f>P374 * AC374</f>
        <v/>
      </c>
      <c r="Q374" s="24">
        <f>Q374 * AC374</f>
        <v/>
      </c>
      <c r="R374" s="24">
        <f>R374 * AC374</f>
        <v/>
      </c>
      <c r="S374" s="24">
        <f>S374 * AC374</f>
        <v/>
      </c>
      <c r="T374" s="24">
        <f>T374 * AC374</f>
        <v/>
      </c>
      <c r="U374" s="24">
        <f>U374 * AC374</f>
        <v/>
      </c>
      <c r="V374" s="24">
        <f>V374 * AC374</f>
        <v/>
      </c>
      <c r="W374" s="24">
        <f>W374 * AC374</f>
        <v/>
      </c>
      <c r="X374" s="24">
        <f>X374 * AC374</f>
        <v/>
      </c>
      <c r="Y374" s="24">
        <f>Y374 * AC374</f>
        <v/>
      </c>
      <c r="Z374" s="15" t="n">
        <v/>
      </c>
      <c r="AA374" s="24">
        <f>AA374 * AC374</f>
        <v/>
      </c>
      <c r="AB374" s="24">
        <f>AB374 * AC374</f>
        <v/>
      </c>
      <c r="AC374" s="20" t="n"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>
        <f>I375 * AC375</f>
        <v/>
      </c>
      <c r="J375" s="21">
        <f>J375 * AC375</f>
        <v/>
      </c>
      <c r="K375" s="21">
        <f>K375 * AC375</f>
        <v/>
      </c>
      <c r="L375" s="21">
        <f>L375 * AC375</f>
        <v/>
      </c>
      <c r="M375" s="25">
        <f>M375 * AC375</f>
        <v/>
      </c>
      <c r="N375" s="25">
        <f>N375 * AC375</f>
        <v/>
      </c>
      <c r="O375" s="25">
        <f>O375 * AC375</f>
        <v/>
      </c>
      <c r="P375" s="25">
        <f>P375 * AC375</f>
        <v/>
      </c>
      <c r="Q375" s="25">
        <f>Q375 * AC375</f>
        <v/>
      </c>
      <c r="R375" s="25">
        <f>R375 * AC375</f>
        <v/>
      </c>
      <c r="S375" s="25">
        <f>S375 * AC375</f>
        <v/>
      </c>
      <c r="T375" s="25">
        <f>T375 * AC375</f>
        <v/>
      </c>
      <c r="U375" s="25">
        <f>U375 * AC375</f>
        <v/>
      </c>
      <c r="V375" s="25">
        <f>V375 * AC375</f>
        <v/>
      </c>
      <c r="W375" s="25">
        <f>W375 * AC375</f>
        <v/>
      </c>
      <c r="X375" s="25">
        <f>X375 * AC375</f>
        <v/>
      </c>
      <c r="Y375" s="25">
        <f>Y375 * AC375</f>
        <v/>
      </c>
      <c r="Z375" s="17" t="n">
        <v/>
      </c>
      <c r="AA375" s="25">
        <f>AA375 * AC375</f>
        <v/>
      </c>
      <c r="AB375" s="25">
        <f>AB375 * AC375</f>
        <v/>
      </c>
      <c r="AC375" s="22" t="n"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>
        <f>I376 * AC376</f>
        <v/>
      </c>
      <c r="J376" s="19">
        <f>J376 * AC376</f>
        <v/>
      </c>
      <c r="K376" s="19">
        <f>K376 * AC376</f>
        <v/>
      </c>
      <c r="L376" s="19">
        <f>L376 * AC376</f>
        <v/>
      </c>
      <c r="M376" s="24">
        <f>M376 * AC376</f>
        <v/>
      </c>
      <c r="N376" s="24">
        <f>N376 * AC376</f>
        <v/>
      </c>
      <c r="O376" s="24">
        <f>O376 * AC376</f>
        <v/>
      </c>
      <c r="P376" s="24">
        <f>P376 * AC376</f>
        <v/>
      </c>
      <c r="Q376" s="24">
        <f>Q376 * AC376</f>
        <v/>
      </c>
      <c r="R376" s="24">
        <f>R376 * AC376</f>
        <v/>
      </c>
      <c r="S376" s="24">
        <f>S376 * AC376</f>
        <v/>
      </c>
      <c r="T376" s="24">
        <f>T376 * AC376</f>
        <v/>
      </c>
      <c r="U376" s="24">
        <f>U376 * AC376</f>
        <v/>
      </c>
      <c r="V376" s="24">
        <f>V376 * AC376</f>
        <v/>
      </c>
      <c r="W376" s="24">
        <f>W376 * AC376</f>
        <v/>
      </c>
      <c r="X376" s="24">
        <f>X376 * AC376</f>
        <v/>
      </c>
      <c r="Y376" s="24">
        <f>Y376 * AC376</f>
        <v/>
      </c>
      <c r="Z376" s="15" t="n">
        <v/>
      </c>
      <c r="AA376" s="24">
        <f>AA376 * AC376</f>
        <v/>
      </c>
      <c r="AB376" s="24">
        <f>AB376 * AC376</f>
        <v/>
      </c>
      <c r="AC376" s="20" t="n"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>
        <f>I377 * AC377</f>
        <v/>
      </c>
      <c r="J377" s="21">
        <f>J377 * AC377</f>
        <v/>
      </c>
      <c r="K377" s="21">
        <f>K377 * AC377</f>
        <v/>
      </c>
      <c r="L377" s="21">
        <f>L377 * AC377</f>
        <v/>
      </c>
      <c r="M377" s="25">
        <f>M377 * AC377</f>
        <v/>
      </c>
      <c r="N377" s="25">
        <f>N377 * AC377</f>
        <v/>
      </c>
      <c r="O377" s="25">
        <f>O377 * AC377</f>
        <v/>
      </c>
      <c r="P377" s="25">
        <f>P377 * AC377</f>
        <v/>
      </c>
      <c r="Q377" s="25">
        <f>Q377 * AC377</f>
        <v/>
      </c>
      <c r="R377" s="25">
        <f>R377 * AC377</f>
        <v/>
      </c>
      <c r="S377" s="25">
        <f>S377 * AC377</f>
        <v/>
      </c>
      <c r="T377" s="25">
        <f>T377 * AC377</f>
        <v/>
      </c>
      <c r="U377" s="25">
        <f>U377 * AC377</f>
        <v/>
      </c>
      <c r="V377" s="25">
        <f>V377 * AC377</f>
        <v/>
      </c>
      <c r="W377" s="25">
        <f>W377 * AC377</f>
        <v/>
      </c>
      <c r="X377" s="25">
        <f>X377 * AC377</f>
        <v/>
      </c>
      <c r="Y377" s="25">
        <f>Y377 * AC377</f>
        <v/>
      </c>
      <c r="Z377" s="17" t="n">
        <v/>
      </c>
      <c r="AA377" s="25">
        <f>AA377 * AC377</f>
        <v/>
      </c>
      <c r="AB377" s="25">
        <f>AB377 * AC377</f>
        <v/>
      </c>
      <c r="AC377" s="22" t="n"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>
        <f>I378 * AC378</f>
        <v/>
      </c>
      <c r="J378" s="19">
        <f>J378 * AC378</f>
        <v/>
      </c>
      <c r="K378" s="19">
        <f>K378 * AC378</f>
        <v/>
      </c>
      <c r="L378" s="19">
        <f>L378 * AC378</f>
        <v/>
      </c>
      <c r="M378" s="24">
        <f>M378 * AC378</f>
        <v/>
      </c>
      <c r="N378" s="24">
        <f>N378 * AC378</f>
        <v/>
      </c>
      <c r="O378" s="24">
        <f>O378 * AC378</f>
        <v/>
      </c>
      <c r="P378" s="24">
        <f>P378 * AC378</f>
        <v/>
      </c>
      <c r="Q378" s="24">
        <f>Q378 * AC378</f>
        <v/>
      </c>
      <c r="R378" s="24">
        <f>R378 * AC378</f>
        <v/>
      </c>
      <c r="S378" s="24">
        <f>S378 * AC378</f>
        <v/>
      </c>
      <c r="T378" s="24">
        <f>T378 * AC378</f>
        <v/>
      </c>
      <c r="U378" s="24">
        <f>U378 * AC378</f>
        <v/>
      </c>
      <c r="V378" s="24">
        <f>V378 * AC378</f>
        <v/>
      </c>
      <c r="W378" s="24">
        <f>W378 * AC378</f>
        <v/>
      </c>
      <c r="X378" s="24">
        <f>X378 * AC378</f>
        <v/>
      </c>
      <c r="Y378" s="24">
        <f>Y378 * AC378</f>
        <v/>
      </c>
      <c r="Z378" s="15" t="n">
        <v/>
      </c>
      <c r="AA378" s="24">
        <f>AA378 * AC378</f>
        <v/>
      </c>
      <c r="AB378" s="24">
        <f>AB378 * AC378</f>
        <v/>
      </c>
      <c r="AC378" s="20" t="n"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>
        <f>I379 * AC379</f>
        <v/>
      </c>
      <c r="J379" s="21">
        <f>J379 * AC379</f>
        <v/>
      </c>
      <c r="K379" s="21">
        <f>K379 * AC379</f>
        <v/>
      </c>
      <c r="L379" s="21">
        <f>L379 * AC379</f>
        <v/>
      </c>
      <c r="M379" s="25">
        <f>M379 * AC379</f>
        <v/>
      </c>
      <c r="N379" s="25">
        <f>N379 * AC379</f>
        <v/>
      </c>
      <c r="O379" s="25">
        <f>O379 * AC379</f>
        <v/>
      </c>
      <c r="P379" s="25">
        <f>P379 * AC379</f>
        <v/>
      </c>
      <c r="Q379" s="25">
        <f>Q379 * AC379</f>
        <v/>
      </c>
      <c r="R379" s="25">
        <f>R379 * AC379</f>
        <v/>
      </c>
      <c r="S379" s="25">
        <f>S379 * AC379</f>
        <v/>
      </c>
      <c r="T379" s="25">
        <f>T379 * AC379</f>
        <v/>
      </c>
      <c r="U379" s="25">
        <f>U379 * AC379</f>
        <v/>
      </c>
      <c r="V379" s="25">
        <f>V379 * AC379</f>
        <v/>
      </c>
      <c r="W379" s="25">
        <f>W379 * AC379</f>
        <v/>
      </c>
      <c r="X379" s="25">
        <f>X379 * AC379</f>
        <v/>
      </c>
      <c r="Y379" s="25">
        <f>Y379 * AC379</f>
        <v/>
      </c>
      <c r="Z379" s="17" t="n">
        <v/>
      </c>
      <c r="AA379" s="25">
        <f>AA379 * AC379</f>
        <v/>
      </c>
      <c r="AB379" s="25">
        <f>AB379 * AC379</f>
        <v/>
      </c>
      <c r="AC379" s="22" t="n"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>
        <f>I380 * AC380</f>
        <v/>
      </c>
      <c r="J380" s="19">
        <f>J380 * AC380</f>
        <v/>
      </c>
      <c r="K380" s="19">
        <f>K380 * AC380</f>
        <v/>
      </c>
      <c r="L380" s="19">
        <f>L380 * AC380</f>
        <v/>
      </c>
      <c r="M380" s="24">
        <f>M380 * AC380</f>
        <v/>
      </c>
      <c r="N380" s="24">
        <f>N380 * AC380</f>
        <v/>
      </c>
      <c r="O380" s="24">
        <f>O380 * AC380</f>
        <v/>
      </c>
      <c r="P380" s="24">
        <f>P380 * AC380</f>
        <v/>
      </c>
      <c r="Q380" s="24">
        <f>Q380 * AC380</f>
        <v/>
      </c>
      <c r="R380" s="24">
        <f>R380 * AC380</f>
        <v/>
      </c>
      <c r="S380" s="24">
        <f>S380 * AC380</f>
        <v/>
      </c>
      <c r="T380" s="24">
        <f>T380 * AC380</f>
        <v/>
      </c>
      <c r="U380" s="24">
        <f>U380 * AC380</f>
        <v/>
      </c>
      <c r="V380" s="24">
        <f>V380 * AC380</f>
        <v/>
      </c>
      <c r="W380" s="24">
        <f>W380 * AC380</f>
        <v/>
      </c>
      <c r="X380" s="24">
        <f>X380 * AC380</f>
        <v/>
      </c>
      <c r="Y380" s="24">
        <f>Y380 * AC380</f>
        <v/>
      </c>
      <c r="Z380" s="15" t="n">
        <v/>
      </c>
      <c r="AA380" s="24">
        <f>AA380 * AC380</f>
        <v/>
      </c>
      <c r="AB380" s="24">
        <f>AB380 * AC380</f>
        <v/>
      </c>
      <c r="AC380" s="20" t="n"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>
        <f>I381 * AC381</f>
        <v/>
      </c>
      <c r="J381" s="21">
        <f>J381 * AC381</f>
        <v/>
      </c>
      <c r="K381" s="21">
        <f>K381 * AC381</f>
        <v/>
      </c>
      <c r="L381" s="21">
        <f>L381 * AC381</f>
        <v/>
      </c>
      <c r="M381" s="25">
        <f>M381 * AC381</f>
        <v/>
      </c>
      <c r="N381" s="25">
        <f>N381 * AC381</f>
        <v/>
      </c>
      <c r="O381" s="25">
        <f>O381 * AC381</f>
        <v/>
      </c>
      <c r="P381" s="25">
        <f>P381 * AC381</f>
        <v/>
      </c>
      <c r="Q381" s="25">
        <f>Q381 * AC381</f>
        <v/>
      </c>
      <c r="R381" s="25">
        <f>R381 * AC381</f>
        <v/>
      </c>
      <c r="S381" s="25">
        <f>S381 * AC381</f>
        <v/>
      </c>
      <c r="T381" s="25">
        <f>T381 * AC381</f>
        <v/>
      </c>
      <c r="U381" s="25">
        <f>U381 * AC381</f>
        <v/>
      </c>
      <c r="V381" s="25">
        <f>V381 * AC381</f>
        <v/>
      </c>
      <c r="W381" s="25">
        <f>W381 * AC381</f>
        <v/>
      </c>
      <c r="X381" s="25">
        <f>X381 * AC381</f>
        <v/>
      </c>
      <c r="Y381" s="25">
        <f>Y381 * AC381</f>
        <v/>
      </c>
      <c r="Z381" s="17" t="n">
        <v/>
      </c>
      <c r="AA381" s="25">
        <f>AA381 * AC381</f>
        <v/>
      </c>
      <c r="AB381" s="25">
        <f>AB381 * AC381</f>
        <v/>
      </c>
      <c r="AC381" s="22" t="n"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>
        <f>I382 * AC382</f>
        <v/>
      </c>
      <c r="J382" s="19">
        <f>J382 * AC382</f>
        <v/>
      </c>
      <c r="K382" s="19">
        <f>K382 * AC382</f>
        <v/>
      </c>
      <c r="L382" s="19">
        <f>L382 * AC382</f>
        <v/>
      </c>
      <c r="M382" s="24">
        <f>M382 * AC382</f>
        <v/>
      </c>
      <c r="N382" s="24">
        <f>N382 * AC382</f>
        <v/>
      </c>
      <c r="O382" s="24">
        <f>O382 * AC382</f>
        <v/>
      </c>
      <c r="P382" s="24">
        <f>P382 * AC382</f>
        <v/>
      </c>
      <c r="Q382" s="24">
        <f>Q382 * AC382</f>
        <v/>
      </c>
      <c r="R382" s="24">
        <f>R382 * AC382</f>
        <v/>
      </c>
      <c r="S382" s="24">
        <f>S382 * AC382</f>
        <v/>
      </c>
      <c r="T382" s="24">
        <f>T382 * AC382</f>
        <v/>
      </c>
      <c r="U382" s="24">
        <f>U382 * AC382</f>
        <v/>
      </c>
      <c r="V382" s="24">
        <f>V382 * AC382</f>
        <v/>
      </c>
      <c r="W382" s="24">
        <f>W382 * AC382</f>
        <v/>
      </c>
      <c r="X382" s="24">
        <f>X382 * AC382</f>
        <v/>
      </c>
      <c r="Y382" s="24">
        <f>Y382 * AC382</f>
        <v/>
      </c>
      <c r="Z382" s="15" t="n">
        <v/>
      </c>
      <c r="AA382" s="24">
        <f>AA382 * AC382</f>
        <v/>
      </c>
      <c r="AB382" s="24">
        <f>AB382 * AC382</f>
        <v/>
      </c>
      <c r="AC382" s="20" t="n"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>
        <f>I383 * AC383</f>
        <v/>
      </c>
      <c r="J383" s="21">
        <f>J383 * AC383</f>
        <v/>
      </c>
      <c r="K383" s="21">
        <f>K383 * AC383</f>
        <v/>
      </c>
      <c r="L383" s="21">
        <f>L383 * AC383</f>
        <v/>
      </c>
      <c r="M383" s="25">
        <f>M383 * AC383</f>
        <v/>
      </c>
      <c r="N383" s="25">
        <f>N383 * AC383</f>
        <v/>
      </c>
      <c r="O383" s="25">
        <f>O383 * AC383</f>
        <v/>
      </c>
      <c r="P383" s="25">
        <f>P383 * AC383</f>
        <v/>
      </c>
      <c r="Q383" s="25">
        <f>Q383 * AC383</f>
        <v/>
      </c>
      <c r="R383" s="25">
        <f>R383 * AC383</f>
        <v/>
      </c>
      <c r="S383" s="25">
        <f>S383 * AC383</f>
        <v/>
      </c>
      <c r="T383" s="25">
        <f>T383 * AC383</f>
        <v/>
      </c>
      <c r="U383" s="25">
        <f>U383 * AC383</f>
        <v/>
      </c>
      <c r="V383" s="25">
        <f>V383 * AC383</f>
        <v/>
      </c>
      <c r="W383" s="25">
        <f>W383 * AC383</f>
        <v/>
      </c>
      <c r="X383" s="25">
        <f>X383 * AC383</f>
        <v/>
      </c>
      <c r="Y383" s="25">
        <f>Y383 * AC383</f>
        <v/>
      </c>
      <c r="Z383" s="17" t="n">
        <v/>
      </c>
      <c r="AA383" s="25">
        <f>AA383 * AC383</f>
        <v/>
      </c>
      <c r="AB383" s="25">
        <f>AB383 * AC383</f>
        <v/>
      </c>
      <c r="AC383" s="22" t="n"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>
        <f>I384 * AC384</f>
        <v/>
      </c>
      <c r="J384" s="19">
        <f>J384 * AC384</f>
        <v/>
      </c>
      <c r="K384" s="19">
        <f>K384 * AC384</f>
        <v/>
      </c>
      <c r="L384" s="19">
        <f>L384 * AC384</f>
        <v/>
      </c>
      <c r="M384" s="24">
        <f>M384 * AC384</f>
        <v/>
      </c>
      <c r="N384" s="24">
        <f>N384 * AC384</f>
        <v/>
      </c>
      <c r="O384" s="24">
        <f>O384 * AC384</f>
        <v/>
      </c>
      <c r="P384" s="24">
        <f>P384 * AC384</f>
        <v/>
      </c>
      <c r="Q384" s="24">
        <f>Q384 * AC384</f>
        <v/>
      </c>
      <c r="R384" s="24">
        <f>R384 * AC384</f>
        <v/>
      </c>
      <c r="S384" s="24">
        <f>S384 * AC384</f>
        <v/>
      </c>
      <c r="T384" s="24">
        <f>T384 * AC384</f>
        <v/>
      </c>
      <c r="U384" s="24">
        <f>U384 * AC384</f>
        <v/>
      </c>
      <c r="V384" s="24">
        <f>V384 * AC384</f>
        <v/>
      </c>
      <c r="W384" s="24">
        <f>W384 * AC384</f>
        <v/>
      </c>
      <c r="X384" s="24">
        <f>X384 * AC384</f>
        <v/>
      </c>
      <c r="Y384" s="24">
        <f>Y384 * AC384</f>
        <v/>
      </c>
      <c r="Z384" s="15" t="n">
        <v/>
      </c>
      <c r="AA384" s="24">
        <f>AA384 * AC384</f>
        <v/>
      </c>
      <c r="AB384" s="24">
        <f>AB384 * AC384</f>
        <v/>
      </c>
      <c r="AC384" s="20" t="n"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>
        <f>I385 * AC385</f>
        <v/>
      </c>
      <c r="J385" s="21">
        <f>J385 * AC385</f>
        <v/>
      </c>
      <c r="K385" s="21">
        <f>K385 * AC385</f>
        <v/>
      </c>
      <c r="L385" s="21">
        <f>L385 * AC385</f>
        <v/>
      </c>
      <c r="M385" s="25">
        <f>M385 * AC385</f>
        <v/>
      </c>
      <c r="N385" s="25">
        <f>N385 * AC385</f>
        <v/>
      </c>
      <c r="O385" s="25">
        <f>O385 * AC385</f>
        <v/>
      </c>
      <c r="P385" s="25">
        <f>P385 * AC385</f>
        <v/>
      </c>
      <c r="Q385" s="25">
        <f>Q385 * AC385</f>
        <v/>
      </c>
      <c r="R385" s="25">
        <f>R385 * AC385</f>
        <v/>
      </c>
      <c r="S385" s="25">
        <f>S385 * AC385</f>
        <v/>
      </c>
      <c r="T385" s="25">
        <f>T385 * AC385</f>
        <v/>
      </c>
      <c r="U385" s="25">
        <f>U385 * AC385</f>
        <v/>
      </c>
      <c r="V385" s="25">
        <f>V385 * AC385</f>
        <v/>
      </c>
      <c r="W385" s="25">
        <f>W385 * AC385</f>
        <v/>
      </c>
      <c r="X385" s="25">
        <f>X385 * AC385</f>
        <v/>
      </c>
      <c r="Y385" s="25">
        <f>Y385 * AC385</f>
        <v/>
      </c>
      <c r="Z385" s="17" t="n">
        <v/>
      </c>
      <c r="AA385" s="25">
        <f>AA385 * AC385</f>
        <v/>
      </c>
      <c r="AB385" s="25">
        <f>AB385 * AC385</f>
        <v/>
      </c>
      <c r="AC385" s="22" t="n"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>
        <f>I386 * AC386</f>
        <v/>
      </c>
      <c r="J386" s="19">
        <f>J386 * AC386</f>
        <v/>
      </c>
      <c r="K386" s="19">
        <f>K386 * AC386</f>
        <v/>
      </c>
      <c r="L386" s="19">
        <f>L386 * AC386</f>
        <v/>
      </c>
      <c r="M386" s="24">
        <f>M386 * AC386</f>
        <v/>
      </c>
      <c r="N386" s="24">
        <f>N386 * AC386</f>
        <v/>
      </c>
      <c r="O386" s="24">
        <f>O386 * AC386</f>
        <v/>
      </c>
      <c r="P386" s="24">
        <f>P386 * AC386</f>
        <v/>
      </c>
      <c r="Q386" s="24">
        <f>Q386 * AC386</f>
        <v/>
      </c>
      <c r="R386" s="24">
        <f>R386 * AC386</f>
        <v/>
      </c>
      <c r="S386" s="24">
        <f>S386 * AC386</f>
        <v/>
      </c>
      <c r="T386" s="24">
        <f>T386 * AC386</f>
        <v/>
      </c>
      <c r="U386" s="24">
        <f>U386 * AC386</f>
        <v/>
      </c>
      <c r="V386" s="24">
        <f>V386 * AC386</f>
        <v/>
      </c>
      <c r="W386" s="24">
        <f>W386 * AC386</f>
        <v/>
      </c>
      <c r="X386" s="24">
        <f>X386 * AC386</f>
        <v/>
      </c>
      <c r="Y386" s="24">
        <f>Y386 * AC386</f>
        <v/>
      </c>
      <c r="Z386" s="15" t="n">
        <v/>
      </c>
      <c r="AA386" s="24">
        <f>AA386 * AC386</f>
        <v/>
      </c>
      <c r="AB386" s="24">
        <f>AB386 * AC386</f>
        <v/>
      </c>
      <c r="AC386" s="20" t="n"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>
        <f>I387 * AC387</f>
        <v/>
      </c>
      <c r="J387" s="21">
        <f>J387 * AC387</f>
        <v/>
      </c>
      <c r="K387" s="21">
        <f>K387 * AC387</f>
        <v/>
      </c>
      <c r="L387" s="21">
        <f>L387 * AC387</f>
        <v/>
      </c>
      <c r="M387" s="25">
        <f>M387 * AC387</f>
        <v/>
      </c>
      <c r="N387" s="25">
        <f>N387 * AC387</f>
        <v/>
      </c>
      <c r="O387" s="25">
        <f>O387 * AC387</f>
        <v/>
      </c>
      <c r="P387" s="25">
        <f>P387 * AC387</f>
        <v/>
      </c>
      <c r="Q387" s="25">
        <f>Q387 * AC387</f>
        <v/>
      </c>
      <c r="R387" s="25">
        <f>R387 * AC387</f>
        <v/>
      </c>
      <c r="S387" s="25">
        <f>S387 * AC387</f>
        <v/>
      </c>
      <c r="T387" s="25">
        <f>T387 * AC387</f>
        <v/>
      </c>
      <c r="U387" s="25">
        <f>U387 * AC387</f>
        <v/>
      </c>
      <c r="V387" s="25">
        <f>V387 * AC387</f>
        <v/>
      </c>
      <c r="W387" s="25">
        <f>W387 * AC387</f>
        <v/>
      </c>
      <c r="X387" s="25">
        <f>X387 * AC387</f>
        <v/>
      </c>
      <c r="Y387" s="25">
        <f>Y387 * AC387</f>
        <v/>
      </c>
      <c r="Z387" s="17" t="n">
        <v/>
      </c>
      <c r="AA387" s="25">
        <f>AA387 * AC387</f>
        <v/>
      </c>
      <c r="AB387" s="25">
        <f>AB387 * AC387</f>
        <v/>
      </c>
      <c r="AC387" s="22" t="n"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>
        <f>I388 * AC388</f>
        <v/>
      </c>
      <c r="J388" s="19">
        <f>J388 * AC388</f>
        <v/>
      </c>
      <c r="K388" s="19">
        <f>K388 * AC388</f>
        <v/>
      </c>
      <c r="L388" s="19">
        <f>L388 * AC388</f>
        <v/>
      </c>
      <c r="M388" s="24">
        <f>M388 * AC388</f>
        <v/>
      </c>
      <c r="N388" s="24">
        <f>N388 * AC388</f>
        <v/>
      </c>
      <c r="O388" s="24">
        <f>O388 * AC388</f>
        <v/>
      </c>
      <c r="P388" s="24">
        <f>P388 * AC388</f>
        <v/>
      </c>
      <c r="Q388" s="24">
        <f>Q388 * AC388</f>
        <v/>
      </c>
      <c r="R388" s="24">
        <f>R388 * AC388</f>
        <v/>
      </c>
      <c r="S388" s="24">
        <f>S388 * AC388</f>
        <v/>
      </c>
      <c r="T388" s="24">
        <f>T388 * AC388</f>
        <v/>
      </c>
      <c r="U388" s="24">
        <f>U388 * AC388</f>
        <v/>
      </c>
      <c r="V388" s="24">
        <f>V388 * AC388</f>
        <v/>
      </c>
      <c r="W388" s="24">
        <f>W388 * AC388</f>
        <v/>
      </c>
      <c r="X388" s="24">
        <f>X388 * AC388</f>
        <v/>
      </c>
      <c r="Y388" s="24">
        <f>Y388 * AC388</f>
        <v/>
      </c>
      <c r="Z388" s="15" t="n">
        <v/>
      </c>
      <c r="AA388" s="24">
        <f>AA388 * AC388</f>
        <v/>
      </c>
      <c r="AB388" s="24">
        <f>AB388 * AC388</f>
        <v/>
      </c>
      <c r="AC388" s="20" t="n"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>
        <f>I389 * AC389</f>
        <v/>
      </c>
      <c r="J389" s="21">
        <f>J389 * AC389</f>
        <v/>
      </c>
      <c r="K389" s="21">
        <f>K389 * AC389</f>
        <v/>
      </c>
      <c r="L389" s="21">
        <f>L389 * AC389</f>
        <v/>
      </c>
      <c r="M389" s="25">
        <f>M389 * AC389</f>
        <v/>
      </c>
      <c r="N389" s="25">
        <f>N389 * AC389</f>
        <v/>
      </c>
      <c r="O389" s="25">
        <f>O389 * AC389</f>
        <v/>
      </c>
      <c r="P389" s="25">
        <f>P389 * AC389</f>
        <v/>
      </c>
      <c r="Q389" s="25">
        <f>Q389 * AC389</f>
        <v/>
      </c>
      <c r="R389" s="25">
        <f>R389 * AC389</f>
        <v/>
      </c>
      <c r="S389" s="25">
        <f>S389 * AC389</f>
        <v/>
      </c>
      <c r="T389" s="25">
        <f>T389 * AC389</f>
        <v/>
      </c>
      <c r="U389" s="25">
        <f>U389 * AC389</f>
        <v/>
      </c>
      <c r="V389" s="25">
        <f>V389 * AC389</f>
        <v/>
      </c>
      <c r="W389" s="25">
        <f>W389 * AC389</f>
        <v/>
      </c>
      <c r="X389" s="25">
        <f>X389 * AC389</f>
        <v/>
      </c>
      <c r="Y389" s="25">
        <f>Y389 * AC389</f>
        <v/>
      </c>
      <c r="Z389" s="17" t="n">
        <v/>
      </c>
      <c r="AA389" s="25">
        <f>AA389 * AC389</f>
        <v/>
      </c>
      <c r="AB389" s="25">
        <f>AB389 * AC389</f>
        <v/>
      </c>
      <c r="AC389" s="22" t="n"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>
        <f>I390 * AC390</f>
        <v/>
      </c>
      <c r="J390" s="19">
        <f>J390 * AC390</f>
        <v/>
      </c>
      <c r="K390" s="19">
        <f>K390 * AC390</f>
        <v/>
      </c>
      <c r="L390" s="19">
        <f>L390 * AC390</f>
        <v/>
      </c>
      <c r="M390" s="24">
        <f>M390 * AC390</f>
        <v/>
      </c>
      <c r="N390" s="24">
        <f>N390 * AC390</f>
        <v/>
      </c>
      <c r="O390" s="24">
        <f>O390 * AC390</f>
        <v/>
      </c>
      <c r="P390" s="24">
        <f>P390 * AC390</f>
        <v/>
      </c>
      <c r="Q390" s="24">
        <f>Q390 * AC390</f>
        <v/>
      </c>
      <c r="R390" s="24">
        <f>R390 * AC390</f>
        <v/>
      </c>
      <c r="S390" s="24">
        <f>S390 * AC390</f>
        <v/>
      </c>
      <c r="T390" s="24">
        <f>T390 * AC390</f>
        <v/>
      </c>
      <c r="U390" s="24">
        <f>U390 * AC390</f>
        <v/>
      </c>
      <c r="V390" s="24">
        <f>V390 * AC390</f>
        <v/>
      </c>
      <c r="W390" s="24">
        <f>W390 * AC390</f>
        <v/>
      </c>
      <c r="X390" s="24">
        <f>X390 * AC390</f>
        <v/>
      </c>
      <c r="Y390" s="24">
        <f>Y390 * AC390</f>
        <v/>
      </c>
      <c r="Z390" s="15" t="n">
        <v/>
      </c>
      <c r="AA390" s="24">
        <f>AA390 * AC390</f>
        <v/>
      </c>
      <c r="AB390" s="24">
        <f>AB390 * AC390</f>
        <v/>
      </c>
      <c r="AC390" s="20" t="n"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>
        <f>I391 * AC391</f>
        <v/>
      </c>
      <c r="J391" s="21">
        <f>J391 * AC391</f>
        <v/>
      </c>
      <c r="K391" s="21">
        <f>K391 * AC391</f>
        <v/>
      </c>
      <c r="L391" s="21">
        <f>L391 * AC391</f>
        <v/>
      </c>
      <c r="M391" s="25">
        <f>M391 * AC391</f>
        <v/>
      </c>
      <c r="N391" s="25">
        <f>N391 * AC391</f>
        <v/>
      </c>
      <c r="O391" s="25">
        <f>O391 * AC391</f>
        <v/>
      </c>
      <c r="P391" s="25">
        <f>P391 * AC391</f>
        <v/>
      </c>
      <c r="Q391" s="25">
        <f>Q391 * AC391</f>
        <v/>
      </c>
      <c r="R391" s="25">
        <f>R391 * AC391</f>
        <v/>
      </c>
      <c r="S391" s="25">
        <f>S391 * AC391</f>
        <v/>
      </c>
      <c r="T391" s="25">
        <f>T391 * AC391</f>
        <v/>
      </c>
      <c r="U391" s="25">
        <f>U391 * AC391</f>
        <v/>
      </c>
      <c r="V391" s="25">
        <f>V391 * AC391</f>
        <v/>
      </c>
      <c r="W391" s="25">
        <f>W391 * AC391</f>
        <v/>
      </c>
      <c r="X391" s="25">
        <f>X391 * AC391</f>
        <v/>
      </c>
      <c r="Y391" s="25">
        <f>Y391 * AC391</f>
        <v/>
      </c>
      <c r="Z391" s="17" t="n">
        <v/>
      </c>
      <c r="AA391" s="25">
        <f>AA391 * AC391</f>
        <v/>
      </c>
      <c r="AB391" s="25">
        <f>AB391 * AC391</f>
        <v/>
      </c>
      <c r="AC391" s="22" t="n"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>
        <f>I392 * AC392</f>
        <v/>
      </c>
      <c r="J392" s="19">
        <f>J392 * AC392</f>
        <v/>
      </c>
      <c r="K392" s="19">
        <f>K392 * AC392</f>
        <v/>
      </c>
      <c r="L392" s="19">
        <f>L392 * AC392</f>
        <v/>
      </c>
      <c r="M392" s="24">
        <f>M392 * AC392</f>
        <v/>
      </c>
      <c r="N392" s="24">
        <f>N392 * AC392</f>
        <v/>
      </c>
      <c r="O392" s="24">
        <f>O392 * AC392</f>
        <v/>
      </c>
      <c r="P392" s="24">
        <f>P392 * AC392</f>
        <v/>
      </c>
      <c r="Q392" s="24">
        <f>Q392 * AC392</f>
        <v/>
      </c>
      <c r="R392" s="24">
        <f>R392 * AC392</f>
        <v/>
      </c>
      <c r="S392" s="24">
        <f>S392 * AC392</f>
        <v/>
      </c>
      <c r="T392" s="24">
        <f>T392 * AC392</f>
        <v/>
      </c>
      <c r="U392" s="24">
        <f>U392 * AC392</f>
        <v/>
      </c>
      <c r="V392" s="24">
        <f>V392 * AC392</f>
        <v/>
      </c>
      <c r="W392" s="24">
        <f>W392 * AC392</f>
        <v/>
      </c>
      <c r="X392" s="24">
        <f>X392 * AC392</f>
        <v/>
      </c>
      <c r="Y392" s="24">
        <f>Y392 * AC392</f>
        <v/>
      </c>
      <c r="Z392" s="15" t="n">
        <v/>
      </c>
      <c r="AA392" s="24">
        <f>AA392 * AC392</f>
        <v/>
      </c>
      <c r="AB392" s="24">
        <f>AB392 * AC392</f>
        <v/>
      </c>
      <c r="AC392" s="20" t="n"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>
        <f>I393 * AC393</f>
        <v/>
      </c>
      <c r="J393" s="21">
        <f>J393 * AC393</f>
        <v/>
      </c>
      <c r="K393" s="21">
        <f>K393 * AC393</f>
        <v/>
      </c>
      <c r="L393" s="21">
        <f>L393 * AC393</f>
        <v/>
      </c>
      <c r="M393" s="25">
        <f>M393 * AC393</f>
        <v/>
      </c>
      <c r="N393" s="25">
        <f>N393 * AC393</f>
        <v/>
      </c>
      <c r="O393" s="25">
        <f>O393 * AC393</f>
        <v/>
      </c>
      <c r="P393" s="25">
        <f>P393 * AC393</f>
        <v/>
      </c>
      <c r="Q393" s="25">
        <f>Q393 * AC393</f>
        <v/>
      </c>
      <c r="R393" s="25">
        <f>R393 * AC393</f>
        <v/>
      </c>
      <c r="S393" s="25">
        <f>S393 * AC393</f>
        <v/>
      </c>
      <c r="T393" s="25">
        <f>T393 * AC393</f>
        <v/>
      </c>
      <c r="U393" s="25">
        <f>U393 * AC393</f>
        <v/>
      </c>
      <c r="V393" s="25">
        <f>V393 * AC393</f>
        <v/>
      </c>
      <c r="W393" s="25">
        <f>W393 * AC393</f>
        <v/>
      </c>
      <c r="X393" s="25">
        <f>X393 * AC393</f>
        <v/>
      </c>
      <c r="Y393" s="25">
        <f>Y393 * AC393</f>
        <v/>
      </c>
      <c r="Z393" s="17" t="n">
        <v/>
      </c>
      <c r="AA393" s="25">
        <f>AA393 * AC393</f>
        <v/>
      </c>
      <c r="AB393" s="25">
        <f>AB393 * AC393</f>
        <v/>
      </c>
      <c r="AC393" s="22" t="n"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>
        <f>I394 * AC394</f>
        <v/>
      </c>
      <c r="J394" s="19">
        <f>J394 * AC394</f>
        <v/>
      </c>
      <c r="K394" s="19">
        <f>K394 * AC394</f>
        <v/>
      </c>
      <c r="L394" s="19">
        <f>L394 * AC394</f>
        <v/>
      </c>
      <c r="M394" s="24">
        <f>M394 * AC394</f>
        <v/>
      </c>
      <c r="N394" s="24">
        <f>N394 * AC394</f>
        <v/>
      </c>
      <c r="O394" s="24">
        <f>O394 * AC394</f>
        <v/>
      </c>
      <c r="P394" s="24">
        <f>P394 * AC394</f>
        <v/>
      </c>
      <c r="Q394" s="24">
        <f>Q394 * AC394</f>
        <v/>
      </c>
      <c r="R394" s="24">
        <f>R394 * AC394</f>
        <v/>
      </c>
      <c r="S394" s="24">
        <f>S394 * AC394</f>
        <v/>
      </c>
      <c r="T394" s="24">
        <f>T394 * AC394</f>
        <v/>
      </c>
      <c r="U394" s="24">
        <f>U394 * AC394</f>
        <v/>
      </c>
      <c r="V394" s="24">
        <f>V394 * AC394</f>
        <v/>
      </c>
      <c r="W394" s="24">
        <f>W394 * AC394</f>
        <v/>
      </c>
      <c r="X394" s="24">
        <f>X394 * AC394</f>
        <v/>
      </c>
      <c r="Y394" s="24">
        <f>Y394 * AC394</f>
        <v/>
      </c>
      <c r="Z394" s="15" t="n">
        <v/>
      </c>
      <c r="AA394" s="24">
        <f>AA394 * AC394</f>
        <v/>
      </c>
      <c r="AB394" s="24">
        <f>AB394 * AC394</f>
        <v/>
      </c>
      <c r="AC394" s="20" t="n"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>
        <f>I395 * AC395</f>
        <v/>
      </c>
      <c r="J395" s="21">
        <f>J395 * AC395</f>
        <v/>
      </c>
      <c r="K395" s="21">
        <f>K395 * AC395</f>
        <v/>
      </c>
      <c r="L395" s="21">
        <f>L395 * AC395</f>
        <v/>
      </c>
      <c r="M395" s="25">
        <f>M395 * AC395</f>
        <v/>
      </c>
      <c r="N395" s="25">
        <f>N395 * AC395</f>
        <v/>
      </c>
      <c r="O395" s="25">
        <f>O395 * AC395</f>
        <v/>
      </c>
      <c r="P395" s="25">
        <f>P395 * AC395</f>
        <v/>
      </c>
      <c r="Q395" s="25">
        <f>Q395 * AC395</f>
        <v/>
      </c>
      <c r="R395" s="25">
        <f>R395 * AC395</f>
        <v/>
      </c>
      <c r="S395" s="25">
        <f>S395 * AC395</f>
        <v/>
      </c>
      <c r="T395" s="25">
        <f>T395 * AC395</f>
        <v/>
      </c>
      <c r="U395" s="25">
        <f>U395 * AC395</f>
        <v/>
      </c>
      <c r="V395" s="25">
        <f>V395 * AC395</f>
        <v/>
      </c>
      <c r="W395" s="25">
        <f>W395 * AC395</f>
        <v/>
      </c>
      <c r="X395" s="25">
        <f>X395 * AC395</f>
        <v/>
      </c>
      <c r="Y395" s="25">
        <f>Y395 * AC395</f>
        <v/>
      </c>
      <c r="Z395" s="17" t="n">
        <v/>
      </c>
      <c r="AA395" s="25">
        <f>AA395 * AC395</f>
        <v/>
      </c>
      <c r="AB395" s="25">
        <f>AB395 * AC395</f>
        <v/>
      </c>
      <c r="AC395" s="22" t="n"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>
        <f>I396 * AC396</f>
        <v/>
      </c>
      <c r="J396" s="19">
        <f>J396 * AC396</f>
        <v/>
      </c>
      <c r="K396" s="19">
        <f>K396 * AC396</f>
        <v/>
      </c>
      <c r="L396" s="19">
        <f>L396 * AC396</f>
        <v/>
      </c>
      <c r="M396" s="24">
        <f>M396 * AC396</f>
        <v/>
      </c>
      <c r="N396" s="24">
        <f>N396 * AC396</f>
        <v/>
      </c>
      <c r="O396" s="24">
        <f>O396 * AC396</f>
        <v/>
      </c>
      <c r="P396" s="24">
        <f>P396 * AC396</f>
        <v/>
      </c>
      <c r="Q396" s="24">
        <f>Q396 * AC396</f>
        <v/>
      </c>
      <c r="R396" s="24">
        <f>R396 * AC396</f>
        <v/>
      </c>
      <c r="S396" s="24">
        <f>S396 * AC396</f>
        <v/>
      </c>
      <c r="T396" s="24">
        <f>T396 * AC396</f>
        <v/>
      </c>
      <c r="U396" s="24">
        <f>U396 * AC396</f>
        <v/>
      </c>
      <c r="V396" s="24">
        <f>V396 * AC396</f>
        <v/>
      </c>
      <c r="W396" s="24">
        <f>W396 * AC396</f>
        <v/>
      </c>
      <c r="X396" s="24">
        <f>X396 * AC396</f>
        <v/>
      </c>
      <c r="Y396" s="24">
        <f>Y396 * AC396</f>
        <v/>
      </c>
      <c r="Z396" s="15" t="n">
        <v/>
      </c>
      <c r="AA396" s="24">
        <f>AA396 * AC396</f>
        <v/>
      </c>
      <c r="AB396" s="24">
        <f>AB396 * AC396</f>
        <v/>
      </c>
      <c r="AC396" s="20" t="n"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>
        <f>I397 * AC397</f>
        <v/>
      </c>
      <c r="J397" s="21">
        <f>J397 * AC397</f>
        <v/>
      </c>
      <c r="K397" s="21">
        <f>K397 * AC397</f>
        <v/>
      </c>
      <c r="L397" s="21">
        <f>L397 * AC397</f>
        <v/>
      </c>
      <c r="M397" s="25">
        <f>M397 * AC397</f>
        <v/>
      </c>
      <c r="N397" s="25">
        <f>N397 * AC397</f>
        <v/>
      </c>
      <c r="O397" s="25">
        <f>O397 * AC397</f>
        <v/>
      </c>
      <c r="P397" s="25">
        <f>P397 * AC397</f>
        <v/>
      </c>
      <c r="Q397" s="25">
        <f>Q397 * AC397</f>
        <v/>
      </c>
      <c r="R397" s="25">
        <f>R397 * AC397</f>
        <v/>
      </c>
      <c r="S397" s="25">
        <f>S397 * AC397</f>
        <v/>
      </c>
      <c r="T397" s="25">
        <f>T397 * AC397</f>
        <v/>
      </c>
      <c r="U397" s="25">
        <f>U397 * AC397</f>
        <v/>
      </c>
      <c r="V397" s="25">
        <f>V397 * AC397</f>
        <v/>
      </c>
      <c r="W397" s="25">
        <f>W397 * AC397</f>
        <v/>
      </c>
      <c r="X397" s="25">
        <f>X397 * AC397</f>
        <v/>
      </c>
      <c r="Y397" s="25">
        <f>Y397 * AC397</f>
        <v/>
      </c>
      <c r="Z397" s="17" t="n">
        <v/>
      </c>
      <c r="AA397" s="25">
        <f>AA397 * AC397</f>
        <v/>
      </c>
      <c r="AB397" s="25">
        <f>AB397 * AC397</f>
        <v/>
      </c>
      <c r="AC397" s="22" t="n"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>
        <f>I398 * AC398</f>
        <v/>
      </c>
      <c r="J398" s="19">
        <f>J398 * AC398</f>
        <v/>
      </c>
      <c r="K398" s="19">
        <f>K398 * AC398</f>
        <v/>
      </c>
      <c r="L398" s="19">
        <f>L398 * AC398</f>
        <v/>
      </c>
      <c r="M398" s="24">
        <f>M398 * AC398</f>
        <v/>
      </c>
      <c r="N398" s="24">
        <f>N398 * AC398</f>
        <v/>
      </c>
      <c r="O398" s="24">
        <f>O398 * AC398</f>
        <v/>
      </c>
      <c r="P398" s="24">
        <f>P398 * AC398</f>
        <v/>
      </c>
      <c r="Q398" s="24">
        <f>Q398 * AC398</f>
        <v/>
      </c>
      <c r="R398" s="24">
        <f>R398 * AC398</f>
        <v/>
      </c>
      <c r="S398" s="24">
        <f>S398 * AC398</f>
        <v/>
      </c>
      <c r="T398" s="24">
        <f>T398 * AC398</f>
        <v/>
      </c>
      <c r="U398" s="24">
        <f>U398 * AC398</f>
        <v/>
      </c>
      <c r="V398" s="24">
        <f>V398 * AC398</f>
        <v/>
      </c>
      <c r="W398" s="24">
        <f>W398 * AC398</f>
        <v/>
      </c>
      <c r="X398" s="24">
        <f>X398 * AC398</f>
        <v/>
      </c>
      <c r="Y398" s="24">
        <f>Y398 * AC398</f>
        <v/>
      </c>
      <c r="Z398" s="15" t="n">
        <v/>
      </c>
      <c r="AA398" s="24">
        <f>AA398 * AC398</f>
        <v/>
      </c>
      <c r="AB398" s="24">
        <f>AB398 * AC398</f>
        <v/>
      </c>
      <c r="AC398" s="20" t="n"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>
        <f>I399 * AC399</f>
        <v/>
      </c>
      <c r="J399" s="21">
        <f>J399 * AC399</f>
        <v/>
      </c>
      <c r="K399" s="21">
        <f>K399 * AC399</f>
        <v/>
      </c>
      <c r="L399" s="21">
        <f>L399 * AC399</f>
        <v/>
      </c>
      <c r="M399" s="25">
        <f>M399 * AC399</f>
        <v/>
      </c>
      <c r="N399" s="25">
        <f>N399 * AC399</f>
        <v/>
      </c>
      <c r="O399" s="25">
        <f>O399 * AC399</f>
        <v/>
      </c>
      <c r="P399" s="25">
        <f>P399 * AC399</f>
        <v/>
      </c>
      <c r="Q399" s="25">
        <f>Q399 * AC399</f>
        <v/>
      </c>
      <c r="R399" s="25">
        <f>R399 * AC399</f>
        <v/>
      </c>
      <c r="S399" s="25">
        <f>S399 * AC399</f>
        <v/>
      </c>
      <c r="T399" s="25">
        <f>T399 * AC399</f>
        <v/>
      </c>
      <c r="U399" s="25">
        <f>U399 * AC399</f>
        <v/>
      </c>
      <c r="V399" s="25">
        <f>V399 * AC399</f>
        <v/>
      </c>
      <c r="W399" s="25">
        <f>W399 * AC399</f>
        <v/>
      </c>
      <c r="X399" s="25">
        <f>X399 * AC399</f>
        <v/>
      </c>
      <c r="Y399" s="25">
        <f>Y399 * AC399</f>
        <v/>
      </c>
      <c r="Z399" s="17" t="n">
        <v/>
      </c>
      <c r="AA399" s="25">
        <f>AA399 * AC399</f>
        <v/>
      </c>
      <c r="AB399" s="25">
        <f>AB399 * AC399</f>
        <v/>
      </c>
      <c r="AC399" s="22" t="n"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>
        <f>I400 * AC400</f>
        <v/>
      </c>
      <c r="J400" s="19">
        <f>J400 * AC400</f>
        <v/>
      </c>
      <c r="K400" s="19">
        <f>K400 * AC400</f>
        <v/>
      </c>
      <c r="L400" s="19">
        <f>L400 * AC400</f>
        <v/>
      </c>
      <c r="M400" s="24">
        <f>M400 * AC400</f>
        <v/>
      </c>
      <c r="N400" s="24">
        <f>N400 * AC400</f>
        <v/>
      </c>
      <c r="O400" s="24">
        <f>O400 * AC400</f>
        <v/>
      </c>
      <c r="P400" s="24">
        <f>P400 * AC400</f>
        <v/>
      </c>
      <c r="Q400" s="24">
        <f>Q400 * AC400</f>
        <v/>
      </c>
      <c r="R400" s="24">
        <f>R400 * AC400</f>
        <v/>
      </c>
      <c r="S400" s="24">
        <f>S400 * AC400</f>
        <v/>
      </c>
      <c r="T400" s="24">
        <f>T400 * AC400</f>
        <v/>
      </c>
      <c r="U400" s="24">
        <f>U400 * AC400</f>
        <v/>
      </c>
      <c r="V400" s="24">
        <f>V400 * AC400</f>
        <v/>
      </c>
      <c r="W400" s="24">
        <f>W400 * AC400</f>
        <v/>
      </c>
      <c r="X400" s="24">
        <f>X400 * AC400</f>
        <v/>
      </c>
      <c r="Y400" s="24">
        <f>Y400 * AC400</f>
        <v/>
      </c>
      <c r="Z400" s="15" t="n">
        <v/>
      </c>
      <c r="AA400" s="24">
        <f>AA400 * AC400</f>
        <v/>
      </c>
      <c r="AB400" s="24">
        <f>AB400 * AC400</f>
        <v/>
      </c>
      <c r="AC400" s="20" t="n"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>
        <f>I401 * AC401</f>
        <v/>
      </c>
      <c r="J401" s="21">
        <f>J401 * AC401</f>
        <v/>
      </c>
      <c r="K401" s="21">
        <f>K401 * AC401</f>
        <v/>
      </c>
      <c r="L401" s="21">
        <f>L401 * AC401</f>
        <v/>
      </c>
      <c r="M401" s="25">
        <f>M401 * AC401</f>
        <v/>
      </c>
      <c r="N401" s="25">
        <f>N401 * AC401</f>
        <v/>
      </c>
      <c r="O401" s="25">
        <f>O401 * AC401</f>
        <v/>
      </c>
      <c r="P401" s="25">
        <f>P401 * AC401</f>
        <v/>
      </c>
      <c r="Q401" s="25">
        <f>Q401 * AC401</f>
        <v/>
      </c>
      <c r="R401" s="25">
        <f>R401 * AC401</f>
        <v/>
      </c>
      <c r="S401" s="25">
        <f>S401 * AC401</f>
        <v/>
      </c>
      <c r="T401" s="25">
        <f>T401 * AC401</f>
        <v/>
      </c>
      <c r="U401" s="25">
        <f>U401 * AC401</f>
        <v/>
      </c>
      <c r="V401" s="25">
        <f>V401 * AC401</f>
        <v/>
      </c>
      <c r="W401" s="25">
        <f>W401 * AC401</f>
        <v/>
      </c>
      <c r="X401" s="25">
        <f>X401 * AC401</f>
        <v/>
      </c>
      <c r="Y401" s="25">
        <f>Y401 * AC401</f>
        <v/>
      </c>
      <c r="Z401" s="17" t="n">
        <v/>
      </c>
      <c r="AA401" s="25">
        <f>AA401 * AC401</f>
        <v/>
      </c>
      <c r="AB401" s="25">
        <f>AB401 * AC401</f>
        <v/>
      </c>
      <c r="AC401" s="22" t="n"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>
        <f>I402 * AC402</f>
        <v/>
      </c>
      <c r="J402" s="19">
        <f>J402 * AC402</f>
        <v/>
      </c>
      <c r="K402" s="19">
        <f>K402 * AC402</f>
        <v/>
      </c>
      <c r="L402" s="19">
        <f>L402 * AC402</f>
        <v/>
      </c>
      <c r="M402" s="24">
        <f>M402 * AC402</f>
        <v/>
      </c>
      <c r="N402" s="24">
        <f>N402 * AC402</f>
        <v/>
      </c>
      <c r="O402" s="24">
        <f>O402 * AC402</f>
        <v/>
      </c>
      <c r="P402" s="24">
        <f>P402 * AC402</f>
        <v/>
      </c>
      <c r="Q402" s="24">
        <f>Q402 * AC402</f>
        <v/>
      </c>
      <c r="R402" s="24">
        <f>R402 * AC402</f>
        <v/>
      </c>
      <c r="S402" s="24">
        <f>S402 * AC402</f>
        <v/>
      </c>
      <c r="T402" s="24">
        <f>T402 * AC402</f>
        <v/>
      </c>
      <c r="U402" s="24">
        <f>U402 * AC402</f>
        <v/>
      </c>
      <c r="V402" s="24">
        <f>V402 * AC402</f>
        <v/>
      </c>
      <c r="W402" s="24">
        <f>W402 * AC402</f>
        <v/>
      </c>
      <c r="X402" s="24">
        <f>X402 * AC402</f>
        <v/>
      </c>
      <c r="Y402" s="24">
        <f>Y402 * AC402</f>
        <v/>
      </c>
      <c r="Z402" s="15" t="n">
        <v/>
      </c>
      <c r="AA402" s="24">
        <f>AA402 * AC402</f>
        <v/>
      </c>
      <c r="AB402" s="24">
        <f>AB402 * AC402</f>
        <v/>
      </c>
      <c r="AC402" s="20" t="n"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>
        <f>I403 * AC403</f>
        <v/>
      </c>
      <c r="J403" s="21">
        <f>J403 * AC403</f>
        <v/>
      </c>
      <c r="K403" s="21">
        <f>K403 * AC403</f>
        <v/>
      </c>
      <c r="L403" s="21">
        <f>L403 * AC403</f>
        <v/>
      </c>
      <c r="M403" s="25">
        <f>M403 * AC403</f>
        <v/>
      </c>
      <c r="N403" s="25">
        <f>N403 * AC403</f>
        <v/>
      </c>
      <c r="O403" s="25">
        <f>O403 * AC403</f>
        <v/>
      </c>
      <c r="P403" s="25">
        <f>P403 * AC403</f>
        <v/>
      </c>
      <c r="Q403" s="25">
        <f>Q403 * AC403</f>
        <v/>
      </c>
      <c r="R403" s="25">
        <f>R403 * AC403</f>
        <v/>
      </c>
      <c r="S403" s="25">
        <f>S403 * AC403</f>
        <v/>
      </c>
      <c r="T403" s="25">
        <f>T403 * AC403</f>
        <v/>
      </c>
      <c r="U403" s="25">
        <f>U403 * AC403</f>
        <v/>
      </c>
      <c r="V403" s="25">
        <f>V403 * AC403</f>
        <v/>
      </c>
      <c r="W403" s="25">
        <f>W403 * AC403</f>
        <v/>
      </c>
      <c r="X403" s="25">
        <f>X403 * AC403</f>
        <v/>
      </c>
      <c r="Y403" s="25">
        <f>Y403 * AC403</f>
        <v/>
      </c>
      <c r="Z403" s="17" t="n">
        <v/>
      </c>
      <c r="AA403" s="25">
        <f>AA403 * AC403</f>
        <v/>
      </c>
      <c r="AB403" s="25">
        <f>AB403 * AC403</f>
        <v/>
      </c>
      <c r="AC403" s="22" t="n"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>
        <f>I404 * AC404</f>
        <v/>
      </c>
      <c r="J404" s="19">
        <f>J404 * AC404</f>
        <v/>
      </c>
      <c r="K404" s="19">
        <f>K404 * AC404</f>
        <v/>
      </c>
      <c r="L404" s="19">
        <f>L404 * AC404</f>
        <v/>
      </c>
      <c r="M404" s="24">
        <f>M404 * AC404</f>
        <v/>
      </c>
      <c r="N404" s="24">
        <f>N404 * AC404</f>
        <v/>
      </c>
      <c r="O404" s="24">
        <f>O404 * AC404</f>
        <v/>
      </c>
      <c r="P404" s="24">
        <f>P404 * AC404</f>
        <v/>
      </c>
      <c r="Q404" s="24">
        <f>Q404 * AC404</f>
        <v/>
      </c>
      <c r="R404" s="24">
        <f>R404 * AC404</f>
        <v/>
      </c>
      <c r="S404" s="24">
        <f>S404 * AC404</f>
        <v/>
      </c>
      <c r="T404" s="24">
        <f>T404 * AC404</f>
        <v/>
      </c>
      <c r="U404" s="24">
        <f>U404 * AC404</f>
        <v/>
      </c>
      <c r="V404" s="24">
        <f>V404 * AC404</f>
        <v/>
      </c>
      <c r="W404" s="24">
        <f>W404 * AC404</f>
        <v/>
      </c>
      <c r="X404" s="24">
        <f>X404 * AC404</f>
        <v/>
      </c>
      <c r="Y404" s="24">
        <f>Y404 * AC404</f>
        <v/>
      </c>
      <c r="Z404" s="15" t="n">
        <v/>
      </c>
      <c r="AA404" s="24">
        <f>AA404 * AC404</f>
        <v/>
      </c>
      <c r="AB404" s="24">
        <f>AB404 * AC404</f>
        <v/>
      </c>
      <c r="AC404" s="20" t="n"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>
        <f>I405 * AC405</f>
        <v/>
      </c>
      <c r="J405" s="21">
        <f>J405 * AC405</f>
        <v/>
      </c>
      <c r="K405" s="21">
        <f>K405 * AC405</f>
        <v/>
      </c>
      <c r="L405" s="21">
        <f>L405 * AC405</f>
        <v/>
      </c>
      <c r="M405" s="25">
        <f>M405 * AC405</f>
        <v/>
      </c>
      <c r="N405" s="25">
        <f>N405 * AC405</f>
        <v/>
      </c>
      <c r="O405" s="25">
        <f>O405 * AC405</f>
        <v/>
      </c>
      <c r="P405" s="25">
        <f>P405 * AC405</f>
        <v/>
      </c>
      <c r="Q405" s="25">
        <f>Q405 * AC405</f>
        <v/>
      </c>
      <c r="R405" s="25">
        <f>R405 * AC405</f>
        <v/>
      </c>
      <c r="S405" s="25">
        <f>S405 * AC405</f>
        <v/>
      </c>
      <c r="T405" s="25">
        <f>T405 * AC405</f>
        <v/>
      </c>
      <c r="U405" s="25">
        <f>U405 * AC405</f>
        <v/>
      </c>
      <c r="V405" s="25">
        <f>V405 * AC405</f>
        <v/>
      </c>
      <c r="W405" s="25">
        <f>W405 * AC405</f>
        <v/>
      </c>
      <c r="X405" s="25">
        <f>X405 * AC405</f>
        <v/>
      </c>
      <c r="Y405" s="25">
        <f>Y405 * AC405</f>
        <v/>
      </c>
      <c r="Z405" s="17" t="n">
        <v/>
      </c>
      <c r="AA405" s="25">
        <f>AA405 * AC405</f>
        <v/>
      </c>
      <c r="AB405" s="25">
        <f>AB405 * AC405</f>
        <v/>
      </c>
      <c r="AC405" s="22" t="n"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>
        <f>I406 * AC406</f>
        <v/>
      </c>
      <c r="J406" s="19">
        <f>J406 * AC406</f>
        <v/>
      </c>
      <c r="K406" s="19">
        <f>K406 * AC406</f>
        <v/>
      </c>
      <c r="L406" s="19">
        <f>L406 * AC406</f>
        <v/>
      </c>
      <c r="M406" s="24">
        <f>M406 * AC406</f>
        <v/>
      </c>
      <c r="N406" s="24">
        <f>N406 * AC406</f>
        <v/>
      </c>
      <c r="O406" s="24">
        <f>O406 * AC406</f>
        <v/>
      </c>
      <c r="P406" s="24">
        <f>P406 * AC406</f>
        <v/>
      </c>
      <c r="Q406" s="24">
        <f>Q406 * AC406</f>
        <v/>
      </c>
      <c r="R406" s="24">
        <f>R406 * AC406</f>
        <v/>
      </c>
      <c r="S406" s="24">
        <f>S406 * AC406</f>
        <v/>
      </c>
      <c r="T406" s="24">
        <f>T406 * AC406</f>
        <v/>
      </c>
      <c r="U406" s="24">
        <f>U406 * AC406</f>
        <v/>
      </c>
      <c r="V406" s="24">
        <f>V406 * AC406</f>
        <v/>
      </c>
      <c r="W406" s="24">
        <f>W406 * AC406</f>
        <v/>
      </c>
      <c r="X406" s="24">
        <f>X406 * AC406</f>
        <v/>
      </c>
      <c r="Y406" s="24">
        <f>Y406 * AC406</f>
        <v/>
      </c>
      <c r="Z406" s="15" t="n">
        <v/>
      </c>
      <c r="AA406" s="24">
        <f>AA406 * AC406</f>
        <v/>
      </c>
      <c r="AB406" s="24">
        <f>AB406 * AC406</f>
        <v/>
      </c>
      <c r="AC406" s="20" t="n"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>
        <f>I407 * AC407</f>
        <v/>
      </c>
      <c r="J407" s="21">
        <f>J407 * AC407</f>
        <v/>
      </c>
      <c r="K407" s="21">
        <f>K407 * AC407</f>
        <v/>
      </c>
      <c r="L407" s="21">
        <f>L407 * AC407</f>
        <v/>
      </c>
      <c r="M407" s="25">
        <f>M407 * AC407</f>
        <v/>
      </c>
      <c r="N407" s="25">
        <f>N407 * AC407</f>
        <v/>
      </c>
      <c r="O407" s="25">
        <f>O407 * AC407</f>
        <v/>
      </c>
      <c r="P407" s="25">
        <f>P407 * AC407</f>
        <v/>
      </c>
      <c r="Q407" s="25">
        <f>Q407 * AC407</f>
        <v/>
      </c>
      <c r="R407" s="25">
        <f>R407 * AC407</f>
        <v/>
      </c>
      <c r="S407" s="25">
        <f>S407 * AC407</f>
        <v/>
      </c>
      <c r="T407" s="25">
        <f>T407 * AC407</f>
        <v/>
      </c>
      <c r="U407" s="25">
        <f>U407 * AC407</f>
        <v/>
      </c>
      <c r="V407" s="25">
        <f>V407 * AC407</f>
        <v/>
      </c>
      <c r="W407" s="25">
        <f>W407 * AC407</f>
        <v/>
      </c>
      <c r="X407" s="25">
        <f>X407 * AC407</f>
        <v/>
      </c>
      <c r="Y407" s="25">
        <f>Y407 * AC407</f>
        <v/>
      </c>
      <c r="Z407" s="17" t="n">
        <v/>
      </c>
      <c r="AA407" s="25">
        <f>AA407 * AC407</f>
        <v/>
      </c>
      <c r="AB407" s="25">
        <f>AB407 * AC407</f>
        <v/>
      </c>
      <c r="AC407" s="22" t="n"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>
        <f>I408 * AC408</f>
        <v/>
      </c>
      <c r="J408" s="19">
        <f>J408 * AC408</f>
        <v/>
      </c>
      <c r="K408" s="19">
        <f>K408 * AC408</f>
        <v/>
      </c>
      <c r="L408" s="19">
        <f>L408 * AC408</f>
        <v/>
      </c>
      <c r="M408" s="24">
        <f>M408 * AC408</f>
        <v/>
      </c>
      <c r="N408" s="24">
        <f>N408 * AC408</f>
        <v/>
      </c>
      <c r="O408" s="24">
        <f>O408 * AC408</f>
        <v/>
      </c>
      <c r="P408" s="24">
        <f>P408 * AC408</f>
        <v/>
      </c>
      <c r="Q408" s="24">
        <f>Q408 * AC408</f>
        <v/>
      </c>
      <c r="R408" s="24">
        <f>R408 * AC408</f>
        <v/>
      </c>
      <c r="S408" s="24">
        <f>S408 * AC408</f>
        <v/>
      </c>
      <c r="T408" s="24">
        <f>T408 * AC408</f>
        <v/>
      </c>
      <c r="U408" s="24">
        <f>U408 * AC408</f>
        <v/>
      </c>
      <c r="V408" s="24">
        <f>V408 * AC408</f>
        <v/>
      </c>
      <c r="W408" s="24">
        <f>W408 * AC408</f>
        <v/>
      </c>
      <c r="X408" s="24">
        <f>X408 * AC408</f>
        <v/>
      </c>
      <c r="Y408" s="24">
        <f>Y408 * AC408</f>
        <v/>
      </c>
      <c r="Z408" s="15" t="n">
        <v/>
      </c>
      <c r="AA408" s="24">
        <f>AA408 * AC408</f>
        <v/>
      </c>
      <c r="AB408" s="24">
        <f>AB408 * AC408</f>
        <v/>
      </c>
      <c r="AC408" s="20" t="n"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>
        <f>I409 * AC409</f>
        <v/>
      </c>
      <c r="J409" s="21">
        <f>J409 * AC409</f>
        <v/>
      </c>
      <c r="K409" s="21">
        <f>K409 * AC409</f>
        <v/>
      </c>
      <c r="L409" s="21">
        <f>L409 * AC409</f>
        <v/>
      </c>
      <c r="M409" s="25">
        <f>M409 * AC409</f>
        <v/>
      </c>
      <c r="N409" s="25">
        <f>N409 * AC409</f>
        <v/>
      </c>
      <c r="O409" s="25">
        <f>O409 * AC409</f>
        <v/>
      </c>
      <c r="P409" s="25">
        <f>P409 * AC409</f>
        <v/>
      </c>
      <c r="Q409" s="25">
        <f>Q409 * AC409</f>
        <v/>
      </c>
      <c r="R409" s="25">
        <f>R409 * AC409</f>
        <v/>
      </c>
      <c r="S409" s="25">
        <f>S409 * AC409</f>
        <v/>
      </c>
      <c r="T409" s="25">
        <f>T409 * AC409</f>
        <v/>
      </c>
      <c r="U409" s="25">
        <f>U409 * AC409</f>
        <v/>
      </c>
      <c r="V409" s="25">
        <f>V409 * AC409</f>
        <v/>
      </c>
      <c r="W409" s="25">
        <f>W409 * AC409</f>
        <v/>
      </c>
      <c r="X409" s="25">
        <f>X409 * AC409</f>
        <v/>
      </c>
      <c r="Y409" s="25">
        <f>Y409 * AC409</f>
        <v/>
      </c>
      <c r="Z409" s="17" t="n">
        <v/>
      </c>
      <c r="AA409" s="25">
        <f>AA409 * AC409</f>
        <v/>
      </c>
      <c r="AB409" s="25">
        <f>AB409 * AC409</f>
        <v/>
      </c>
      <c r="AC409" s="22" t="n"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>
        <f>I410 * AC410</f>
        <v/>
      </c>
      <c r="J410" s="19">
        <f>J410 * AC410</f>
        <v/>
      </c>
      <c r="K410" s="19">
        <f>K410 * AC410</f>
        <v/>
      </c>
      <c r="L410" s="19">
        <f>L410 * AC410</f>
        <v/>
      </c>
      <c r="M410" s="24">
        <f>M410 * AC410</f>
        <v/>
      </c>
      <c r="N410" s="24">
        <f>N410 * AC410</f>
        <v/>
      </c>
      <c r="O410" s="24">
        <f>O410 * AC410</f>
        <v/>
      </c>
      <c r="P410" s="24">
        <f>P410 * AC410</f>
        <v/>
      </c>
      <c r="Q410" s="24">
        <f>Q410 * AC410</f>
        <v/>
      </c>
      <c r="R410" s="24">
        <f>R410 * AC410</f>
        <v/>
      </c>
      <c r="S410" s="24">
        <f>S410 * AC410</f>
        <v/>
      </c>
      <c r="T410" s="24">
        <f>T410 * AC410</f>
        <v/>
      </c>
      <c r="U410" s="24">
        <f>U410 * AC410</f>
        <v/>
      </c>
      <c r="V410" s="24">
        <f>V410 * AC410</f>
        <v/>
      </c>
      <c r="W410" s="24">
        <f>W410 * AC410</f>
        <v/>
      </c>
      <c r="X410" s="24">
        <f>X410 * AC410</f>
        <v/>
      </c>
      <c r="Y410" s="24">
        <f>Y410 * AC410</f>
        <v/>
      </c>
      <c r="Z410" s="15" t="n">
        <v/>
      </c>
      <c r="AA410" s="24">
        <f>AA410 * AC410</f>
        <v/>
      </c>
      <c r="AB410" s="24">
        <f>AB410 * AC410</f>
        <v/>
      </c>
      <c r="AC410" s="20" t="n"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>
        <f>I411 * AC411</f>
        <v/>
      </c>
      <c r="J411" s="21">
        <f>J411 * AC411</f>
        <v/>
      </c>
      <c r="K411" s="21">
        <f>K411 * AC411</f>
        <v/>
      </c>
      <c r="L411" s="21">
        <f>L411 * AC411</f>
        <v/>
      </c>
      <c r="M411" s="25">
        <f>M411 * AC411</f>
        <v/>
      </c>
      <c r="N411" s="25">
        <f>N411 * AC411</f>
        <v/>
      </c>
      <c r="O411" s="25">
        <f>O411 * AC411</f>
        <v/>
      </c>
      <c r="P411" s="25">
        <f>P411 * AC411</f>
        <v/>
      </c>
      <c r="Q411" s="25">
        <f>Q411 * AC411</f>
        <v/>
      </c>
      <c r="R411" s="25">
        <f>R411 * AC411</f>
        <v/>
      </c>
      <c r="S411" s="25">
        <f>S411 * AC411</f>
        <v/>
      </c>
      <c r="T411" s="25">
        <f>T411 * AC411</f>
        <v/>
      </c>
      <c r="U411" s="25">
        <f>U411 * AC411</f>
        <v/>
      </c>
      <c r="V411" s="25">
        <f>V411 * AC411</f>
        <v/>
      </c>
      <c r="W411" s="25">
        <f>W411 * AC411</f>
        <v/>
      </c>
      <c r="X411" s="25">
        <f>X411 * AC411</f>
        <v/>
      </c>
      <c r="Y411" s="25">
        <f>Y411 * AC411</f>
        <v/>
      </c>
      <c r="Z411" s="17" t="n">
        <v/>
      </c>
      <c r="AA411" s="25">
        <f>AA411 * AC411</f>
        <v/>
      </c>
      <c r="AB411" s="25">
        <f>AB411 * AC411</f>
        <v/>
      </c>
      <c r="AC411" s="22" t="n"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>
        <f>I412 * AC412</f>
        <v/>
      </c>
      <c r="J412" s="19">
        <f>J412 * AC412</f>
        <v/>
      </c>
      <c r="K412" s="19">
        <f>K412 * AC412</f>
        <v/>
      </c>
      <c r="L412" s="19">
        <f>L412 * AC412</f>
        <v/>
      </c>
      <c r="M412" s="24">
        <f>M412 * AC412</f>
        <v/>
      </c>
      <c r="N412" s="24">
        <f>N412 * AC412</f>
        <v/>
      </c>
      <c r="O412" s="24">
        <f>O412 * AC412</f>
        <v/>
      </c>
      <c r="P412" s="24">
        <f>P412 * AC412</f>
        <v/>
      </c>
      <c r="Q412" s="24">
        <f>Q412 * AC412</f>
        <v/>
      </c>
      <c r="R412" s="24">
        <f>R412 * AC412</f>
        <v/>
      </c>
      <c r="S412" s="24">
        <f>S412 * AC412</f>
        <v/>
      </c>
      <c r="T412" s="24">
        <f>T412 * AC412</f>
        <v/>
      </c>
      <c r="U412" s="24">
        <f>U412 * AC412</f>
        <v/>
      </c>
      <c r="V412" s="24">
        <f>V412 * AC412</f>
        <v/>
      </c>
      <c r="W412" s="24">
        <f>W412 * AC412</f>
        <v/>
      </c>
      <c r="X412" s="24">
        <f>X412 * AC412</f>
        <v/>
      </c>
      <c r="Y412" s="24">
        <f>Y412 * AC412</f>
        <v/>
      </c>
      <c r="Z412" s="15" t="n">
        <v/>
      </c>
      <c r="AA412" s="24">
        <f>AA412 * AC412</f>
        <v/>
      </c>
      <c r="AB412" s="24">
        <f>AB412 * AC412</f>
        <v/>
      </c>
      <c r="AC412" s="20" t="n"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>
        <f>I413 * AC413</f>
        <v/>
      </c>
      <c r="J413" s="21">
        <f>J413 * AC413</f>
        <v/>
      </c>
      <c r="K413" s="21">
        <f>K413 * AC413</f>
        <v/>
      </c>
      <c r="L413" s="21">
        <f>L413 * AC413</f>
        <v/>
      </c>
      <c r="M413" s="25">
        <f>M413 * AC413</f>
        <v/>
      </c>
      <c r="N413" s="25">
        <f>N413 * AC413</f>
        <v/>
      </c>
      <c r="O413" s="25">
        <f>O413 * AC413</f>
        <v/>
      </c>
      <c r="P413" s="25">
        <f>P413 * AC413</f>
        <v/>
      </c>
      <c r="Q413" s="25">
        <f>Q413 * AC413</f>
        <v/>
      </c>
      <c r="R413" s="25">
        <f>R413 * AC413</f>
        <v/>
      </c>
      <c r="S413" s="25">
        <f>S413 * AC413</f>
        <v/>
      </c>
      <c r="T413" s="25">
        <f>T413 * AC413</f>
        <v/>
      </c>
      <c r="U413" s="25">
        <f>U413 * AC413</f>
        <v/>
      </c>
      <c r="V413" s="25">
        <f>V413 * AC413</f>
        <v/>
      </c>
      <c r="W413" s="25">
        <f>W413 * AC413</f>
        <v/>
      </c>
      <c r="X413" s="25">
        <f>X413 * AC413</f>
        <v/>
      </c>
      <c r="Y413" s="25">
        <f>Y413 * AC413</f>
        <v/>
      </c>
      <c r="Z413" s="17" t="n">
        <v/>
      </c>
      <c r="AA413" s="25">
        <f>AA413 * AC413</f>
        <v/>
      </c>
      <c r="AB413" s="25">
        <f>AB413 * AC413</f>
        <v/>
      </c>
      <c r="AC413" s="22" t="n"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>
        <f>I414 * AC414</f>
        <v/>
      </c>
      <c r="J414" s="19">
        <f>J414 * AC414</f>
        <v/>
      </c>
      <c r="K414" s="19">
        <f>K414 * AC414</f>
        <v/>
      </c>
      <c r="L414" s="19">
        <f>L414 * AC414</f>
        <v/>
      </c>
      <c r="M414" s="24">
        <f>M414 * AC414</f>
        <v/>
      </c>
      <c r="N414" s="24">
        <f>N414 * AC414</f>
        <v/>
      </c>
      <c r="O414" s="24">
        <f>O414 * AC414</f>
        <v/>
      </c>
      <c r="P414" s="24">
        <f>P414 * AC414</f>
        <v/>
      </c>
      <c r="Q414" s="24">
        <f>Q414 * AC414</f>
        <v/>
      </c>
      <c r="R414" s="24">
        <f>R414 * AC414</f>
        <v/>
      </c>
      <c r="S414" s="24">
        <f>S414 * AC414</f>
        <v/>
      </c>
      <c r="T414" s="24">
        <f>T414 * AC414</f>
        <v/>
      </c>
      <c r="U414" s="24">
        <f>U414 * AC414</f>
        <v/>
      </c>
      <c r="V414" s="24">
        <f>V414 * AC414</f>
        <v/>
      </c>
      <c r="W414" s="24">
        <f>W414 * AC414</f>
        <v/>
      </c>
      <c r="X414" s="24">
        <f>X414 * AC414</f>
        <v/>
      </c>
      <c r="Y414" s="24">
        <f>Y414 * AC414</f>
        <v/>
      </c>
      <c r="Z414" s="15" t="n">
        <v/>
      </c>
      <c r="AA414" s="24">
        <f>AA414 * AC414</f>
        <v/>
      </c>
      <c r="AB414" s="24">
        <f>AB414 * AC414</f>
        <v/>
      </c>
      <c r="AC414" s="20" t="n"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>
        <f>I415 * AC415</f>
        <v/>
      </c>
      <c r="J415" s="21">
        <f>J415 * AC415</f>
        <v/>
      </c>
      <c r="K415" s="21">
        <f>K415 * AC415</f>
        <v/>
      </c>
      <c r="L415" s="21">
        <f>L415 * AC415</f>
        <v/>
      </c>
      <c r="M415" s="25">
        <f>M415 * AC415</f>
        <v/>
      </c>
      <c r="N415" s="25">
        <f>N415 * AC415</f>
        <v/>
      </c>
      <c r="O415" s="25">
        <f>O415 * AC415</f>
        <v/>
      </c>
      <c r="P415" s="25">
        <f>P415 * AC415</f>
        <v/>
      </c>
      <c r="Q415" s="25">
        <f>Q415 * AC415</f>
        <v/>
      </c>
      <c r="R415" s="25">
        <f>R415 * AC415</f>
        <v/>
      </c>
      <c r="S415" s="25">
        <f>S415 * AC415</f>
        <v/>
      </c>
      <c r="T415" s="25">
        <f>T415 * AC415</f>
        <v/>
      </c>
      <c r="U415" s="25">
        <f>U415 * AC415</f>
        <v/>
      </c>
      <c r="V415" s="25">
        <f>V415 * AC415</f>
        <v/>
      </c>
      <c r="W415" s="25">
        <f>W415 * AC415</f>
        <v/>
      </c>
      <c r="X415" s="25">
        <f>X415 * AC415</f>
        <v/>
      </c>
      <c r="Y415" s="25">
        <f>Y415 * AC415</f>
        <v/>
      </c>
      <c r="Z415" s="17" t="n">
        <v/>
      </c>
      <c r="AA415" s="25">
        <f>AA415 * AC415</f>
        <v/>
      </c>
      <c r="AB415" s="25">
        <f>AB415 * AC415</f>
        <v/>
      </c>
      <c r="AC415" s="22" t="n"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>
        <f>I416 * AC416</f>
        <v/>
      </c>
      <c r="J416" s="19">
        <f>J416 * AC416</f>
        <v/>
      </c>
      <c r="K416" s="19">
        <f>K416 * AC416</f>
        <v/>
      </c>
      <c r="L416" s="19">
        <f>L416 * AC416</f>
        <v/>
      </c>
      <c r="M416" s="24">
        <f>M416 * AC416</f>
        <v/>
      </c>
      <c r="N416" s="24">
        <f>N416 * AC416</f>
        <v/>
      </c>
      <c r="O416" s="24">
        <f>O416 * AC416</f>
        <v/>
      </c>
      <c r="P416" s="24">
        <f>P416 * AC416</f>
        <v/>
      </c>
      <c r="Q416" s="24">
        <f>Q416 * AC416</f>
        <v/>
      </c>
      <c r="R416" s="24">
        <f>R416 * AC416</f>
        <v/>
      </c>
      <c r="S416" s="24">
        <f>S416 * AC416</f>
        <v/>
      </c>
      <c r="T416" s="24">
        <f>T416 * AC416</f>
        <v/>
      </c>
      <c r="U416" s="24">
        <f>U416 * AC416</f>
        <v/>
      </c>
      <c r="V416" s="24">
        <f>V416 * AC416</f>
        <v/>
      </c>
      <c r="W416" s="24">
        <f>W416 * AC416</f>
        <v/>
      </c>
      <c r="X416" s="24">
        <f>X416 * AC416</f>
        <v/>
      </c>
      <c r="Y416" s="24">
        <f>Y416 * AC416</f>
        <v/>
      </c>
      <c r="Z416" s="15" t="n">
        <v/>
      </c>
      <c r="AA416" s="24">
        <f>AA416 * AC416</f>
        <v/>
      </c>
      <c r="AB416" s="24">
        <f>AB416 * AC416</f>
        <v/>
      </c>
      <c r="AC416" s="20" t="n"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>
        <f>I417 * AC417</f>
        <v/>
      </c>
      <c r="J417" s="21">
        <f>J417 * AC417</f>
        <v/>
      </c>
      <c r="K417" s="21">
        <f>K417 * AC417</f>
        <v/>
      </c>
      <c r="L417" s="21">
        <f>L417 * AC417</f>
        <v/>
      </c>
      <c r="M417" s="25">
        <f>M417 * AC417</f>
        <v/>
      </c>
      <c r="N417" s="25">
        <f>N417 * AC417</f>
        <v/>
      </c>
      <c r="O417" s="25">
        <f>O417 * AC417</f>
        <v/>
      </c>
      <c r="P417" s="25">
        <f>P417 * AC417</f>
        <v/>
      </c>
      <c r="Q417" s="25">
        <f>Q417 * AC417</f>
        <v/>
      </c>
      <c r="R417" s="25">
        <f>R417 * AC417</f>
        <v/>
      </c>
      <c r="S417" s="25">
        <f>S417 * AC417</f>
        <v/>
      </c>
      <c r="T417" s="25">
        <f>T417 * AC417</f>
        <v/>
      </c>
      <c r="U417" s="25">
        <f>U417 * AC417</f>
        <v/>
      </c>
      <c r="V417" s="25">
        <f>V417 * AC417</f>
        <v/>
      </c>
      <c r="W417" s="25">
        <f>W417 * AC417</f>
        <v/>
      </c>
      <c r="X417" s="25">
        <f>X417 * AC417</f>
        <v/>
      </c>
      <c r="Y417" s="25">
        <f>Y417 * AC417</f>
        <v/>
      </c>
      <c r="Z417" s="17" t="n">
        <v/>
      </c>
      <c r="AA417" s="25">
        <f>AA417 * AC417</f>
        <v/>
      </c>
      <c r="AB417" s="25">
        <f>AB417 * AC417</f>
        <v/>
      </c>
      <c r="AC417" s="22" t="n"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>
        <f>I418 * AC418</f>
        <v/>
      </c>
      <c r="J418" s="19">
        <f>J418 * AC418</f>
        <v/>
      </c>
      <c r="K418" s="19">
        <f>K418 * AC418</f>
        <v/>
      </c>
      <c r="L418" s="19">
        <f>L418 * AC418</f>
        <v/>
      </c>
      <c r="M418" s="24">
        <f>M418 * AC418</f>
        <v/>
      </c>
      <c r="N418" s="24">
        <f>N418 * AC418</f>
        <v/>
      </c>
      <c r="O418" s="24">
        <f>O418 * AC418</f>
        <v/>
      </c>
      <c r="P418" s="24">
        <f>P418 * AC418</f>
        <v/>
      </c>
      <c r="Q418" s="24">
        <f>Q418 * AC418</f>
        <v/>
      </c>
      <c r="R418" s="24">
        <f>R418 * AC418</f>
        <v/>
      </c>
      <c r="S418" s="24">
        <f>S418 * AC418</f>
        <v/>
      </c>
      <c r="T418" s="24">
        <f>T418 * AC418</f>
        <v/>
      </c>
      <c r="U418" s="24">
        <f>U418 * AC418</f>
        <v/>
      </c>
      <c r="V418" s="24">
        <f>V418 * AC418</f>
        <v/>
      </c>
      <c r="W418" s="24">
        <f>W418 * AC418</f>
        <v/>
      </c>
      <c r="X418" s="24">
        <f>X418 * AC418</f>
        <v/>
      </c>
      <c r="Y418" s="24">
        <f>Y418 * AC418</f>
        <v/>
      </c>
      <c r="Z418" s="15" t="n">
        <v/>
      </c>
      <c r="AA418" s="24">
        <f>AA418 * AC418</f>
        <v/>
      </c>
      <c r="AB418" s="24">
        <f>AB418 * AC418</f>
        <v/>
      </c>
      <c r="AC418" s="20" t="n"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>
        <f>I419 * AC419</f>
        <v/>
      </c>
      <c r="J419" s="21">
        <f>J419 * AC419</f>
        <v/>
      </c>
      <c r="K419" s="21">
        <f>K419 * AC419</f>
        <v/>
      </c>
      <c r="L419" s="21">
        <f>L419 * AC419</f>
        <v/>
      </c>
      <c r="M419" s="25">
        <f>M419 * AC419</f>
        <v/>
      </c>
      <c r="N419" s="25">
        <f>N419 * AC419</f>
        <v/>
      </c>
      <c r="O419" s="25">
        <f>O419 * AC419</f>
        <v/>
      </c>
      <c r="P419" s="25">
        <f>P419 * AC419</f>
        <v/>
      </c>
      <c r="Q419" s="25">
        <f>Q419 * AC419</f>
        <v/>
      </c>
      <c r="R419" s="25">
        <f>R419 * AC419</f>
        <v/>
      </c>
      <c r="S419" s="25">
        <f>S419 * AC419</f>
        <v/>
      </c>
      <c r="T419" s="25">
        <f>T419 * AC419</f>
        <v/>
      </c>
      <c r="U419" s="25">
        <f>U419 * AC419</f>
        <v/>
      </c>
      <c r="V419" s="25">
        <f>V419 * AC419</f>
        <v/>
      </c>
      <c r="W419" s="25">
        <f>W419 * AC419</f>
        <v/>
      </c>
      <c r="X419" s="25">
        <f>X419 * AC419</f>
        <v/>
      </c>
      <c r="Y419" s="25">
        <f>Y419 * AC419</f>
        <v/>
      </c>
      <c r="Z419" s="17" t="n">
        <v/>
      </c>
      <c r="AA419" s="25">
        <f>AA419 * AC419</f>
        <v/>
      </c>
      <c r="AB419" s="25">
        <f>AB419 * AC419</f>
        <v/>
      </c>
      <c r="AC419" s="22" t="n"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>
        <f>I420 * AC420</f>
        <v/>
      </c>
      <c r="J420" s="19">
        <f>J420 * AC420</f>
        <v/>
      </c>
      <c r="K420" s="19">
        <f>K420 * AC420</f>
        <v/>
      </c>
      <c r="L420" s="19">
        <f>L420 * AC420</f>
        <v/>
      </c>
      <c r="M420" s="24">
        <f>M420 * AC420</f>
        <v/>
      </c>
      <c r="N420" s="24">
        <f>N420 * AC420</f>
        <v/>
      </c>
      <c r="O420" s="24">
        <f>O420 * AC420</f>
        <v/>
      </c>
      <c r="P420" s="24">
        <f>P420 * AC420</f>
        <v/>
      </c>
      <c r="Q420" s="24">
        <f>Q420 * AC420</f>
        <v/>
      </c>
      <c r="R420" s="24">
        <f>R420 * AC420</f>
        <v/>
      </c>
      <c r="S420" s="24">
        <f>S420 * AC420</f>
        <v/>
      </c>
      <c r="T420" s="24">
        <f>T420 * AC420</f>
        <v/>
      </c>
      <c r="U420" s="24">
        <f>U420 * AC420</f>
        <v/>
      </c>
      <c r="V420" s="24">
        <f>V420 * AC420</f>
        <v/>
      </c>
      <c r="W420" s="24">
        <f>W420 * AC420</f>
        <v/>
      </c>
      <c r="X420" s="24">
        <f>X420 * AC420</f>
        <v/>
      </c>
      <c r="Y420" s="24">
        <f>Y420 * AC420</f>
        <v/>
      </c>
      <c r="Z420" s="15" t="n">
        <v/>
      </c>
      <c r="AA420" s="24">
        <f>AA420 * AC420</f>
        <v/>
      </c>
      <c r="AB420" s="24">
        <f>AB420 * AC420</f>
        <v/>
      </c>
      <c r="AC420" s="20" t="n"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>
        <f>I421 * AC421</f>
        <v/>
      </c>
      <c r="J421" s="21">
        <f>J421 * AC421</f>
        <v/>
      </c>
      <c r="K421" s="21">
        <f>K421 * AC421</f>
        <v/>
      </c>
      <c r="L421" s="21">
        <f>L421 * AC421</f>
        <v/>
      </c>
      <c r="M421" s="25">
        <f>M421 * AC421</f>
        <v/>
      </c>
      <c r="N421" s="25">
        <f>N421 * AC421</f>
        <v/>
      </c>
      <c r="O421" s="25">
        <f>O421 * AC421</f>
        <v/>
      </c>
      <c r="P421" s="25">
        <f>P421 * AC421</f>
        <v/>
      </c>
      <c r="Q421" s="25">
        <f>Q421 * AC421</f>
        <v/>
      </c>
      <c r="R421" s="25">
        <f>R421 * AC421</f>
        <v/>
      </c>
      <c r="S421" s="25">
        <f>S421 * AC421</f>
        <v/>
      </c>
      <c r="T421" s="25">
        <f>T421 * AC421</f>
        <v/>
      </c>
      <c r="U421" s="25">
        <f>U421 * AC421</f>
        <v/>
      </c>
      <c r="V421" s="25">
        <f>V421 * AC421</f>
        <v/>
      </c>
      <c r="W421" s="25">
        <f>W421 * AC421</f>
        <v/>
      </c>
      <c r="X421" s="25">
        <f>X421 * AC421</f>
        <v/>
      </c>
      <c r="Y421" s="25">
        <f>Y421 * AC421</f>
        <v/>
      </c>
      <c r="Z421" s="17" t="n">
        <v/>
      </c>
      <c r="AA421" s="25">
        <f>AA421 * AC421</f>
        <v/>
      </c>
      <c r="AB421" s="25">
        <f>AB421 * AC421</f>
        <v/>
      </c>
      <c r="AC421" s="22" t="n"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>
        <f>I422 * AC422</f>
        <v/>
      </c>
      <c r="J422" s="19">
        <f>J422 * AC422</f>
        <v/>
      </c>
      <c r="K422" s="19">
        <f>K422 * AC422</f>
        <v/>
      </c>
      <c r="L422" s="19">
        <f>L422 * AC422</f>
        <v/>
      </c>
      <c r="M422" s="24">
        <f>M422 * AC422</f>
        <v/>
      </c>
      <c r="N422" s="24">
        <f>N422 * AC422</f>
        <v/>
      </c>
      <c r="O422" s="24">
        <f>O422 * AC422</f>
        <v/>
      </c>
      <c r="P422" s="24">
        <f>P422 * AC422</f>
        <v/>
      </c>
      <c r="Q422" s="24">
        <f>Q422 * AC422</f>
        <v/>
      </c>
      <c r="R422" s="24">
        <f>R422 * AC422</f>
        <v/>
      </c>
      <c r="S422" s="24">
        <f>S422 * AC422</f>
        <v/>
      </c>
      <c r="T422" s="24">
        <f>T422 * AC422</f>
        <v/>
      </c>
      <c r="U422" s="24">
        <f>U422 * AC422</f>
        <v/>
      </c>
      <c r="V422" s="24">
        <f>V422 * AC422</f>
        <v/>
      </c>
      <c r="W422" s="24">
        <f>W422 * AC422</f>
        <v/>
      </c>
      <c r="X422" s="24">
        <f>X422 * AC422</f>
        <v/>
      </c>
      <c r="Y422" s="24">
        <f>Y422 * AC422</f>
        <v/>
      </c>
      <c r="Z422" s="15" t="n">
        <v/>
      </c>
      <c r="AA422" s="24">
        <f>AA422 * AC422</f>
        <v/>
      </c>
      <c r="AB422" s="24">
        <f>AB422 * AC422</f>
        <v/>
      </c>
      <c r="AC422" s="20" t="n"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>
        <f>I423 * AC423</f>
        <v/>
      </c>
      <c r="J423" s="21">
        <f>J423 * AC423</f>
        <v/>
      </c>
      <c r="K423" s="21">
        <f>K423 * AC423</f>
        <v/>
      </c>
      <c r="L423" s="21">
        <f>L423 * AC423</f>
        <v/>
      </c>
      <c r="M423" s="25">
        <f>M423 * AC423</f>
        <v/>
      </c>
      <c r="N423" s="25">
        <f>N423 * AC423</f>
        <v/>
      </c>
      <c r="O423" s="25">
        <f>O423 * AC423</f>
        <v/>
      </c>
      <c r="P423" s="25">
        <f>P423 * AC423</f>
        <v/>
      </c>
      <c r="Q423" s="25">
        <f>Q423 * AC423</f>
        <v/>
      </c>
      <c r="R423" s="25">
        <f>R423 * AC423</f>
        <v/>
      </c>
      <c r="S423" s="25">
        <f>S423 * AC423</f>
        <v/>
      </c>
      <c r="T423" s="25">
        <f>T423 * AC423</f>
        <v/>
      </c>
      <c r="U423" s="25">
        <f>U423 * AC423</f>
        <v/>
      </c>
      <c r="V423" s="25">
        <f>V423 * AC423</f>
        <v/>
      </c>
      <c r="W423" s="25">
        <f>W423 * AC423</f>
        <v/>
      </c>
      <c r="X423" s="25">
        <f>X423 * AC423</f>
        <v/>
      </c>
      <c r="Y423" s="25">
        <f>Y423 * AC423</f>
        <v/>
      </c>
      <c r="Z423" s="17" t="n">
        <v/>
      </c>
      <c r="AA423" s="25">
        <f>AA423 * AC423</f>
        <v/>
      </c>
      <c r="AB423" s="25">
        <f>AB423 * AC423</f>
        <v/>
      </c>
      <c r="AC423" s="22" t="n"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>
        <f>I424 * AC424</f>
        <v/>
      </c>
      <c r="J424" s="19">
        <f>J424 * AC424</f>
        <v/>
      </c>
      <c r="K424" s="19">
        <f>K424 * AC424</f>
        <v/>
      </c>
      <c r="L424" s="19">
        <f>L424 * AC424</f>
        <v/>
      </c>
      <c r="M424" s="24">
        <f>M424 * AC424</f>
        <v/>
      </c>
      <c r="N424" s="24">
        <f>N424 * AC424</f>
        <v/>
      </c>
      <c r="O424" s="24">
        <f>O424 * AC424</f>
        <v/>
      </c>
      <c r="P424" s="24">
        <f>P424 * AC424</f>
        <v/>
      </c>
      <c r="Q424" s="24">
        <f>Q424 * AC424</f>
        <v/>
      </c>
      <c r="R424" s="24">
        <f>R424 * AC424</f>
        <v/>
      </c>
      <c r="S424" s="24">
        <f>S424 * AC424</f>
        <v/>
      </c>
      <c r="T424" s="24">
        <f>T424 * AC424</f>
        <v/>
      </c>
      <c r="U424" s="24">
        <f>U424 * AC424</f>
        <v/>
      </c>
      <c r="V424" s="24">
        <f>V424 * AC424</f>
        <v/>
      </c>
      <c r="W424" s="24">
        <f>W424 * AC424</f>
        <v/>
      </c>
      <c r="X424" s="24">
        <f>X424 * AC424</f>
        <v/>
      </c>
      <c r="Y424" s="24">
        <f>Y424 * AC424</f>
        <v/>
      </c>
      <c r="Z424" s="15" t="n">
        <v/>
      </c>
      <c r="AA424" s="24">
        <f>AA424 * AC424</f>
        <v/>
      </c>
      <c r="AB424" s="24">
        <f>AB424 * AC424</f>
        <v/>
      </c>
      <c r="AC424" s="20" t="n"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>
        <f>I425 * AC425</f>
        <v/>
      </c>
      <c r="J425" s="21">
        <f>J425 * AC425</f>
        <v/>
      </c>
      <c r="K425" s="21">
        <f>K425 * AC425</f>
        <v/>
      </c>
      <c r="L425" s="21">
        <f>L425 * AC425</f>
        <v/>
      </c>
      <c r="M425" s="25">
        <f>M425 * AC425</f>
        <v/>
      </c>
      <c r="N425" s="25">
        <f>N425 * AC425</f>
        <v/>
      </c>
      <c r="O425" s="25">
        <f>O425 * AC425</f>
        <v/>
      </c>
      <c r="P425" s="25">
        <f>P425 * AC425</f>
        <v/>
      </c>
      <c r="Q425" s="25">
        <f>Q425 * AC425</f>
        <v/>
      </c>
      <c r="R425" s="25">
        <f>R425 * AC425</f>
        <v/>
      </c>
      <c r="S425" s="25">
        <f>S425 * AC425</f>
        <v/>
      </c>
      <c r="T425" s="25">
        <f>T425 * AC425</f>
        <v/>
      </c>
      <c r="U425" s="25">
        <f>U425 * AC425</f>
        <v/>
      </c>
      <c r="V425" s="25">
        <f>V425 * AC425</f>
        <v/>
      </c>
      <c r="W425" s="25">
        <f>W425 * AC425</f>
        <v/>
      </c>
      <c r="X425" s="25">
        <f>X425 * AC425</f>
        <v/>
      </c>
      <c r="Y425" s="25">
        <f>Y425 * AC425</f>
        <v/>
      </c>
      <c r="Z425" s="17" t="n">
        <v/>
      </c>
      <c r="AA425" s="25">
        <f>AA425 * AC425</f>
        <v/>
      </c>
      <c r="AB425" s="25">
        <f>AB425 * AC425</f>
        <v/>
      </c>
      <c r="AC425" s="22" t="n"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>
        <f>I426 * AC426</f>
        <v/>
      </c>
      <c r="J426" s="19">
        <f>J426 * AC426</f>
        <v/>
      </c>
      <c r="K426" s="19">
        <f>K426 * AC426</f>
        <v/>
      </c>
      <c r="L426" s="19">
        <f>L426 * AC426</f>
        <v/>
      </c>
      <c r="M426" s="24">
        <f>M426 * AC426</f>
        <v/>
      </c>
      <c r="N426" s="24">
        <f>N426 * AC426</f>
        <v/>
      </c>
      <c r="O426" s="24">
        <f>O426 * AC426</f>
        <v/>
      </c>
      <c r="P426" s="24">
        <f>P426 * AC426</f>
        <v/>
      </c>
      <c r="Q426" s="24">
        <f>Q426 * AC426</f>
        <v/>
      </c>
      <c r="R426" s="24">
        <f>R426 * AC426</f>
        <v/>
      </c>
      <c r="S426" s="24">
        <f>S426 * AC426</f>
        <v/>
      </c>
      <c r="T426" s="24">
        <f>T426 * AC426</f>
        <v/>
      </c>
      <c r="U426" s="24">
        <f>U426 * AC426</f>
        <v/>
      </c>
      <c r="V426" s="24">
        <f>V426 * AC426</f>
        <v/>
      </c>
      <c r="W426" s="24">
        <f>W426 * AC426</f>
        <v/>
      </c>
      <c r="X426" s="24">
        <f>X426 * AC426</f>
        <v/>
      </c>
      <c r="Y426" s="24">
        <f>Y426 * AC426</f>
        <v/>
      </c>
      <c r="Z426" s="15" t="n">
        <v/>
      </c>
      <c r="AA426" s="24">
        <f>AA426 * AC426</f>
        <v/>
      </c>
      <c r="AB426" s="24">
        <f>AB426 * AC426</f>
        <v/>
      </c>
      <c r="AC426" s="20" t="n"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>
        <f>I427 * AC427</f>
        <v/>
      </c>
      <c r="J427" s="21">
        <f>J427 * AC427</f>
        <v/>
      </c>
      <c r="K427" s="21">
        <f>K427 * AC427</f>
        <v/>
      </c>
      <c r="L427" s="21">
        <f>L427 * AC427</f>
        <v/>
      </c>
      <c r="M427" s="25">
        <f>M427 * AC427</f>
        <v/>
      </c>
      <c r="N427" s="25">
        <f>N427 * AC427</f>
        <v/>
      </c>
      <c r="O427" s="25">
        <f>O427 * AC427</f>
        <v/>
      </c>
      <c r="P427" s="25">
        <f>P427 * AC427</f>
        <v/>
      </c>
      <c r="Q427" s="25">
        <f>Q427 * AC427</f>
        <v/>
      </c>
      <c r="R427" s="25">
        <f>R427 * AC427</f>
        <v/>
      </c>
      <c r="S427" s="25">
        <f>S427 * AC427</f>
        <v/>
      </c>
      <c r="T427" s="25">
        <f>T427 * AC427</f>
        <v/>
      </c>
      <c r="U427" s="25">
        <f>U427 * AC427</f>
        <v/>
      </c>
      <c r="V427" s="25">
        <f>V427 * AC427</f>
        <v/>
      </c>
      <c r="W427" s="25">
        <f>W427 * AC427</f>
        <v/>
      </c>
      <c r="X427" s="25">
        <f>X427 * AC427</f>
        <v/>
      </c>
      <c r="Y427" s="25">
        <f>Y427 * AC427</f>
        <v/>
      </c>
      <c r="Z427" s="17" t="n">
        <v/>
      </c>
      <c r="AA427" s="25">
        <f>AA427 * AC427</f>
        <v/>
      </c>
      <c r="AB427" s="25">
        <f>AB427 * AC427</f>
        <v/>
      </c>
      <c r="AC427" s="22" t="n"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>
        <f>I428 * AC428</f>
        <v/>
      </c>
      <c r="J428" s="19">
        <f>J428 * AC428</f>
        <v/>
      </c>
      <c r="K428" s="19">
        <f>K428 * AC428</f>
        <v/>
      </c>
      <c r="L428" s="19">
        <f>L428 * AC428</f>
        <v/>
      </c>
      <c r="M428" s="24">
        <f>M428 * AC428</f>
        <v/>
      </c>
      <c r="N428" s="24">
        <f>N428 * AC428</f>
        <v/>
      </c>
      <c r="O428" s="24">
        <f>O428 * AC428</f>
        <v/>
      </c>
      <c r="P428" s="24">
        <f>P428 * AC428</f>
        <v/>
      </c>
      <c r="Q428" s="24">
        <f>Q428 * AC428</f>
        <v/>
      </c>
      <c r="R428" s="24">
        <f>R428 * AC428</f>
        <v/>
      </c>
      <c r="S428" s="24">
        <f>S428 * AC428</f>
        <v/>
      </c>
      <c r="T428" s="24">
        <f>T428 * AC428</f>
        <v/>
      </c>
      <c r="U428" s="24">
        <f>U428 * AC428</f>
        <v/>
      </c>
      <c r="V428" s="24">
        <f>V428 * AC428</f>
        <v/>
      </c>
      <c r="W428" s="24">
        <f>W428 * AC428</f>
        <v/>
      </c>
      <c r="X428" s="24">
        <f>X428 * AC428</f>
        <v/>
      </c>
      <c r="Y428" s="24">
        <f>Y428 * AC428</f>
        <v/>
      </c>
      <c r="Z428" s="15" t="n">
        <v/>
      </c>
      <c r="AA428" s="24">
        <f>AA428 * AC428</f>
        <v/>
      </c>
      <c r="AB428" s="24">
        <f>AB428 * AC428</f>
        <v/>
      </c>
      <c r="AC428" s="20" t="n"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>
        <f>I429 * AC429</f>
        <v/>
      </c>
      <c r="J429" s="21">
        <f>J429 * AC429</f>
        <v/>
      </c>
      <c r="K429" s="21">
        <f>K429 * AC429</f>
        <v/>
      </c>
      <c r="L429" s="21">
        <f>L429 * AC429</f>
        <v/>
      </c>
      <c r="M429" s="25">
        <f>M429 * AC429</f>
        <v/>
      </c>
      <c r="N429" s="25">
        <f>N429 * AC429</f>
        <v/>
      </c>
      <c r="O429" s="25">
        <f>O429 * AC429</f>
        <v/>
      </c>
      <c r="P429" s="25">
        <f>P429 * AC429</f>
        <v/>
      </c>
      <c r="Q429" s="25">
        <f>Q429 * AC429</f>
        <v/>
      </c>
      <c r="R429" s="25">
        <f>R429 * AC429</f>
        <v/>
      </c>
      <c r="S429" s="25">
        <f>S429 * AC429</f>
        <v/>
      </c>
      <c r="T429" s="25">
        <f>T429 * AC429</f>
        <v/>
      </c>
      <c r="U429" s="25">
        <f>U429 * AC429</f>
        <v/>
      </c>
      <c r="V429" s="25">
        <f>V429 * AC429</f>
        <v/>
      </c>
      <c r="W429" s="25">
        <f>W429 * AC429</f>
        <v/>
      </c>
      <c r="X429" s="25">
        <f>X429 * AC429</f>
        <v/>
      </c>
      <c r="Y429" s="25">
        <f>Y429 * AC429</f>
        <v/>
      </c>
      <c r="Z429" s="17" t="n">
        <v/>
      </c>
      <c r="AA429" s="25">
        <f>AA429 * AC429</f>
        <v/>
      </c>
      <c r="AB429" s="25">
        <f>AB429 * AC429</f>
        <v/>
      </c>
      <c r="AC429" s="22" t="n"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>
        <f>I430 * AC430</f>
        <v/>
      </c>
      <c r="J430" s="19">
        <f>J430 * AC430</f>
        <v/>
      </c>
      <c r="K430" s="19">
        <f>K430 * AC430</f>
        <v/>
      </c>
      <c r="L430" s="19">
        <f>L430 * AC430</f>
        <v/>
      </c>
      <c r="M430" s="24">
        <f>M430 * AC430</f>
        <v/>
      </c>
      <c r="N430" s="24">
        <f>N430 * AC430</f>
        <v/>
      </c>
      <c r="O430" s="24">
        <f>O430 * AC430</f>
        <v/>
      </c>
      <c r="P430" s="24">
        <f>P430 * AC430</f>
        <v/>
      </c>
      <c r="Q430" s="24">
        <f>Q430 * AC430</f>
        <v/>
      </c>
      <c r="R430" s="24">
        <f>R430 * AC430</f>
        <v/>
      </c>
      <c r="S430" s="24">
        <f>S430 * AC430</f>
        <v/>
      </c>
      <c r="T430" s="24">
        <f>T430 * AC430</f>
        <v/>
      </c>
      <c r="U430" s="24">
        <f>U430 * AC430</f>
        <v/>
      </c>
      <c r="V430" s="24">
        <f>V430 * AC430</f>
        <v/>
      </c>
      <c r="W430" s="24">
        <f>W430 * AC430</f>
        <v/>
      </c>
      <c r="X430" s="24">
        <f>X430 * AC430</f>
        <v/>
      </c>
      <c r="Y430" s="24">
        <f>Y430 * AC430</f>
        <v/>
      </c>
      <c r="Z430" s="15" t="n">
        <v/>
      </c>
      <c r="AA430" s="24">
        <f>AA430 * AC430</f>
        <v/>
      </c>
      <c r="AB430" s="24">
        <f>AB430 * AC430</f>
        <v/>
      </c>
      <c r="AC430" s="20" t="n"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>
        <f>I431 * AC431</f>
        <v/>
      </c>
      <c r="J431" s="21">
        <f>J431 * AC431</f>
        <v/>
      </c>
      <c r="K431" s="21">
        <f>K431 * AC431</f>
        <v/>
      </c>
      <c r="L431" s="21">
        <f>L431 * AC431</f>
        <v/>
      </c>
      <c r="M431" s="25">
        <f>M431 * AC431</f>
        <v/>
      </c>
      <c r="N431" s="25">
        <f>N431 * AC431</f>
        <v/>
      </c>
      <c r="O431" s="25">
        <f>O431 * AC431</f>
        <v/>
      </c>
      <c r="P431" s="25">
        <f>P431 * AC431</f>
        <v/>
      </c>
      <c r="Q431" s="25">
        <f>Q431 * AC431</f>
        <v/>
      </c>
      <c r="R431" s="25">
        <f>R431 * AC431</f>
        <v/>
      </c>
      <c r="S431" s="25">
        <f>S431 * AC431</f>
        <v/>
      </c>
      <c r="T431" s="25">
        <f>T431 * AC431</f>
        <v/>
      </c>
      <c r="U431" s="25">
        <f>U431 * AC431</f>
        <v/>
      </c>
      <c r="V431" s="25">
        <f>V431 * AC431</f>
        <v/>
      </c>
      <c r="W431" s="25">
        <f>W431 * AC431</f>
        <v/>
      </c>
      <c r="X431" s="25">
        <f>X431 * AC431</f>
        <v/>
      </c>
      <c r="Y431" s="25">
        <f>Y431 * AC431</f>
        <v/>
      </c>
      <c r="Z431" s="17" t="n">
        <v/>
      </c>
      <c r="AA431" s="25">
        <f>AA431 * AC431</f>
        <v/>
      </c>
      <c r="AB431" s="25">
        <f>AB431 * AC431</f>
        <v/>
      </c>
      <c r="AC431" s="22" t="n"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>
        <f>I432 * AC432</f>
        <v/>
      </c>
      <c r="J432" s="19">
        <f>J432 * AC432</f>
        <v/>
      </c>
      <c r="K432" s="19">
        <f>K432 * AC432</f>
        <v/>
      </c>
      <c r="L432" s="19">
        <f>L432 * AC432</f>
        <v/>
      </c>
      <c r="M432" s="24">
        <f>M432 * AC432</f>
        <v/>
      </c>
      <c r="N432" s="24">
        <f>N432 * AC432</f>
        <v/>
      </c>
      <c r="O432" s="24">
        <f>O432 * AC432</f>
        <v/>
      </c>
      <c r="P432" s="24">
        <f>P432 * AC432</f>
        <v/>
      </c>
      <c r="Q432" s="24">
        <f>Q432 * AC432</f>
        <v/>
      </c>
      <c r="R432" s="24">
        <f>R432 * AC432</f>
        <v/>
      </c>
      <c r="S432" s="24">
        <f>S432 * AC432</f>
        <v/>
      </c>
      <c r="T432" s="24">
        <f>T432 * AC432</f>
        <v/>
      </c>
      <c r="U432" s="24">
        <f>U432 * AC432</f>
        <v/>
      </c>
      <c r="V432" s="24">
        <f>V432 * AC432</f>
        <v/>
      </c>
      <c r="W432" s="24">
        <f>W432 * AC432</f>
        <v/>
      </c>
      <c r="X432" s="24">
        <f>X432 * AC432</f>
        <v/>
      </c>
      <c r="Y432" s="24">
        <f>Y432 * AC432</f>
        <v/>
      </c>
      <c r="Z432" s="15" t="n">
        <v/>
      </c>
      <c r="AA432" s="24">
        <f>AA432 * AC432</f>
        <v/>
      </c>
      <c r="AB432" s="24">
        <f>AB432 * AC432</f>
        <v/>
      </c>
      <c r="AC432" s="20" t="n"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>
        <f>I433 * AC433</f>
        <v/>
      </c>
      <c r="J433" s="21">
        <f>J433 * AC433</f>
        <v/>
      </c>
      <c r="K433" s="21">
        <f>K433 * AC433</f>
        <v/>
      </c>
      <c r="L433" s="21">
        <f>L433 * AC433</f>
        <v/>
      </c>
      <c r="M433" s="25">
        <f>M433 * AC433</f>
        <v/>
      </c>
      <c r="N433" s="25">
        <f>N433 * AC433</f>
        <v/>
      </c>
      <c r="O433" s="25">
        <f>O433 * AC433</f>
        <v/>
      </c>
      <c r="P433" s="25">
        <f>P433 * AC433</f>
        <v/>
      </c>
      <c r="Q433" s="25">
        <f>Q433 * AC433</f>
        <v/>
      </c>
      <c r="R433" s="25">
        <f>R433 * AC433</f>
        <v/>
      </c>
      <c r="S433" s="25">
        <f>S433 * AC433</f>
        <v/>
      </c>
      <c r="T433" s="25">
        <f>T433 * AC433</f>
        <v/>
      </c>
      <c r="U433" s="25">
        <f>U433 * AC433</f>
        <v/>
      </c>
      <c r="V433" s="25">
        <f>V433 * AC433</f>
        <v/>
      </c>
      <c r="W433" s="25">
        <f>W433 * AC433</f>
        <v/>
      </c>
      <c r="X433" s="25">
        <f>X433 * AC433</f>
        <v/>
      </c>
      <c r="Y433" s="25">
        <f>Y433 * AC433</f>
        <v/>
      </c>
      <c r="Z433" s="17" t="n">
        <v/>
      </c>
      <c r="AA433" s="25">
        <f>AA433 * AC433</f>
        <v/>
      </c>
      <c r="AB433" s="25">
        <f>AB433 * AC433</f>
        <v/>
      </c>
      <c r="AC433" s="22" t="n"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>
        <f>I434 * AC434</f>
        <v/>
      </c>
      <c r="J434" s="19">
        <f>J434 * AC434</f>
        <v/>
      </c>
      <c r="K434" s="19">
        <f>K434 * AC434</f>
        <v/>
      </c>
      <c r="L434" s="19">
        <f>L434 * AC434</f>
        <v/>
      </c>
      <c r="M434" s="24">
        <f>M434 * AC434</f>
        <v/>
      </c>
      <c r="N434" s="24">
        <f>N434 * AC434</f>
        <v/>
      </c>
      <c r="O434" s="24">
        <f>O434 * AC434</f>
        <v/>
      </c>
      <c r="P434" s="24">
        <f>P434 * AC434</f>
        <v/>
      </c>
      <c r="Q434" s="24">
        <f>Q434 * AC434</f>
        <v/>
      </c>
      <c r="R434" s="24">
        <f>R434 * AC434</f>
        <v/>
      </c>
      <c r="S434" s="24">
        <f>S434 * AC434</f>
        <v/>
      </c>
      <c r="T434" s="24">
        <f>T434 * AC434</f>
        <v/>
      </c>
      <c r="U434" s="24">
        <f>U434 * AC434</f>
        <v/>
      </c>
      <c r="V434" s="24">
        <f>V434 * AC434</f>
        <v/>
      </c>
      <c r="W434" s="24">
        <f>W434 * AC434</f>
        <v/>
      </c>
      <c r="X434" s="24">
        <f>X434 * AC434</f>
        <v/>
      </c>
      <c r="Y434" s="24">
        <f>Y434 * AC434</f>
        <v/>
      </c>
      <c r="Z434" s="15" t="n">
        <v/>
      </c>
      <c r="AA434" s="24">
        <f>AA434 * AC434</f>
        <v/>
      </c>
      <c r="AB434" s="24">
        <f>AB434 * AC434</f>
        <v/>
      </c>
      <c r="AC434" s="20" t="n"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>
        <f>I435 * AC435</f>
        <v/>
      </c>
      <c r="J435" s="21">
        <f>J435 * AC435</f>
        <v/>
      </c>
      <c r="K435" s="21">
        <f>K435 * AC435</f>
        <v/>
      </c>
      <c r="L435" s="21">
        <f>L435 * AC435</f>
        <v/>
      </c>
      <c r="M435" s="25">
        <f>M435 * AC435</f>
        <v/>
      </c>
      <c r="N435" s="25">
        <f>N435 * AC435</f>
        <v/>
      </c>
      <c r="O435" s="25">
        <f>O435 * AC435</f>
        <v/>
      </c>
      <c r="P435" s="25">
        <f>P435 * AC435</f>
        <v/>
      </c>
      <c r="Q435" s="25">
        <f>Q435 * AC435</f>
        <v/>
      </c>
      <c r="R435" s="25">
        <f>R435 * AC435</f>
        <v/>
      </c>
      <c r="S435" s="25">
        <f>S435 * AC435</f>
        <v/>
      </c>
      <c r="T435" s="25">
        <f>T435 * AC435</f>
        <v/>
      </c>
      <c r="U435" s="25">
        <f>U435 * AC435</f>
        <v/>
      </c>
      <c r="V435" s="25">
        <f>V435 * AC435</f>
        <v/>
      </c>
      <c r="W435" s="25">
        <f>W435 * AC435</f>
        <v/>
      </c>
      <c r="X435" s="25">
        <f>X435 * AC435</f>
        <v/>
      </c>
      <c r="Y435" s="25">
        <f>Y435 * AC435</f>
        <v/>
      </c>
      <c r="Z435" s="17" t="n">
        <v/>
      </c>
      <c r="AA435" s="25">
        <f>AA435 * AC435</f>
        <v/>
      </c>
      <c r="AB435" s="25">
        <f>AB435 * AC435</f>
        <v/>
      </c>
      <c r="AC435" s="22" t="n"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>
        <f>I436 * AC436</f>
        <v/>
      </c>
      <c r="J436" s="19">
        <f>J436 * AC436</f>
        <v/>
      </c>
      <c r="K436" s="19">
        <f>K436 * AC436</f>
        <v/>
      </c>
      <c r="L436" s="19">
        <f>L436 * AC436</f>
        <v/>
      </c>
      <c r="M436" s="24">
        <f>M436 * AC436</f>
        <v/>
      </c>
      <c r="N436" s="24">
        <f>N436 * AC436</f>
        <v/>
      </c>
      <c r="O436" s="24">
        <f>O436 * AC436</f>
        <v/>
      </c>
      <c r="P436" s="24">
        <f>P436 * AC436</f>
        <v/>
      </c>
      <c r="Q436" s="24">
        <f>Q436 * AC436</f>
        <v/>
      </c>
      <c r="R436" s="24">
        <f>R436 * AC436</f>
        <v/>
      </c>
      <c r="S436" s="24">
        <f>S436 * AC436</f>
        <v/>
      </c>
      <c r="T436" s="24">
        <f>T436 * AC436</f>
        <v/>
      </c>
      <c r="U436" s="24">
        <f>U436 * AC436</f>
        <v/>
      </c>
      <c r="V436" s="24">
        <f>V436 * AC436</f>
        <v/>
      </c>
      <c r="W436" s="24">
        <f>W436 * AC436</f>
        <v/>
      </c>
      <c r="X436" s="24">
        <f>X436 * AC436</f>
        <v/>
      </c>
      <c r="Y436" s="24">
        <f>Y436 * AC436</f>
        <v/>
      </c>
      <c r="Z436" s="15" t="n">
        <v/>
      </c>
      <c r="AA436" s="24">
        <f>AA436 * AC436</f>
        <v/>
      </c>
      <c r="AB436" s="24">
        <f>AB436 * AC436</f>
        <v/>
      </c>
      <c r="AC436" s="20" t="n"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>
        <f>I437 * AC437</f>
        <v/>
      </c>
      <c r="J437" s="21">
        <f>J437 * AC437</f>
        <v/>
      </c>
      <c r="K437" s="21">
        <f>K437 * AC437</f>
        <v/>
      </c>
      <c r="L437" s="21">
        <f>L437 * AC437</f>
        <v/>
      </c>
      <c r="M437" s="25">
        <f>M437 * AC437</f>
        <v/>
      </c>
      <c r="N437" s="25">
        <f>N437 * AC437</f>
        <v/>
      </c>
      <c r="O437" s="25">
        <f>O437 * AC437</f>
        <v/>
      </c>
      <c r="P437" s="25">
        <f>P437 * AC437</f>
        <v/>
      </c>
      <c r="Q437" s="25">
        <f>Q437 * AC437</f>
        <v/>
      </c>
      <c r="R437" s="25">
        <f>R437 * AC437</f>
        <v/>
      </c>
      <c r="S437" s="25">
        <f>S437 * AC437</f>
        <v/>
      </c>
      <c r="T437" s="25">
        <f>T437 * AC437</f>
        <v/>
      </c>
      <c r="U437" s="25">
        <f>U437 * AC437</f>
        <v/>
      </c>
      <c r="V437" s="25">
        <f>V437 * AC437</f>
        <v/>
      </c>
      <c r="W437" s="25">
        <f>W437 * AC437</f>
        <v/>
      </c>
      <c r="X437" s="25">
        <f>X437 * AC437</f>
        <v/>
      </c>
      <c r="Y437" s="25">
        <f>Y437 * AC437</f>
        <v/>
      </c>
      <c r="Z437" s="17" t="n">
        <v/>
      </c>
      <c r="AA437" s="25">
        <f>AA437 * AC437</f>
        <v/>
      </c>
      <c r="AB437" s="25">
        <f>AB437 * AC437</f>
        <v/>
      </c>
      <c r="AC437" s="22" t="n"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>
        <f>I438 * AC438</f>
        <v/>
      </c>
      <c r="J438" s="19">
        <f>J438 * AC438</f>
        <v/>
      </c>
      <c r="K438" s="19">
        <f>K438 * AC438</f>
        <v/>
      </c>
      <c r="L438" s="19">
        <f>L438 * AC438</f>
        <v/>
      </c>
      <c r="M438" s="24">
        <f>M438 * AC438</f>
        <v/>
      </c>
      <c r="N438" s="24">
        <f>N438 * AC438</f>
        <v/>
      </c>
      <c r="O438" s="24">
        <f>O438 * AC438</f>
        <v/>
      </c>
      <c r="P438" s="24">
        <f>P438 * AC438</f>
        <v/>
      </c>
      <c r="Q438" s="24">
        <f>Q438 * AC438</f>
        <v/>
      </c>
      <c r="R438" s="24">
        <f>R438 * AC438</f>
        <v/>
      </c>
      <c r="S438" s="24">
        <f>S438 * AC438</f>
        <v/>
      </c>
      <c r="T438" s="24">
        <f>T438 * AC438</f>
        <v/>
      </c>
      <c r="U438" s="24">
        <f>U438 * AC438</f>
        <v/>
      </c>
      <c r="V438" s="24">
        <f>V438 * AC438</f>
        <v/>
      </c>
      <c r="W438" s="24">
        <f>W438 * AC438</f>
        <v/>
      </c>
      <c r="X438" s="24">
        <f>X438 * AC438</f>
        <v/>
      </c>
      <c r="Y438" s="24">
        <f>Y438 * AC438</f>
        <v/>
      </c>
      <c r="Z438" s="15" t="n">
        <v/>
      </c>
      <c r="AA438" s="24">
        <f>AA438 * AC438</f>
        <v/>
      </c>
      <c r="AB438" s="24">
        <f>AB438 * AC438</f>
        <v/>
      </c>
      <c r="AC438" s="20" t="n"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>
        <f>I439 * AC439</f>
        <v/>
      </c>
      <c r="J439" s="21">
        <f>J439 * AC439</f>
        <v/>
      </c>
      <c r="K439" s="21">
        <f>K439 * AC439</f>
        <v/>
      </c>
      <c r="L439" s="21">
        <f>L439 * AC439</f>
        <v/>
      </c>
      <c r="M439" s="25">
        <f>M439 * AC439</f>
        <v/>
      </c>
      <c r="N439" s="25">
        <f>N439 * AC439</f>
        <v/>
      </c>
      <c r="O439" s="25">
        <f>O439 * AC439</f>
        <v/>
      </c>
      <c r="P439" s="25">
        <f>P439 * AC439</f>
        <v/>
      </c>
      <c r="Q439" s="25">
        <f>Q439 * AC439</f>
        <v/>
      </c>
      <c r="R439" s="25">
        <f>R439 * AC439</f>
        <v/>
      </c>
      <c r="S439" s="25">
        <f>S439 * AC439</f>
        <v/>
      </c>
      <c r="T439" s="25">
        <f>T439 * AC439</f>
        <v/>
      </c>
      <c r="U439" s="25">
        <f>U439 * AC439</f>
        <v/>
      </c>
      <c r="V439" s="25">
        <f>V439 * AC439</f>
        <v/>
      </c>
      <c r="W439" s="25">
        <f>W439 * AC439</f>
        <v/>
      </c>
      <c r="X439" s="25">
        <f>X439 * AC439</f>
        <v/>
      </c>
      <c r="Y439" s="25">
        <f>Y439 * AC439</f>
        <v/>
      </c>
      <c r="Z439" s="17" t="n">
        <v/>
      </c>
      <c r="AA439" s="25">
        <f>AA439 * AC439</f>
        <v/>
      </c>
      <c r="AB439" s="25">
        <f>AB439 * AC439</f>
        <v/>
      </c>
      <c r="AC439" s="22" t="n"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>
        <f>I440 * AC440</f>
        <v/>
      </c>
      <c r="J440" s="19">
        <f>J440 * AC440</f>
        <v/>
      </c>
      <c r="K440" s="19">
        <f>K440 * AC440</f>
        <v/>
      </c>
      <c r="L440" s="19">
        <f>L440 * AC440</f>
        <v/>
      </c>
      <c r="M440" s="24">
        <f>M440 * AC440</f>
        <v/>
      </c>
      <c r="N440" s="24">
        <f>N440 * AC440</f>
        <v/>
      </c>
      <c r="O440" s="24">
        <f>O440 * AC440</f>
        <v/>
      </c>
      <c r="P440" s="24">
        <f>P440 * AC440</f>
        <v/>
      </c>
      <c r="Q440" s="24">
        <f>Q440 * AC440</f>
        <v/>
      </c>
      <c r="R440" s="24">
        <f>R440 * AC440</f>
        <v/>
      </c>
      <c r="S440" s="24">
        <f>S440 * AC440</f>
        <v/>
      </c>
      <c r="T440" s="24">
        <f>T440 * AC440</f>
        <v/>
      </c>
      <c r="U440" s="24">
        <f>U440 * AC440</f>
        <v/>
      </c>
      <c r="V440" s="24">
        <f>V440 * AC440</f>
        <v/>
      </c>
      <c r="W440" s="24">
        <f>W440 * AC440</f>
        <v/>
      </c>
      <c r="X440" s="24">
        <f>X440 * AC440</f>
        <v/>
      </c>
      <c r="Y440" s="24">
        <f>Y440 * AC440</f>
        <v/>
      </c>
      <c r="Z440" s="15" t="n">
        <v/>
      </c>
      <c r="AA440" s="24">
        <f>AA440 * AC440</f>
        <v/>
      </c>
      <c r="AB440" s="24">
        <f>AB440 * AC440</f>
        <v/>
      </c>
      <c r="AC440" s="20" t="n"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>
        <f>I441 * AC441</f>
        <v/>
      </c>
      <c r="J441" s="21">
        <f>J441 * AC441</f>
        <v/>
      </c>
      <c r="K441" s="21">
        <f>K441 * AC441</f>
        <v/>
      </c>
      <c r="L441" s="21">
        <f>L441 * AC441</f>
        <v/>
      </c>
      <c r="M441" s="25">
        <f>M441 * AC441</f>
        <v/>
      </c>
      <c r="N441" s="25">
        <f>N441 * AC441</f>
        <v/>
      </c>
      <c r="O441" s="25">
        <f>O441 * AC441</f>
        <v/>
      </c>
      <c r="P441" s="25">
        <f>P441 * AC441</f>
        <v/>
      </c>
      <c r="Q441" s="25">
        <f>Q441 * AC441</f>
        <v/>
      </c>
      <c r="R441" s="25">
        <f>R441 * AC441</f>
        <v/>
      </c>
      <c r="S441" s="25">
        <f>S441 * AC441</f>
        <v/>
      </c>
      <c r="T441" s="25">
        <f>T441 * AC441</f>
        <v/>
      </c>
      <c r="U441" s="25">
        <f>U441 * AC441</f>
        <v/>
      </c>
      <c r="V441" s="25">
        <f>V441 * AC441</f>
        <v/>
      </c>
      <c r="W441" s="25">
        <f>W441 * AC441</f>
        <v/>
      </c>
      <c r="X441" s="25">
        <f>X441 * AC441</f>
        <v/>
      </c>
      <c r="Y441" s="25">
        <f>Y441 * AC441</f>
        <v/>
      </c>
      <c r="Z441" s="17" t="n">
        <v/>
      </c>
      <c r="AA441" s="25">
        <f>AA441 * AC441</f>
        <v/>
      </c>
      <c r="AB441" s="25">
        <f>AB441 * AC441</f>
        <v/>
      </c>
      <c r="AC441" s="22" t="n"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>
        <f>I442 * AC442</f>
        <v/>
      </c>
      <c r="J442" s="19">
        <f>J442 * AC442</f>
        <v/>
      </c>
      <c r="K442" s="19">
        <f>K442 * AC442</f>
        <v/>
      </c>
      <c r="L442" s="19">
        <f>L442 * AC442</f>
        <v/>
      </c>
      <c r="M442" s="24">
        <f>M442 * AC442</f>
        <v/>
      </c>
      <c r="N442" s="24">
        <f>N442 * AC442</f>
        <v/>
      </c>
      <c r="O442" s="24">
        <f>O442 * AC442</f>
        <v/>
      </c>
      <c r="P442" s="24">
        <f>P442 * AC442</f>
        <v/>
      </c>
      <c r="Q442" s="24">
        <f>Q442 * AC442</f>
        <v/>
      </c>
      <c r="R442" s="24">
        <f>R442 * AC442</f>
        <v/>
      </c>
      <c r="S442" s="24">
        <f>S442 * AC442</f>
        <v/>
      </c>
      <c r="T442" s="24">
        <f>T442 * AC442</f>
        <v/>
      </c>
      <c r="U442" s="24">
        <f>U442 * AC442</f>
        <v/>
      </c>
      <c r="V442" s="24">
        <f>V442 * AC442</f>
        <v/>
      </c>
      <c r="W442" s="24">
        <f>W442 * AC442</f>
        <v/>
      </c>
      <c r="X442" s="24">
        <f>X442 * AC442</f>
        <v/>
      </c>
      <c r="Y442" s="24">
        <f>Y442 * AC442</f>
        <v/>
      </c>
      <c r="Z442" s="15" t="n">
        <v/>
      </c>
      <c r="AA442" s="24">
        <f>AA442 * AC442</f>
        <v/>
      </c>
      <c r="AB442" s="24">
        <f>AB442 * AC442</f>
        <v/>
      </c>
      <c r="AC442" s="20" t="n"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>
        <f>I443 * AC443</f>
        <v/>
      </c>
      <c r="J443" s="21">
        <f>J443 * AC443</f>
        <v/>
      </c>
      <c r="K443" s="21">
        <f>K443 * AC443</f>
        <v/>
      </c>
      <c r="L443" s="21">
        <f>L443 * AC443</f>
        <v/>
      </c>
      <c r="M443" s="25">
        <f>M443 * AC443</f>
        <v/>
      </c>
      <c r="N443" s="25">
        <f>N443 * AC443</f>
        <v/>
      </c>
      <c r="O443" s="25">
        <f>O443 * AC443</f>
        <v/>
      </c>
      <c r="P443" s="25">
        <f>P443 * AC443</f>
        <v/>
      </c>
      <c r="Q443" s="25">
        <f>Q443 * AC443</f>
        <v/>
      </c>
      <c r="R443" s="25">
        <f>R443 * AC443</f>
        <v/>
      </c>
      <c r="S443" s="25">
        <f>S443 * AC443</f>
        <v/>
      </c>
      <c r="T443" s="25">
        <f>T443 * AC443</f>
        <v/>
      </c>
      <c r="U443" s="25">
        <f>U443 * AC443</f>
        <v/>
      </c>
      <c r="V443" s="25">
        <f>V443 * AC443</f>
        <v/>
      </c>
      <c r="W443" s="25">
        <f>W443 * AC443</f>
        <v/>
      </c>
      <c r="X443" s="25">
        <f>X443 * AC443</f>
        <v/>
      </c>
      <c r="Y443" s="25">
        <f>Y443 * AC443</f>
        <v/>
      </c>
      <c r="Z443" s="17" t="n">
        <v/>
      </c>
      <c r="AA443" s="25">
        <f>AA443 * AC443</f>
        <v/>
      </c>
      <c r="AB443" s="25">
        <f>AB443 * AC443</f>
        <v/>
      </c>
      <c r="AC443" s="22" t="n"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>
        <f>I444 * AC444</f>
        <v/>
      </c>
      <c r="J444" s="19">
        <f>J444 * AC444</f>
        <v/>
      </c>
      <c r="K444" s="19">
        <f>K444 * AC444</f>
        <v/>
      </c>
      <c r="L444" s="19">
        <f>L444 * AC444</f>
        <v/>
      </c>
      <c r="M444" s="24">
        <f>M444 * AC444</f>
        <v/>
      </c>
      <c r="N444" s="24">
        <f>N444 * AC444</f>
        <v/>
      </c>
      <c r="O444" s="24">
        <f>O444 * AC444</f>
        <v/>
      </c>
      <c r="P444" s="24">
        <f>P444 * AC444</f>
        <v/>
      </c>
      <c r="Q444" s="24">
        <f>Q444 * AC444</f>
        <v/>
      </c>
      <c r="R444" s="24">
        <f>R444 * AC444</f>
        <v/>
      </c>
      <c r="S444" s="24">
        <f>S444 * AC444</f>
        <v/>
      </c>
      <c r="T444" s="24">
        <f>T444 * AC444</f>
        <v/>
      </c>
      <c r="U444" s="24">
        <f>U444 * AC444</f>
        <v/>
      </c>
      <c r="V444" s="24">
        <f>V444 * AC444</f>
        <v/>
      </c>
      <c r="W444" s="24">
        <f>W444 * AC444</f>
        <v/>
      </c>
      <c r="X444" s="24">
        <f>X444 * AC444</f>
        <v/>
      </c>
      <c r="Y444" s="24">
        <f>Y444 * AC444</f>
        <v/>
      </c>
      <c r="Z444" s="15" t="n">
        <v/>
      </c>
      <c r="AA444" s="24">
        <f>AA444 * AC444</f>
        <v/>
      </c>
      <c r="AB444" s="24">
        <f>AB444 * AC444</f>
        <v/>
      </c>
      <c r="AC444" s="20" t="n"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>
        <f>I445 * AC445</f>
        <v/>
      </c>
      <c r="J445" s="21">
        <f>J445 * AC445</f>
        <v/>
      </c>
      <c r="K445" s="21">
        <f>K445 * AC445</f>
        <v/>
      </c>
      <c r="L445" s="21">
        <f>L445 * AC445</f>
        <v/>
      </c>
      <c r="M445" s="25">
        <f>M445 * AC445</f>
        <v/>
      </c>
      <c r="N445" s="25">
        <f>N445 * AC445</f>
        <v/>
      </c>
      <c r="O445" s="25">
        <f>O445 * AC445</f>
        <v/>
      </c>
      <c r="P445" s="25">
        <f>P445 * AC445</f>
        <v/>
      </c>
      <c r="Q445" s="25">
        <f>Q445 * AC445</f>
        <v/>
      </c>
      <c r="R445" s="25">
        <f>R445 * AC445</f>
        <v/>
      </c>
      <c r="S445" s="25">
        <f>S445 * AC445</f>
        <v/>
      </c>
      <c r="T445" s="25">
        <f>T445 * AC445</f>
        <v/>
      </c>
      <c r="U445" s="25">
        <f>U445 * AC445</f>
        <v/>
      </c>
      <c r="V445" s="25">
        <f>V445 * AC445</f>
        <v/>
      </c>
      <c r="W445" s="25">
        <f>W445 * AC445</f>
        <v/>
      </c>
      <c r="X445" s="25">
        <f>X445 * AC445</f>
        <v/>
      </c>
      <c r="Y445" s="25">
        <f>Y445 * AC445</f>
        <v/>
      </c>
      <c r="Z445" s="17" t="n">
        <v/>
      </c>
      <c r="AA445" s="25">
        <f>AA445 * AC445</f>
        <v/>
      </c>
      <c r="AB445" s="25">
        <f>AB445 * AC445</f>
        <v/>
      </c>
      <c r="AC445" s="22" t="n"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>
        <f>I446 * AC446</f>
        <v/>
      </c>
      <c r="J446" s="19">
        <f>J446 * AC446</f>
        <v/>
      </c>
      <c r="K446" s="19">
        <f>K446 * AC446</f>
        <v/>
      </c>
      <c r="L446" s="19">
        <f>L446 * AC446</f>
        <v/>
      </c>
      <c r="M446" s="24">
        <f>M446 * AC446</f>
        <v/>
      </c>
      <c r="N446" s="24">
        <f>N446 * AC446</f>
        <v/>
      </c>
      <c r="O446" s="24">
        <f>O446 * AC446</f>
        <v/>
      </c>
      <c r="P446" s="24">
        <f>P446 * AC446</f>
        <v/>
      </c>
      <c r="Q446" s="24">
        <f>Q446 * AC446</f>
        <v/>
      </c>
      <c r="R446" s="24">
        <f>R446 * AC446</f>
        <v/>
      </c>
      <c r="S446" s="24">
        <f>S446 * AC446</f>
        <v/>
      </c>
      <c r="T446" s="24">
        <f>T446 * AC446</f>
        <v/>
      </c>
      <c r="U446" s="24">
        <f>U446 * AC446</f>
        <v/>
      </c>
      <c r="V446" s="24">
        <f>V446 * AC446</f>
        <v/>
      </c>
      <c r="W446" s="24">
        <f>W446 * AC446</f>
        <v/>
      </c>
      <c r="X446" s="24">
        <f>X446 * AC446</f>
        <v/>
      </c>
      <c r="Y446" s="24">
        <f>Y446 * AC446</f>
        <v/>
      </c>
      <c r="Z446" s="15" t="n">
        <v/>
      </c>
      <c r="AA446" s="24">
        <f>AA446 * AC446</f>
        <v/>
      </c>
      <c r="AB446" s="24">
        <f>AB446 * AC446</f>
        <v/>
      </c>
      <c r="AC446" s="20" t="n"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>
        <f>I447 * AC447</f>
        <v/>
      </c>
      <c r="J447" s="21">
        <f>J447 * AC447</f>
        <v/>
      </c>
      <c r="K447" s="21">
        <f>K447 * AC447</f>
        <v/>
      </c>
      <c r="L447" s="21">
        <f>L447 * AC447</f>
        <v/>
      </c>
      <c r="M447" s="25">
        <f>M447 * AC447</f>
        <v/>
      </c>
      <c r="N447" s="25">
        <f>N447 * AC447</f>
        <v/>
      </c>
      <c r="O447" s="25">
        <f>O447 * AC447</f>
        <v/>
      </c>
      <c r="P447" s="25">
        <f>P447 * AC447</f>
        <v/>
      </c>
      <c r="Q447" s="25">
        <f>Q447 * AC447</f>
        <v/>
      </c>
      <c r="R447" s="25">
        <f>R447 * AC447</f>
        <v/>
      </c>
      <c r="S447" s="25">
        <f>S447 * AC447</f>
        <v/>
      </c>
      <c r="T447" s="25">
        <f>T447 * AC447</f>
        <v/>
      </c>
      <c r="U447" s="25">
        <f>U447 * AC447</f>
        <v/>
      </c>
      <c r="V447" s="25">
        <f>V447 * AC447</f>
        <v/>
      </c>
      <c r="W447" s="25">
        <f>W447 * AC447</f>
        <v/>
      </c>
      <c r="X447" s="25">
        <f>X447 * AC447</f>
        <v/>
      </c>
      <c r="Y447" s="25">
        <f>Y447 * AC447</f>
        <v/>
      </c>
      <c r="Z447" s="17" t="n">
        <v/>
      </c>
      <c r="AA447" s="25">
        <f>AA447 * AC447</f>
        <v/>
      </c>
      <c r="AB447" s="25">
        <f>AB447 * AC447</f>
        <v/>
      </c>
      <c r="AC447" s="22" t="n"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>
        <f>I448 * AC448</f>
        <v/>
      </c>
      <c r="J448" s="19">
        <f>J448 * AC448</f>
        <v/>
      </c>
      <c r="K448" s="19">
        <f>K448 * AC448</f>
        <v/>
      </c>
      <c r="L448" s="19">
        <f>L448 * AC448</f>
        <v/>
      </c>
      <c r="M448" s="24">
        <f>M448 * AC448</f>
        <v/>
      </c>
      <c r="N448" s="24">
        <f>N448 * AC448</f>
        <v/>
      </c>
      <c r="O448" s="24">
        <f>O448 * AC448</f>
        <v/>
      </c>
      <c r="P448" s="24">
        <f>P448 * AC448</f>
        <v/>
      </c>
      <c r="Q448" s="24">
        <f>Q448 * AC448</f>
        <v/>
      </c>
      <c r="R448" s="24">
        <f>R448 * AC448</f>
        <v/>
      </c>
      <c r="S448" s="24">
        <f>S448 * AC448</f>
        <v/>
      </c>
      <c r="T448" s="24">
        <f>T448 * AC448</f>
        <v/>
      </c>
      <c r="U448" s="24">
        <f>U448 * AC448</f>
        <v/>
      </c>
      <c r="V448" s="24">
        <f>V448 * AC448</f>
        <v/>
      </c>
      <c r="W448" s="24">
        <f>W448 * AC448</f>
        <v/>
      </c>
      <c r="X448" s="24">
        <f>X448 * AC448</f>
        <v/>
      </c>
      <c r="Y448" s="24">
        <f>Y448 * AC448</f>
        <v/>
      </c>
      <c r="Z448" s="15" t="n">
        <v/>
      </c>
      <c r="AA448" s="24">
        <f>AA448 * AC448</f>
        <v/>
      </c>
      <c r="AB448" s="24">
        <f>AB448 * AC448</f>
        <v/>
      </c>
      <c r="AC448" s="20" t="n"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>
        <f>I449 * AC449</f>
        <v/>
      </c>
      <c r="J449" s="21">
        <f>J449 * AC449</f>
        <v/>
      </c>
      <c r="K449" s="21">
        <f>K449 * AC449</f>
        <v/>
      </c>
      <c r="L449" s="21">
        <f>L449 * AC449</f>
        <v/>
      </c>
      <c r="M449" s="25">
        <f>M449 * AC449</f>
        <v/>
      </c>
      <c r="N449" s="25">
        <f>N449 * AC449</f>
        <v/>
      </c>
      <c r="O449" s="25">
        <f>O449 * AC449</f>
        <v/>
      </c>
      <c r="P449" s="25">
        <f>P449 * AC449</f>
        <v/>
      </c>
      <c r="Q449" s="25">
        <f>Q449 * AC449</f>
        <v/>
      </c>
      <c r="R449" s="25">
        <f>R449 * AC449</f>
        <v/>
      </c>
      <c r="S449" s="25">
        <f>S449 * AC449</f>
        <v/>
      </c>
      <c r="T449" s="25">
        <f>T449 * AC449</f>
        <v/>
      </c>
      <c r="U449" s="25">
        <f>U449 * AC449</f>
        <v/>
      </c>
      <c r="V449" s="25">
        <f>V449 * AC449</f>
        <v/>
      </c>
      <c r="W449" s="25">
        <f>W449 * AC449</f>
        <v/>
      </c>
      <c r="X449" s="25">
        <f>X449 * AC449</f>
        <v/>
      </c>
      <c r="Y449" s="25">
        <f>Y449 * AC449</f>
        <v/>
      </c>
      <c r="Z449" s="17" t="n">
        <v/>
      </c>
      <c r="AA449" s="25">
        <f>AA449 * AC449</f>
        <v/>
      </c>
      <c r="AB449" s="25">
        <f>AB449 * AC449</f>
        <v/>
      </c>
      <c r="AC449" s="22" t="n"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>
        <f>I450 * AC450</f>
        <v/>
      </c>
      <c r="J450" s="19">
        <f>J450 * AC450</f>
        <v/>
      </c>
      <c r="K450" s="19">
        <f>K450 * AC450</f>
        <v/>
      </c>
      <c r="L450" s="19">
        <f>L450 * AC450</f>
        <v/>
      </c>
      <c r="M450" s="24">
        <f>M450 * AC450</f>
        <v/>
      </c>
      <c r="N450" s="24">
        <f>N450 * AC450</f>
        <v/>
      </c>
      <c r="O450" s="24">
        <f>O450 * AC450</f>
        <v/>
      </c>
      <c r="P450" s="24">
        <f>P450 * AC450</f>
        <v/>
      </c>
      <c r="Q450" s="24">
        <f>Q450 * AC450</f>
        <v/>
      </c>
      <c r="R450" s="24">
        <f>R450 * AC450</f>
        <v/>
      </c>
      <c r="S450" s="24">
        <f>S450 * AC450</f>
        <v/>
      </c>
      <c r="T450" s="24">
        <f>T450 * AC450</f>
        <v/>
      </c>
      <c r="U450" s="24">
        <f>U450 * AC450</f>
        <v/>
      </c>
      <c r="V450" s="24">
        <f>V450 * AC450</f>
        <v/>
      </c>
      <c r="W450" s="24">
        <f>W450 * AC450</f>
        <v/>
      </c>
      <c r="X450" s="24">
        <f>X450 * AC450</f>
        <v/>
      </c>
      <c r="Y450" s="24">
        <f>Y450 * AC450</f>
        <v/>
      </c>
      <c r="Z450" s="15" t="n">
        <v/>
      </c>
      <c r="AA450" s="24">
        <f>AA450 * AC450</f>
        <v/>
      </c>
      <c r="AB450" s="24">
        <f>AB450 * AC450</f>
        <v/>
      </c>
      <c r="AC450" s="20" t="n"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>
        <f>I451 * AC451</f>
        <v/>
      </c>
      <c r="J451" s="21">
        <f>J451 * AC451</f>
        <v/>
      </c>
      <c r="K451" s="21">
        <f>K451 * AC451</f>
        <v/>
      </c>
      <c r="L451" s="21">
        <f>L451 * AC451</f>
        <v/>
      </c>
      <c r="M451" s="25">
        <f>M451 * AC451</f>
        <v/>
      </c>
      <c r="N451" s="25">
        <f>N451 * AC451</f>
        <v/>
      </c>
      <c r="O451" s="25">
        <f>O451 * AC451</f>
        <v/>
      </c>
      <c r="P451" s="25">
        <f>P451 * AC451</f>
        <v/>
      </c>
      <c r="Q451" s="25">
        <f>Q451 * AC451</f>
        <v/>
      </c>
      <c r="R451" s="25">
        <f>R451 * AC451</f>
        <v/>
      </c>
      <c r="S451" s="25">
        <f>S451 * AC451</f>
        <v/>
      </c>
      <c r="T451" s="25">
        <f>T451 * AC451</f>
        <v/>
      </c>
      <c r="U451" s="25">
        <f>U451 * AC451</f>
        <v/>
      </c>
      <c r="V451" s="25">
        <f>V451 * AC451</f>
        <v/>
      </c>
      <c r="W451" s="25">
        <f>W451 * AC451</f>
        <v/>
      </c>
      <c r="X451" s="25">
        <f>X451 * AC451</f>
        <v/>
      </c>
      <c r="Y451" s="25">
        <f>Y451 * AC451</f>
        <v/>
      </c>
      <c r="Z451" s="17" t="n">
        <v/>
      </c>
      <c r="AA451" s="25">
        <f>AA451 * AC451</f>
        <v/>
      </c>
      <c r="AB451" s="25">
        <f>AB451 * AC451</f>
        <v/>
      </c>
      <c r="AC451" s="22" t="n"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>
        <f>I452 * AC452</f>
        <v/>
      </c>
      <c r="J452" s="19">
        <f>J452 * AC452</f>
        <v/>
      </c>
      <c r="K452" s="19">
        <f>K452 * AC452</f>
        <v/>
      </c>
      <c r="L452" s="19">
        <f>L452 * AC452</f>
        <v/>
      </c>
      <c r="M452" s="24">
        <f>M452 * AC452</f>
        <v/>
      </c>
      <c r="N452" s="24">
        <f>N452 * AC452</f>
        <v/>
      </c>
      <c r="O452" s="24">
        <f>O452 * AC452</f>
        <v/>
      </c>
      <c r="P452" s="24">
        <f>P452 * AC452</f>
        <v/>
      </c>
      <c r="Q452" s="24">
        <f>Q452 * AC452</f>
        <v/>
      </c>
      <c r="R452" s="24">
        <f>R452 * AC452</f>
        <v/>
      </c>
      <c r="S452" s="24">
        <f>S452 * AC452</f>
        <v/>
      </c>
      <c r="T452" s="24">
        <f>T452 * AC452</f>
        <v/>
      </c>
      <c r="U452" s="24">
        <f>U452 * AC452</f>
        <v/>
      </c>
      <c r="V452" s="24">
        <f>V452 * AC452</f>
        <v/>
      </c>
      <c r="W452" s="24">
        <f>W452 * AC452</f>
        <v/>
      </c>
      <c r="X452" s="24">
        <f>X452 * AC452</f>
        <v/>
      </c>
      <c r="Y452" s="24">
        <f>Y452 * AC452</f>
        <v/>
      </c>
      <c r="Z452" s="15" t="n">
        <v/>
      </c>
      <c r="AA452" s="24">
        <f>AA452 * AC452</f>
        <v/>
      </c>
      <c r="AB452" s="24">
        <f>AB452 * AC452</f>
        <v/>
      </c>
      <c r="AC452" s="20" t="n"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>
        <f>I453 * AC453</f>
        <v/>
      </c>
      <c r="J453" s="21">
        <f>J453 * AC453</f>
        <v/>
      </c>
      <c r="K453" s="21">
        <f>K453 * AC453</f>
        <v/>
      </c>
      <c r="L453" s="21">
        <f>L453 * AC453</f>
        <v/>
      </c>
      <c r="M453" s="25">
        <f>M453 * AC453</f>
        <v/>
      </c>
      <c r="N453" s="25">
        <f>N453 * AC453</f>
        <v/>
      </c>
      <c r="O453" s="25">
        <f>O453 * AC453</f>
        <v/>
      </c>
      <c r="P453" s="25">
        <f>P453 * AC453</f>
        <v/>
      </c>
      <c r="Q453" s="25">
        <f>Q453 * AC453</f>
        <v/>
      </c>
      <c r="R453" s="25">
        <f>R453 * AC453</f>
        <v/>
      </c>
      <c r="S453" s="25">
        <f>S453 * AC453</f>
        <v/>
      </c>
      <c r="T453" s="25">
        <f>T453 * AC453</f>
        <v/>
      </c>
      <c r="U453" s="25">
        <f>U453 * AC453</f>
        <v/>
      </c>
      <c r="V453" s="25">
        <f>V453 * AC453</f>
        <v/>
      </c>
      <c r="W453" s="25">
        <f>W453 * AC453</f>
        <v/>
      </c>
      <c r="X453" s="25">
        <f>X453 * AC453</f>
        <v/>
      </c>
      <c r="Y453" s="25">
        <f>Y453 * AC453</f>
        <v/>
      </c>
      <c r="Z453" s="17" t="n">
        <v/>
      </c>
      <c r="AA453" s="25">
        <f>AA453 * AC453</f>
        <v/>
      </c>
      <c r="AB453" s="25">
        <f>AB453 * AC453</f>
        <v/>
      </c>
      <c r="AC453" s="22" t="n"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>
        <f>I454 * AC454</f>
        <v/>
      </c>
      <c r="J454" s="19">
        <f>J454 * AC454</f>
        <v/>
      </c>
      <c r="K454" s="19">
        <f>K454 * AC454</f>
        <v/>
      </c>
      <c r="L454" s="19">
        <f>L454 * AC454</f>
        <v/>
      </c>
      <c r="M454" s="24">
        <f>M454 * AC454</f>
        <v/>
      </c>
      <c r="N454" s="24">
        <f>N454 * AC454</f>
        <v/>
      </c>
      <c r="O454" s="24">
        <f>O454 * AC454</f>
        <v/>
      </c>
      <c r="P454" s="24">
        <f>P454 * AC454</f>
        <v/>
      </c>
      <c r="Q454" s="24">
        <f>Q454 * AC454</f>
        <v/>
      </c>
      <c r="R454" s="24">
        <f>R454 * AC454</f>
        <v/>
      </c>
      <c r="S454" s="24">
        <f>S454 * AC454</f>
        <v/>
      </c>
      <c r="T454" s="24">
        <f>T454 * AC454</f>
        <v/>
      </c>
      <c r="U454" s="24">
        <f>U454 * AC454</f>
        <v/>
      </c>
      <c r="V454" s="24">
        <f>V454 * AC454</f>
        <v/>
      </c>
      <c r="W454" s="24">
        <f>W454 * AC454</f>
        <v/>
      </c>
      <c r="X454" s="24">
        <f>X454 * AC454</f>
        <v/>
      </c>
      <c r="Y454" s="24">
        <f>Y454 * AC454</f>
        <v/>
      </c>
      <c r="Z454" s="15" t="n">
        <v/>
      </c>
      <c r="AA454" s="24">
        <f>AA454 * AC454</f>
        <v/>
      </c>
      <c r="AB454" s="24">
        <f>AB454 * AC454</f>
        <v/>
      </c>
      <c r="AC454" s="20" t="n"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>
        <f>I455 * AC455</f>
        <v/>
      </c>
      <c r="J455" s="21">
        <f>J455 * AC455</f>
        <v/>
      </c>
      <c r="K455" s="21">
        <f>K455 * AC455</f>
        <v/>
      </c>
      <c r="L455" s="21">
        <f>L455 * AC455</f>
        <v/>
      </c>
      <c r="M455" s="25">
        <f>M455 * AC455</f>
        <v/>
      </c>
      <c r="N455" s="25">
        <f>N455 * AC455</f>
        <v/>
      </c>
      <c r="O455" s="25">
        <f>O455 * AC455</f>
        <v/>
      </c>
      <c r="P455" s="25">
        <f>P455 * AC455</f>
        <v/>
      </c>
      <c r="Q455" s="25">
        <f>Q455 * AC455</f>
        <v/>
      </c>
      <c r="R455" s="25">
        <f>R455 * AC455</f>
        <v/>
      </c>
      <c r="S455" s="25">
        <f>S455 * AC455</f>
        <v/>
      </c>
      <c r="T455" s="25">
        <f>T455 * AC455</f>
        <v/>
      </c>
      <c r="U455" s="25">
        <f>U455 * AC455</f>
        <v/>
      </c>
      <c r="V455" s="25">
        <f>V455 * AC455</f>
        <v/>
      </c>
      <c r="W455" s="25">
        <f>W455 * AC455</f>
        <v/>
      </c>
      <c r="X455" s="25">
        <f>X455 * AC455</f>
        <v/>
      </c>
      <c r="Y455" s="25">
        <f>Y455 * AC455</f>
        <v/>
      </c>
      <c r="Z455" s="17" t="n">
        <v/>
      </c>
      <c r="AA455" s="25">
        <f>AA455 * AC455</f>
        <v/>
      </c>
      <c r="AB455" s="25">
        <f>AB455 * AC455</f>
        <v/>
      </c>
      <c r="AC455" s="22" t="n"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>
        <f>I456 * AC456</f>
        <v/>
      </c>
      <c r="J456" s="19">
        <f>J456 * AC456</f>
        <v/>
      </c>
      <c r="K456" s="19">
        <f>K456 * AC456</f>
        <v/>
      </c>
      <c r="L456" s="19">
        <f>L456 * AC456</f>
        <v/>
      </c>
      <c r="M456" s="24">
        <f>M456 * AC456</f>
        <v/>
      </c>
      <c r="N456" s="24">
        <f>N456 * AC456</f>
        <v/>
      </c>
      <c r="O456" s="24">
        <f>O456 * AC456</f>
        <v/>
      </c>
      <c r="P456" s="24">
        <f>P456 * AC456</f>
        <v/>
      </c>
      <c r="Q456" s="24">
        <f>Q456 * AC456</f>
        <v/>
      </c>
      <c r="R456" s="24">
        <f>R456 * AC456</f>
        <v/>
      </c>
      <c r="S456" s="24">
        <f>S456 * AC456</f>
        <v/>
      </c>
      <c r="T456" s="24">
        <f>T456 * AC456</f>
        <v/>
      </c>
      <c r="U456" s="24">
        <f>U456 * AC456</f>
        <v/>
      </c>
      <c r="V456" s="24">
        <f>V456 * AC456</f>
        <v/>
      </c>
      <c r="W456" s="24">
        <f>W456 * AC456</f>
        <v/>
      </c>
      <c r="X456" s="24">
        <f>X456 * AC456</f>
        <v/>
      </c>
      <c r="Y456" s="24">
        <f>Y456 * AC456</f>
        <v/>
      </c>
      <c r="Z456" s="15" t="n">
        <v/>
      </c>
      <c r="AA456" s="24">
        <f>AA456 * AC456</f>
        <v/>
      </c>
      <c r="AB456" s="24">
        <f>AB456 * AC456</f>
        <v/>
      </c>
      <c r="AC456" s="20" t="n"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>
        <f>I457 * AC457</f>
        <v/>
      </c>
      <c r="J457" s="21">
        <f>J457 * AC457</f>
        <v/>
      </c>
      <c r="K457" s="21">
        <f>K457 * AC457</f>
        <v/>
      </c>
      <c r="L457" s="21">
        <f>L457 * AC457</f>
        <v/>
      </c>
      <c r="M457" s="25">
        <f>M457 * AC457</f>
        <v/>
      </c>
      <c r="N457" s="25">
        <f>N457 * AC457</f>
        <v/>
      </c>
      <c r="O457" s="25">
        <f>O457 * AC457</f>
        <v/>
      </c>
      <c r="P457" s="25">
        <f>P457 * AC457</f>
        <v/>
      </c>
      <c r="Q457" s="25">
        <f>Q457 * AC457</f>
        <v/>
      </c>
      <c r="R457" s="25">
        <f>R457 * AC457</f>
        <v/>
      </c>
      <c r="S457" s="25">
        <f>S457 * AC457</f>
        <v/>
      </c>
      <c r="T457" s="25">
        <f>T457 * AC457</f>
        <v/>
      </c>
      <c r="U457" s="25">
        <f>U457 * AC457</f>
        <v/>
      </c>
      <c r="V457" s="25">
        <f>V457 * AC457</f>
        <v/>
      </c>
      <c r="W457" s="25">
        <f>W457 * AC457</f>
        <v/>
      </c>
      <c r="X457" s="25">
        <f>X457 * AC457</f>
        <v/>
      </c>
      <c r="Y457" s="25">
        <f>Y457 * AC457</f>
        <v/>
      </c>
      <c r="Z457" s="17" t="n">
        <v/>
      </c>
      <c r="AA457" s="25">
        <f>AA457 * AC457</f>
        <v/>
      </c>
      <c r="AB457" s="25">
        <f>AB457 * AC457</f>
        <v/>
      </c>
      <c r="AC457" s="22" t="n"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>
        <f>I458 * AC458</f>
        <v/>
      </c>
      <c r="J458" s="19">
        <f>J458 * AC458</f>
        <v/>
      </c>
      <c r="K458" s="19">
        <f>K458 * AC458</f>
        <v/>
      </c>
      <c r="L458" s="19">
        <f>L458 * AC458</f>
        <v/>
      </c>
      <c r="M458" s="24">
        <f>M458 * AC458</f>
        <v/>
      </c>
      <c r="N458" s="24">
        <f>N458 * AC458</f>
        <v/>
      </c>
      <c r="O458" s="24">
        <f>O458 * AC458</f>
        <v/>
      </c>
      <c r="P458" s="24">
        <f>P458 * AC458</f>
        <v/>
      </c>
      <c r="Q458" s="24">
        <f>Q458 * AC458</f>
        <v/>
      </c>
      <c r="R458" s="24">
        <f>R458 * AC458</f>
        <v/>
      </c>
      <c r="S458" s="24">
        <f>S458 * AC458</f>
        <v/>
      </c>
      <c r="T458" s="24">
        <f>T458 * AC458</f>
        <v/>
      </c>
      <c r="U458" s="24">
        <f>U458 * AC458</f>
        <v/>
      </c>
      <c r="V458" s="24">
        <f>V458 * AC458</f>
        <v/>
      </c>
      <c r="W458" s="24">
        <f>W458 * AC458</f>
        <v/>
      </c>
      <c r="X458" s="24">
        <f>X458 * AC458</f>
        <v/>
      </c>
      <c r="Y458" s="24">
        <f>Y458 * AC458</f>
        <v/>
      </c>
      <c r="Z458" s="15" t="n">
        <v/>
      </c>
      <c r="AA458" s="24">
        <f>AA458 * AC458</f>
        <v/>
      </c>
      <c r="AB458" s="24">
        <f>AB458 * AC458</f>
        <v/>
      </c>
      <c r="AC458" s="20" t="n"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>
        <f>I459 * AC459</f>
        <v/>
      </c>
      <c r="J459" s="21">
        <f>J459 * AC459</f>
        <v/>
      </c>
      <c r="K459" s="21">
        <f>K459 * AC459</f>
        <v/>
      </c>
      <c r="L459" s="21">
        <f>L459 * AC459</f>
        <v/>
      </c>
      <c r="M459" s="25">
        <f>M459 * AC459</f>
        <v/>
      </c>
      <c r="N459" s="25">
        <f>N459 * AC459</f>
        <v/>
      </c>
      <c r="O459" s="25">
        <f>O459 * AC459</f>
        <v/>
      </c>
      <c r="P459" s="25">
        <f>P459 * AC459</f>
        <v/>
      </c>
      <c r="Q459" s="25">
        <f>Q459 * AC459</f>
        <v/>
      </c>
      <c r="R459" s="25">
        <f>R459 * AC459</f>
        <v/>
      </c>
      <c r="S459" s="25">
        <f>S459 * AC459</f>
        <v/>
      </c>
      <c r="T459" s="25">
        <f>T459 * AC459</f>
        <v/>
      </c>
      <c r="U459" s="25">
        <f>U459 * AC459</f>
        <v/>
      </c>
      <c r="V459" s="25">
        <f>V459 * AC459</f>
        <v/>
      </c>
      <c r="W459" s="25">
        <f>W459 * AC459</f>
        <v/>
      </c>
      <c r="X459" s="25">
        <f>X459 * AC459</f>
        <v/>
      </c>
      <c r="Y459" s="25">
        <f>Y459 * AC459</f>
        <v/>
      </c>
      <c r="Z459" s="17" t="n">
        <v/>
      </c>
      <c r="AA459" s="25">
        <f>AA459 * AC459</f>
        <v/>
      </c>
      <c r="AB459" s="25">
        <f>AB459 * AC459</f>
        <v/>
      </c>
      <c r="AC459" s="22" t="n"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>
        <f>I460 * AC460</f>
        <v/>
      </c>
      <c r="J460" s="19">
        <f>J460 * AC460</f>
        <v/>
      </c>
      <c r="K460" s="19">
        <f>K460 * AC460</f>
        <v/>
      </c>
      <c r="L460" s="19">
        <f>L460 * AC460</f>
        <v/>
      </c>
      <c r="M460" s="24">
        <f>M460 * AC460</f>
        <v/>
      </c>
      <c r="N460" s="24">
        <f>N460 * AC460</f>
        <v/>
      </c>
      <c r="O460" s="24">
        <f>O460 * AC460</f>
        <v/>
      </c>
      <c r="P460" s="24">
        <f>P460 * AC460</f>
        <v/>
      </c>
      <c r="Q460" s="24">
        <f>Q460 * AC460</f>
        <v/>
      </c>
      <c r="R460" s="24">
        <f>R460 * AC460</f>
        <v/>
      </c>
      <c r="S460" s="24">
        <f>S460 * AC460</f>
        <v/>
      </c>
      <c r="T460" s="24">
        <f>T460 * AC460</f>
        <v/>
      </c>
      <c r="U460" s="24">
        <f>U460 * AC460</f>
        <v/>
      </c>
      <c r="V460" s="24">
        <f>V460 * AC460</f>
        <v/>
      </c>
      <c r="W460" s="24">
        <f>W460 * AC460</f>
        <v/>
      </c>
      <c r="X460" s="24">
        <f>X460 * AC460</f>
        <v/>
      </c>
      <c r="Y460" s="24">
        <f>Y460 * AC460</f>
        <v/>
      </c>
      <c r="Z460" s="15" t="n">
        <v/>
      </c>
      <c r="AA460" s="24">
        <f>AA460 * AC460</f>
        <v/>
      </c>
      <c r="AB460" s="24">
        <f>AB460 * AC460</f>
        <v/>
      </c>
      <c r="AC460" s="20" t="n"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>
        <f>I461 * AC461</f>
        <v/>
      </c>
      <c r="J461" s="21">
        <f>J461 * AC461</f>
        <v/>
      </c>
      <c r="K461" s="21">
        <f>K461 * AC461</f>
        <v/>
      </c>
      <c r="L461" s="21">
        <f>L461 * AC461</f>
        <v/>
      </c>
      <c r="M461" s="25">
        <f>M461 * AC461</f>
        <v/>
      </c>
      <c r="N461" s="25">
        <f>N461 * AC461</f>
        <v/>
      </c>
      <c r="O461" s="25">
        <f>O461 * AC461</f>
        <v/>
      </c>
      <c r="P461" s="25">
        <f>P461 * AC461</f>
        <v/>
      </c>
      <c r="Q461" s="25">
        <f>Q461 * AC461</f>
        <v/>
      </c>
      <c r="R461" s="25">
        <f>R461 * AC461</f>
        <v/>
      </c>
      <c r="S461" s="25">
        <f>S461 * AC461</f>
        <v/>
      </c>
      <c r="T461" s="25">
        <f>T461 * AC461</f>
        <v/>
      </c>
      <c r="U461" s="25">
        <f>U461 * AC461</f>
        <v/>
      </c>
      <c r="V461" s="25">
        <f>V461 * AC461</f>
        <v/>
      </c>
      <c r="W461" s="25">
        <f>W461 * AC461</f>
        <v/>
      </c>
      <c r="X461" s="25">
        <f>X461 * AC461</f>
        <v/>
      </c>
      <c r="Y461" s="25">
        <f>Y461 * AC461</f>
        <v/>
      </c>
      <c r="Z461" s="17" t="n">
        <v/>
      </c>
      <c r="AA461" s="25">
        <f>AA461 * AC461</f>
        <v/>
      </c>
      <c r="AB461" s="25">
        <f>AB461 * AC461</f>
        <v/>
      </c>
      <c r="AC461" s="22" t="n"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>
        <f>I462 * AC462</f>
        <v/>
      </c>
      <c r="J462" s="19">
        <f>J462 * AC462</f>
        <v/>
      </c>
      <c r="K462" s="19">
        <f>K462 * AC462</f>
        <v/>
      </c>
      <c r="L462" s="19">
        <f>L462 * AC462</f>
        <v/>
      </c>
      <c r="M462" s="24">
        <f>M462 * AC462</f>
        <v/>
      </c>
      <c r="N462" s="24">
        <f>N462 * AC462</f>
        <v/>
      </c>
      <c r="O462" s="24">
        <f>O462 * AC462</f>
        <v/>
      </c>
      <c r="P462" s="24">
        <f>P462 * AC462</f>
        <v/>
      </c>
      <c r="Q462" s="24">
        <f>Q462 * AC462</f>
        <v/>
      </c>
      <c r="R462" s="24">
        <f>R462 * AC462</f>
        <v/>
      </c>
      <c r="S462" s="24">
        <f>S462 * AC462</f>
        <v/>
      </c>
      <c r="T462" s="24">
        <f>T462 * AC462</f>
        <v/>
      </c>
      <c r="U462" s="24">
        <f>U462 * AC462</f>
        <v/>
      </c>
      <c r="V462" s="24">
        <f>V462 * AC462</f>
        <v/>
      </c>
      <c r="W462" s="24">
        <f>W462 * AC462</f>
        <v/>
      </c>
      <c r="X462" s="24">
        <f>X462 * AC462</f>
        <v/>
      </c>
      <c r="Y462" s="24">
        <f>Y462 * AC462</f>
        <v/>
      </c>
      <c r="Z462" s="15" t="n">
        <v/>
      </c>
      <c r="AA462" s="24">
        <f>AA462 * AC462</f>
        <v/>
      </c>
      <c r="AB462" s="24">
        <f>AB462 * AC462</f>
        <v/>
      </c>
      <c r="AC462" s="20" t="n"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>
        <f>I463 * AC463</f>
        <v/>
      </c>
      <c r="J463" s="21">
        <f>J463 * AC463</f>
        <v/>
      </c>
      <c r="K463" s="21">
        <f>K463 * AC463</f>
        <v/>
      </c>
      <c r="L463" s="21">
        <f>L463 * AC463</f>
        <v/>
      </c>
      <c r="M463" s="25">
        <f>M463 * AC463</f>
        <v/>
      </c>
      <c r="N463" s="25">
        <f>N463 * AC463</f>
        <v/>
      </c>
      <c r="O463" s="25">
        <f>O463 * AC463</f>
        <v/>
      </c>
      <c r="P463" s="25">
        <f>P463 * AC463</f>
        <v/>
      </c>
      <c r="Q463" s="25">
        <f>Q463 * AC463</f>
        <v/>
      </c>
      <c r="R463" s="25">
        <f>R463 * AC463</f>
        <v/>
      </c>
      <c r="S463" s="25">
        <f>S463 * AC463</f>
        <v/>
      </c>
      <c r="T463" s="25">
        <f>T463 * AC463</f>
        <v/>
      </c>
      <c r="U463" s="25">
        <f>U463 * AC463</f>
        <v/>
      </c>
      <c r="V463" s="25">
        <f>V463 * AC463</f>
        <v/>
      </c>
      <c r="W463" s="25">
        <f>W463 * AC463</f>
        <v/>
      </c>
      <c r="X463" s="25">
        <f>X463 * AC463</f>
        <v/>
      </c>
      <c r="Y463" s="25">
        <f>Y463 * AC463</f>
        <v/>
      </c>
      <c r="Z463" s="17" t="n">
        <v/>
      </c>
      <c r="AA463" s="25">
        <f>AA463 * AC463</f>
        <v/>
      </c>
      <c r="AB463" s="25">
        <f>AB463 * AC463</f>
        <v/>
      </c>
      <c r="AC463" s="22" t="n"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>
        <f>I464 * AC464</f>
        <v/>
      </c>
      <c r="J464" s="19">
        <f>J464 * AC464</f>
        <v/>
      </c>
      <c r="K464" s="19">
        <f>K464 * AC464</f>
        <v/>
      </c>
      <c r="L464" s="19">
        <f>L464 * AC464</f>
        <v/>
      </c>
      <c r="M464" s="24">
        <f>M464 * AC464</f>
        <v/>
      </c>
      <c r="N464" s="24">
        <f>N464 * AC464</f>
        <v/>
      </c>
      <c r="O464" s="24">
        <f>O464 * AC464</f>
        <v/>
      </c>
      <c r="P464" s="24">
        <f>P464 * AC464</f>
        <v/>
      </c>
      <c r="Q464" s="24">
        <f>Q464 * AC464</f>
        <v/>
      </c>
      <c r="R464" s="24">
        <f>R464 * AC464</f>
        <v/>
      </c>
      <c r="S464" s="24">
        <f>S464 * AC464</f>
        <v/>
      </c>
      <c r="T464" s="24">
        <f>T464 * AC464</f>
        <v/>
      </c>
      <c r="U464" s="24">
        <f>U464 * AC464</f>
        <v/>
      </c>
      <c r="V464" s="24">
        <f>V464 * AC464</f>
        <v/>
      </c>
      <c r="W464" s="24">
        <f>W464 * AC464</f>
        <v/>
      </c>
      <c r="X464" s="24">
        <f>X464 * AC464</f>
        <v/>
      </c>
      <c r="Y464" s="24">
        <f>Y464 * AC464</f>
        <v/>
      </c>
      <c r="Z464" s="15" t="n">
        <v/>
      </c>
      <c r="AA464" s="24">
        <f>AA464 * AC464</f>
        <v/>
      </c>
      <c r="AB464" s="24">
        <f>AB464 * AC464</f>
        <v/>
      </c>
      <c r="AC464" s="20" t="n"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>
        <f>I465 * AC465</f>
        <v/>
      </c>
      <c r="J465" s="21">
        <f>J465 * AC465</f>
        <v/>
      </c>
      <c r="K465" s="21">
        <f>K465 * AC465</f>
        <v/>
      </c>
      <c r="L465" s="21">
        <f>L465 * AC465</f>
        <v/>
      </c>
      <c r="M465" s="25">
        <f>M465 * AC465</f>
        <v/>
      </c>
      <c r="N465" s="25">
        <f>N465 * AC465</f>
        <v/>
      </c>
      <c r="O465" s="25">
        <f>O465 * AC465</f>
        <v/>
      </c>
      <c r="P465" s="25">
        <f>P465 * AC465</f>
        <v/>
      </c>
      <c r="Q465" s="25">
        <f>Q465 * AC465</f>
        <v/>
      </c>
      <c r="R465" s="25">
        <f>R465 * AC465</f>
        <v/>
      </c>
      <c r="S465" s="25">
        <f>S465 * AC465</f>
        <v/>
      </c>
      <c r="T465" s="25">
        <f>T465 * AC465</f>
        <v/>
      </c>
      <c r="U465" s="25">
        <f>U465 * AC465</f>
        <v/>
      </c>
      <c r="V465" s="25">
        <f>V465 * AC465</f>
        <v/>
      </c>
      <c r="W465" s="25">
        <f>W465 * AC465</f>
        <v/>
      </c>
      <c r="X465" s="25">
        <f>X465 * AC465</f>
        <v/>
      </c>
      <c r="Y465" s="25">
        <f>Y465 * AC465</f>
        <v/>
      </c>
      <c r="Z465" s="17" t="n">
        <v/>
      </c>
      <c r="AA465" s="25">
        <f>AA465 * AC465</f>
        <v/>
      </c>
      <c r="AB465" s="25">
        <f>AB465 * AC465</f>
        <v/>
      </c>
      <c r="AC465" s="22" t="n"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>
        <f>I466 * AC466</f>
        <v/>
      </c>
      <c r="J466" s="19">
        <f>J466 * AC466</f>
        <v/>
      </c>
      <c r="K466" s="19">
        <f>K466 * AC466</f>
        <v/>
      </c>
      <c r="L466" s="19">
        <f>L466 * AC466</f>
        <v/>
      </c>
      <c r="M466" s="24">
        <f>M466 * AC466</f>
        <v/>
      </c>
      <c r="N466" s="24">
        <f>N466 * AC466</f>
        <v/>
      </c>
      <c r="O466" s="24">
        <f>O466 * AC466</f>
        <v/>
      </c>
      <c r="P466" s="24">
        <f>P466 * AC466</f>
        <v/>
      </c>
      <c r="Q466" s="24">
        <f>Q466 * AC466</f>
        <v/>
      </c>
      <c r="R466" s="24">
        <f>R466 * AC466</f>
        <v/>
      </c>
      <c r="S466" s="24">
        <f>S466 * AC466</f>
        <v/>
      </c>
      <c r="T466" s="24">
        <f>T466 * AC466</f>
        <v/>
      </c>
      <c r="U466" s="24">
        <f>U466 * AC466</f>
        <v/>
      </c>
      <c r="V466" s="24">
        <f>V466 * AC466</f>
        <v/>
      </c>
      <c r="W466" s="24">
        <f>W466 * AC466</f>
        <v/>
      </c>
      <c r="X466" s="24">
        <f>X466 * AC466</f>
        <v/>
      </c>
      <c r="Y466" s="24">
        <f>Y466 * AC466</f>
        <v/>
      </c>
      <c r="Z466" s="15" t="n">
        <v/>
      </c>
      <c r="AA466" s="24">
        <f>AA466 * AC466</f>
        <v/>
      </c>
      <c r="AB466" s="24">
        <f>AB466 * AC466</f>
        <v/>
      </c>
      <c r="AC466" s="20" t="n"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>
        <f>I467 * AC467</f>
        <v/>
      </c>
      <c r="J467" s="21">
        <f>J467 * AC467</f>
        <v/>
      </c>
      <c r="K467" s="21">
        <f>K467 * AC467</f>
        <v/>
      </c>
      <c r="L467" s="21">
        <f>L467 * AC467</f>
        <v/>
      </c>
      <c r="M467" s="25">
        <f>M467 * AC467</f>
        <v/>
      </c>
      <c r="N467" s="25">
        <f>N467 * AC467</f>
        <v/>
      </c>
      <c r="O467" s="25">
        <f>O467 * AC467</f>
        <v/>
      </c>
      <c r="P467" s="25">
        <f>P467 * AC467</f>
        <v/>
      </c>
      <c r="Q467" s="25">
        <f>Q467 * AC467</f>
        <v/>
      </c>
      <c r="R467" s="25">
        <f>R467 * AC467</f>
        <v/>
      </c>
      <c r="S467" s="25">
        <f>S467 * AC467</f>
        <v/>
      </c>
      <c r="T467" s="25">
        <f>T467 * AC467</f>
        <v/>
      </c>
      <c r="U467" s="25">
        <f>U467 * AC467</f>
        <v/>
      </c>
      <c r="V467" s="25">
        <f>V467 * AC467</f>
        <v/>
      </c>
      <c r="W467" s="25">
        <f>W467 * AC467</f>
        <v/>
      </c>
      <c r="X467" s="25">
        <f>X467 * AC467</f>
        <v/>
      </c>
      <c r="Y467" s="25">
        <f>Y467 * AC467</f>
        <v/>
      </c>
      <c r="Z467" s="17" t="n">
        <v/>
      </c>
      <c r="AA467" s="25">
        <f>AA467 * AC467</f>
        <v/>
      </c>
      <c r="AB467" s="25">
        <f>AB467 * AC467</f>
        <v/>
      </c>
      <c r="AC467" s="22" t="n"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>
        <f>I468 * AC468</f>
        <v/>
      </c>
      <c r="J468" s="19">
        <f>J468 * AC468</f>
        <v/>
      </c>
      <c r="K468" s="19">
        <f>K468 * AC468</f>
        <v/>
      </c>
      <c r="L468" s="19">
        <f>L468 * AC468</f>
        <v/>
      </c>
      <c r="M468" s="24">
        <f>M468 * AC468</f>
        <v/>
      </c>
      <c r="N468" s="24">
        <f>N468 * AC468</f>
        <v/>
      </c>
      <c r="O468" s="24">
        <f>O468 * AC468</f>
        <v/>
      </c>
      <c r="P468" s="24">
        <f>P468 * AC468</f>
        <v/>
      </c>
      <c r="Q468" s="24">
        <f>Q468 * AC468</f>
        <v/>
      </c>
      <c r="R468" s="24">
        <f>R468 * AC468</f>
        <v/>
      </c>
      <c r="S468" s="24">
        <f>S468 * AC468</f>
        <v/>
      </c>
      <c r="T468" s="24">
        <f>T468 * AC468</f>
        <v/>
      </c>
      <c r="U468" s="24">
        <f>U468 * AC468</f>
        <v/>
      </c>
      <c r="V468" s="24">
        <f>V468 * AC468</f>
        <v/>
      </c>
      <c r="W468" s="24">
        <f>W468 * AC468</f>
        <v/>
      </c>
      <c r="X468" s="24">
        <f>X468 * AC468</f>
        <v/>
      </c>
      <c r="Y468" s="24">
        <f>Y468 * AC468</f>
        <v/>
      </c>
      <c r="Z468" s="15" t="n">
        <v/>
      </c>
      <c r="AA468" s="24">
        <f>AA468 * AC468</f>
        <v/>
      </c>
      <c r="AB468" s="24">
        <f>AB468 * AC468</f>
        <v/>
      </c>
      <c r="AC468" s="20" t="n"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>
        <f>I469 * AC469</f>
        <v/>
      </c>
      <c r="J469" s="21">
        <f>J469 * AC469</f>
        <v/>
      </c>
      <c r="K469" s="21">
        <f>K469 * AC469</f>
        <v/>
      </c>
      <c r="L469" s="21">
        <f>L469 * AC469</f>
        <v/>
      </c>
      <c r="M469" s="25">
        <f>M469 * AC469</f>
        <v/>
      </c>
      <c r="N469" s="25">
        <f>N469 * AC469</f>
        <v/>
      </c>
      <c r="O469" s="25">
        <f>O469 * AC469</f>
        <v/>
      </c>
      <c r="P469" s="25">
        <f>P469 * AC469</f>
        <v/>
      </c>
      <c r="Q469" s="25">
        <f>Q469 * AC469</f>
        <v/>
      </c>
      <c r="R469" s="25">
        <f>R469 * AC469</f>
        <v/>
      </c>
      <c r="S469" s="25">
        <f>S469 * AC469</f>
        <v/>
      </c>
      <c r="T469" s="25">
        <f>T469 * AC469</f>
        <v/>
      </c>
      <c r="U469" s="25">
        <f>U469 * AC469</f>
        <v/>
      </c>
      <c r="V469" s="25">
        <f>V469 * AC469</f>
        <v/>
      </c>
      <c r="W469" s="25">
        <f>W469 * AC469</f>
        <v/>
      </c>
      <c r="X469" s="25">
        <f>X469 * AC469</f>
        <v/>
      </c>
      <c r="Y469" s="25">
        <f>Y469 * AC469</f>
        <v/>
      </c>
      <c r="Z469" s="17" t="n">
        <v/>
      </c>
      <c r="AA469" s="25">
        <f>AA469 * AC469</f>
        <v/>
      </c>
      <c r="AB469" s="25">
        <f>AB469 * AC469</f>
        <v/>
      </c>
      <c r="AC469" s="22" t="n"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>
        <f>I470 * AC470</f>
        <v/>
      </c>
      <c r="J470" s="19">
        <f>J470 * AC470</f>
        <v/>
      </c>
      <c r="K470" s="19">
        <f>K470 * AC470</f>
        <v/>
      </c>
      <c r="L470" s="19">
        <f>L470 * AC470</f>
        <v/>
      </c>
      <c r="M470" s="24">
        <f>M470 * AC470</f>
        <v/>
      </c>
      <c r="N470" s="24">
        <f>N470 * AC470</f>
        <v/>
      </c>
      <c r="O470" s="24">
        <f>O470 * AC470</f>
        <v/>
      </c>
      <c r="P470" s="24">
        <f>P470 * AC470</f>
        <v/>
      </c>
      <c r="Q470" s="24">
        <f>Q470 * AC470</f>
        <v/>
      </c>
      <c r="R470" s="24">
        <f>R470 * AC470</f>
        <v/>
      </c>
      <c r="S470" s="24">
        <f>S470 * AC470</f>
        <v/>
      </c>
      <c r="T470" s="24">
        <f>T470 * AC470</f>
        <v/>
      </c>
      <c r="U470" s="24">
        <f>U470 * AC470</f>
        <v/>
      </c>
      <c r="V470" s="24">
        <f>V470 * AC470</f>
        <v/>
      </c>
      <c r="W470" s="24">
        <f>W470 * AC470</f>
        <v/>
      </c>
      <c r="X470" s="24">
        <f>X470 * AC470</f>
        <v/>
      </c>
      <c r="Y470" s="24">
        <f>Y470 * AC470</f>
        <v/>
      </c>
      <c r="Z470" s="15" t="n">
        <v/>
      </c>
      <c r="AA470" s="24">
        <f>AA470 * AC470</f>
        <v/>
      </c>
      <c r="AB470" s="24">
        <f>AB470 * AC470</f>
        <v/>
      </c>
      <c r="AC470" s="20" t="n"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>
        <f>I471 * AC471</f>
        <v/>
      </c>
      <c r="J471" s="21">
        <f>J471 * AC471</f>
        <v/>
      </c>
      <c r="K471" s="21">
        <f>K471 * AC471</f>
        <v/>
      </c>
      <c r="L471" s="21">
        <f>L471 * AC471</f>
        <v/>
      </c>
      <c r="M471" s="25">
        <f>M471 * AC471</f>
        <v/>
      </c>
      <c r="N471" s="25">
        <f>N471 * AC471</f>
        <v/>
      </c>
      <c r="O471" s="25">
        <f>O471 * AC471</f>
        <v/>
      </c>
      <c r="P471" s="25">
        <f>P471 * AC471</f>
        <v/>
      </c>
      <c r="Q471" s="25">
        <f>Q471 * AC471</f>
        <v/>
      </c>
      <c r="R471" s="25">
        <f>R471 * AC471</f>
        <v/>
      </c>
      <c r="S471" s="25">
        <f>S471 * AC471</f>
        <v/>
      </c>
      <c r="T471" s="25">
        <f>T471 * AC471</f>
        <v/>
      </c>
      <c r="U471" s="25">
        <f>U471 * AC471</f>
        <v/>
      </c>
      <c r="V471" s="25">
        <f>V471 * AC471</f>
        <v/>
      </c>
      <c r="W471" s="25">
        <f>W471 * AC471</f>
        <v/>
      </c>
      <c r="X471" s="25">
        <f>X471 * AC471</f>
        <v/>
      </c>
      <c r="Y471" s="25">
        <f>Y471 * AC471</f>
        <v/>
      </c>
      <c r="Z471" s="17" t="n">
        <v/>
      </c>
      <c r="AA471" s="25">
        <f>AA471 * AC471</f>
        <v/>
      </c>
      <c r="AB471" s="25">
        <f>AB471 * AC471</f>
        <v/>
      </c>
      <c r="AC471" s="22" t="n"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>
        <f>I472 * AC472</f>
        <v/>
      </c>
      <c r="J472" s="19">
        <f>J472 * AC472</f>
        <v/>
      </c>
      <c r="K472" s="19">
        <f>K472 * AC472</f>
        <v/>
      </c>
      <c r="L472" s="19">
        <f>L472 * AC472</f>
        <v/>
      </c>
      <c r="M472" s="24">
        <f>M472 * AC472</f>
        <v/>
      </c>
      <c r="N472" s="24">
        <f>N472 * AC472</f>
        <v/>
      </c>
      <c r="O472" s="24">
        <f>O472 * AC472</f>
        <v/>
      </c>
      <c r="P472" s="24">
        <f>P472 * AC472</f>
        <v/>
      </c>
      <c r="Q472" s="24">
        <f>Q472 * AC472</f>
        <v/>
      </c>
      <c r="R472" s="24">
        <f>R472 * AC472</f>
        <v/>
      </c>
      <c r="S472" s="24">
        <f>S472 * AC472</f>
        <v/>
      </c>
      <c r="T472" s="24">
        <f>T472 * AC472</f>
        <v/>
      </c>
      <c r="U472" s="24">
        <f>U472 * AC472</f>
        <v/>
      </c>
      <c r="V472" s="24">
        <f>V472 * AC472</f>
        <v/>
      </c>
      <c r="W472" s="24">
        <f>W472 * AC472</f>
        <v/>
      </c>
      <c r="X472" s="24">
        <f>X472 * AC472</f>
        <v/>
      </c>
      <c r="Y472" s="24">
        <f>Y472 * AC472</f>
        <v/>
      </c>
      <c r="Z472" s="15" t="n">
        <v/>
      </c>
      <c r="AA472" s="24">
        <f>AA472 * AC472</f>
        <v/>
      </c>
      <c r="AB472" s="24">
        <f>AB472 * AC472</f>
        <v/>
      </c>
      <c r="AC472" s="20" t="n"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>
        <f>I473 * AC473</f>
        <v/>
      </c>
      <c r="J473" s="21">
        <f>J473 * AC473</f>
        <v/>
      </c>
      <c r="K473" s="21">
        <f>K473 * AC473</f>
        <v/>
      </c>
      <c r="L473" s="21">
        <f>L473 * AC473</f>
        <v/>
      </c>
      <c r="M473" s="25">
        <f>M473 * AC473</f>
        <v/>
      </c>
      <c r="N473" s="25">
        <f>N473 * AC473</f>
        <v/>
      </c>
      <c r="O473" s="25">
        <f>O473 * AC473</f>
        <v/>
      </c>
      <c r="P473" s="25">
        <f>P473 * AC473</f>
        <v/>
      </c>
      <c r="Q473" s="25">
        <f>Q473 * AC473</f>
        <v/>
      </c>
      <c r="R473" s="25">
        <f>R473 * AC473</f>
        <v/>
      </c>
      <c r="S473" s="25">
        <f>S473 * AC473</f>
        <v/>
      </c>
      <c r="T473" s="25">
        <f>T473 * AC473</f>
        <v/>
      </c>
      <c r="U473" s="25">
        <f>U473 * AC473</f>
        <v/>
      </c>
      <c r="V473" s="25">
        <f>V473 * AC473</f>
        <v/>
      </c>
      <c r="W473" s="25">
        <f>W473 * AC473</f>
        <v/>
      </c>
      <c r="X473" s="25">
        <f>X473 * AC473</f>
        <v/>
      </c>
      <c r="Y473" s="25">
        <f>Y473 * AC473</f>
        <v/>
      </c>
      <c r="Z473" s="17" t="n">
        <v/>
      </c>
      <c r="AA473" s="25">
        <f>AA473 * AC473</f>
        <v/>
      </c>
      <c r="AB473" s="25">
        <f>AB473 * AC473</f>
        <v/>
      </c>
      <c r="AC473" s="22" t="n"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>
        <f>I474 * AC474</f>
        <v/>
      </c>
      <c r="J474" s="19">
        <f>J474 * AC474</f>
        <v/>
      </c>
      <c r="K474" s="19">
        <f>K474 * AC474</f>
        <v/>
      </c>
      <c r="L474" s="19">
        <f>L474 * AC474</f>
        <v/>
      </c>
      <c r="M474" s="24">
        <f>M474 * AC474</f>
        <v/>
      </c>
      <c r="N474" s="24">
        <f>N474 * AC474</f>
        <v/>
      </c>
      <c r="O474" s="24">
        <f>O474 * AC474</f>
        <v/>
      </c>
      <c r="P474" s="24">
        <f>P474 * AC474</f>
        <v/>
      </c>
      <c r="Q474" s="24">
        <f>Q474 * AC474</f>
        <v/>
      </c>
      <c r="R474" s="24">
        <f>R474 * AC474</f>
        <v/>
      </c>
      <c r="S474" s="24">
        <f>S474 * AC474</f>
        <v/>
      </c>
      <c r="T474" s="24">
        <f>T474 * AC474</f>
        <v/>
      </c>
      <c r="U474" s="24">
        <f>U474 * AC474</f>
        <v/>
      </c>
      <c r="V474" s="24">
        <f>V474 * AC474</f>
        <v/>
      </c>
      <c r="W474" s="24">
        <f>W474 * AC474</f>
        <v/>
      </c>
      <c r="X474" s="24">
        <f>X474 * AC474</f>
        <v/>
      </c>
      <c r="Y474" s="24">
        <f>Y474 * AC474</f>
        <v/>
      </c>
      <c r="Z474" s="15" t="n">
        <v/>
      </c>
      <c r="AA474" s="24">
        <f>AA474 * AC474</f>
        <v/>
      </c>
      <c r="AB474" s="24">
        <f>AB474 * AC474</f>
        <v/>
      </c>
      <c r="AC474" s="20" t="n"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>
        <f>I475 * AC475</f>
        <v/>
      </c>
      <c r="J475" s="21">
        <f>J475 * AC475</f>
        <v/>
      </c>
      <c r="K475" s="21">
        <f>K475 * AC475</f>
        <v/>
      </c>
      <c r="L475" s="21">
        <f>L475 * AC475</f>
        <v/>
      </c>
      <c r="M475" s="25">
        <f>M475 * AC475</f>
        <v/>
      </c>
      <c r="N475" s="25">
        <f>N475 * AC475</f>
        <v/>
      </c>
      <c r="O475" s="25">
        <f>O475 * AC475</f>
        <v/>
      </c>
      <c r="P475" s="25">
        <f>P475 * AC475</f>
        <v/>
      </c>
      <c r="Q475" s="25">
        <f>Q475 * AC475</f>
        <v/>
      </c>
      <c r="R475" s="25">
        <f>R475 * AC475</f>
        <v/>
      </c>
      <c r="S475" s="25">
        <f>S475 * AC475</f>
        <v/>
      </c>
      <c r="T475" s="25">
        <f>T475 * AC475</f>
        <v/>
      </c>
      <c r="U475" s="25">
        <f>U475 * AC475</f>
        <v/>
      </c>
      <c r="V475" s="25">
        <f>V475 * AC475</f>
        <v/>
      </c>
      <c r="W475" s="25">
        <f>W475 * AC475</f>
        <v/>
      </c>
      <c r="X475" s="25">
        <f>X475 * AC475</f>
        <v/>
      </c>
      <c r="Y475" s="25">
        <f>Y475 * AC475</f>
        <v/>
      </c>
      <c r="Z475" s="17" t="n">
        <v/>
      </c>
      <c r="AA475" s="25">
        <f>AA475 * AC475</f>
        <v/>
      </c>
      <c r="AB475" s="25">
        <f>AB475 * AC475</f>
        <v/>
      </c>
      <c r="AC475" s="22" t="n"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>
        <f>I476 * AC476</f>
        <v/>
      </c>
      <c r="J476" s="19">
        <f>J476 * AC476</f>
        <v/>
      </c>
      <c r="K476" s="19">
        <f>K476 * AC476</f>
        <v/>
      </c>
      <c r="L476" s="19">
        <f>L476 * AC476</f>
        <v/>
      </c>
      <c r="M476" s="24">
        <f>M476 * AC476</f>
        <v/>
      </c>
      <c r="N476" s="24">
        <f>N476 * AC476</f>
        <v/>
      </c>
      <c r="O476" s="24">
        <f>O476 * AC476</f>
        <v/>
      </c>
      <c r="P476" s="24">
        <f>P476 * AC476</f>
        <v/>
      </c>
      <c r="Q476" s="24">
        <f>Q476 * AC476</f>
        <v/>
      </c>
      <c r="R476" s="24">
        <f>R476 * AC476</f>
        <v/>
      </c>
      <c r="S476" s="24">
        <f>S476 * AC476</f>
        <v/>
      </c>
      <c r="T476" s="24">
        <f>T476 * AC476</f>
        <v/>
      </c>
      <c r="U476" s="24">
        <f>U476 * AC476</f>
        <v/>
      </c>
      <c r="V476" s="24">
        <f>V476 * AC476</f>
        <v/>
      </c>
      <c r="W476" s="24">
        <f>W476 * AC476</f>
        <v/>
      </c>
      <c r="X476" s="24">
        <f>X476 * AC476</f>
        <v/>
      </c>
      <c r="Y476" s="24">
        <f>Y476 * AC476</f>
        <v/>
      </c>
      <c r="Z476" s="15" t="n">
        <v/>
      </c>
      <c r="AA476" s="24">
        <f>AA476 * AC476</f>
        <v/>
      </c>
      <c r="AB476" s="24">
        <f>AB476 * AC476</f>
        <v/>
      </c>
      <c r="AC476" s="20" t="n"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>
        <f>I477 * AC477</f>
        <v/>
      </c>
      <c r="J477" s="21">
        <f>J477 * AC477</f>
        <v/>
      </c>
      <c r="K477" s="21">
        <f>K477 * AC477</f>
        <v/>
      </c>
      <c r="L477" s="21">
        <f>L477 * AC477</f>
        <v/>
      </c>
      <c r="M477" s="25">
        <f>M477 * AC477</f>
        <v/>
      </c>
      <c r="N477" s="25">
        <f>N477 * AC477</f>
        <v/>
      </c>
      <c r="O477" s="25">
        <f>O477 * AC477</f>
        <v/>
      </c>
      <c r="P477" s="25">
        <f>P477 * AC477</f>
        <v/>
      </c>
      <c r="Q477" s="25">
        <f>Q477 * AC477</f>
        <v/>
      </c>
      <c r="R477" s="25">
        <f>R477 * AC477</f>
        <v/>
      </c>
      <c r="S477" s="25">
        <f>S477 * AC477</f>
        <v/>
      </c>
      <c r="T477" s="25">
        <f>T477 * AC477</f>
        <v/>
      </c>
      <c r="U477" s="25">
        <f>U477 * AC477</f>
        <v/>
      </c>
      <c r="V477" s="25">
        <f>V477 * AC477</f>
        <v/>
      </c>
      <c r="W477" s="25">
        <f>W477 * AC477</f>
        <v/>
      </c>
      <c r="X477" s="25">
        <f>X477 * AC477</f>
        <v/>
      </c>
      <c r="Y477" s="25">
        <f>Y477 * AC477</f>
        <v/>
      </c>
      <c r="Z477" s="17" t="n">
        <v/>
      </c>
      <c r="AA477" s="25">
        <f>AA477 * AC477</f>
        <v/>
      </c>
      <c r="AB477" s="25">
        <f>AB477 * AC477</f>
        <v/>
      </c>
      <c r="AC477" s="22" t="n"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>
        <f>I478 * AC478</f>
        <v/>
      </c>
      <c r="J478" s="19">
        <f>J478 * AC478</f>
        <v/>
      </c>
      <c r="K478" s="19">
        <f>K478 * AC478</f>
        <v/>
      </c>
      <c r="L478" s="19">
        <f>L478 * AC478</f>
        <v/>
      </c>
      <c r="M478" s="24">
        <f>M478 * AC478</f>
        <v/>
      </c>
      <c r="N478" s="24">
        <f>N478 * AC478</f>
        <v/>
      </c>
      <c r="O478" s="24">
        <f>O478 * AC478</f>
        <v/>
      </c>
      <c r="P478" s="24">
        <f>P478 * AC478</f>
        <v/>
      </c>
      <c r="Q478" s="24">
        <f>Q478 * AC478</f>
        <v/>
      </c>
      <c r="R478" s="24">
        <f>R478 * AC478</f>
        <v/>
      </c>
      <c r="S478" s="24">
        <f>S478 * AC478</f>
        <v/>
      </c>
      <c r="T478" s="24">
        <f>T478 * AC478</f>
        <v/>
      </c>
      <c r="U478" s="24">
        <f>U478 * AC478</f>
        <v/>
      </c>
      <c r="V478" s="24">
        <f>V478 * AC478</f>
        <v/>
      </c>
      <c r="W478" s="24">
        <f>W478 * AC478</f>
        <v/>
      </c>
      <c r="X478" s="24">
        <f>X478 * AC478</f>
        <v/>
      </c>
      <c r="Y478" s="24">
        <f>Y478 * AC478</f>
        <v/>
      </c>
      <c r="Z478" s="15" t="n">
        <v/>
      </c>
      <c r="AA478" s="24">
        <f>AA478 * AC478</f>
        <v/>
      </c>
      <c r="AB478" s="24">
        <f>AB478 * AC478</f>
        <v/>
      </c>
      <c r="AC478" s="20" t="n"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>
        <f>I479 * AC479</f>
        <v/>
      </c>
      <c r="J479" s="21">
        <f>J479 * AC479</f>
        <v/>
      </c>
      <c r="K479" s="21">
        <f>K479 * AC479</f>
        <v/>
      </c>
      <c r="L479" s="21">
        <f>L479 * AC479</f>
        <v/>
      </c>
      <c r="M479" s="25">
        <f>M479 * AC479</f>
        <v/>
      </c>
      <c r="N479" s="25">
        <f>N479 * AC479</f>
        <v/>
      </c>
      <c r="O479" s="25">
        <f>O479 * AC479</f>
        <v/>
      </c>
      <c r="P479" s="25">
        <f>P479 * AC479</f>
        <v/>
      </c>
      <c r="Q479" s="25">
        <f>Q479 * AC479</f>
        <v/>
      </c>
      <c r="R479" s="25">
        <f>R479 * AC479</f>
        <v/>
      </c>
      <c r="S479" s="25">
        <f>S479 * AC479</f>
        <v/>
      </c>
      <c r="T479" s="25">
        <f>T479 * AC479</f>
        <v/>
      </c>
      <c r="U479" s="25">
        <f>U479 * AC479</f>
        <v/>
      </c>
      <c r="V479" s="25">
        <f>V479 * AC479</f>
        <v/>
      </c>
      <c r="W479" s="25">
        <f>W479 * AC479</f>
        <v/>
      </c>
      <c r="X479" s="25">
        <f>X479 * AC479</f>
        <v/>
      </c>
      <c r="Y479" s="25">
        <f>Y479 * AC479</f>
        <v/>
      </c>
      <c r="Z479" s="17" t="n">
        <v/>
      </c>
      <c r="AA479" s="25">
        <f>AA479 * AC479</f>
        <v/>
      </c>
      <c r="AB479" s="25">
        <f>AB479 * AC479</f>
        <v/>
      </c>
      <c r="AC479" s="22" t="n"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>
        <f>I480 * AC480</f>
        <v/>
      </c>
      <c r="J480" s="19">
        <f>J480 * AC480</f>
        <v/>
      </c>
      <c r="K480" s="19">
        <f>K480 * AC480</f>
        <v/>
      </c>
      <c r="L480" s="19">
        <f>L480 * AC480</f>
        <v/>
      </c>
      <c r="M480" s="24">
        <f>M480 * AC480</f>
        <v/>
      </c>
      <c r="N480" s="24">
        <f>N480 * AC480</f>
        <v/>
      </c>
      <c r="O480" s="24">
        <f>O480 * AC480</f>
        <v/>
      </c>
      <c r="P480" s="24">
        <f>P480 * AC480</f>
        <v/>
      </c>
      <c r="Q480" s="24">
        <f>Q480 * AC480</f>
        <v/>
      </c>
      <c r="R480" s="24">
        <f>R480 * AC480</f>
        <v/>
      </c>
      <c r="S480" s="24">
        <f>S480 * AC480</f>
        <v/>
      </c>
      <c r="T480" s="24">
        <f>T480 * AC480</f>
        <v/>
      </c>
      <c r="U480" s="24">
        <f>U480 * AC480</f>
        <v/>
      </c>
      <c r="V480" s="24">
        <f>V480 * AC480</f>
        <v/>
      </c>
      <c r="W480" s="24">
        <f>W480 * AC480</f>
        <v/>
      </c>
      <c r="X480" s="24">
        <f>X480 * AC480</f>
        <v/>
      </c>
      <c r="Y480" s="24">
        <f>Y480 * AC480</f>
        <v/>
      </c>
      <c r="Z480" s="15" t="n">
        <v/>
      </c>
      <c r="AA480" s="24">
        <f>AA480 * AC480</f>
        <v/>
      </c>
      <c r="AB480" s="24">
        <f>AB480 * AC480</f>
        <v/>
      </c>
      <c r="AC480" s="20" t="n"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>
        <f>I481 * AC481</f>
        <v/>
      </c>
      <c r="J481" s="21">
        <f>J481 * AC481</f>
        <v/>
      </c>
      <c r="K481" s="21">
        <f>K481 * AC481</f>
        <v/>
      </c>
      <c r="L481" s="21">
        <f>L481 * AC481</f>
        <v/>
      </c>
      <c r="M481" s="25">
        <f>M481 * AC481</f>
        <v/>
      </c>
      <c r="N481" s="25">
        <f>N481 * AC481</f>
        <v/>
      </c>
      <c r="O481" s="25">
        <f>O481 * AC481</f>
        <v/>
      </c>
      <c r="P481" s="25">
        <f>P481 * AC481</f>
        <v/>
      </c>
      <c r="Q481" s="25">
        <f>Q481 * AC481</f>
        <v/>
      </c>
      <c r="R481" s="25">
        <f>R481 * AC481</f>
        <v/>
      </c>
      <c r="S481" s="25">
        <f>S481 * AC481</f>
        <v/>
      </c>
      <c r="T481" s="25">
        <f>T481 * AC481</f>
        <v/>
      </c>
      <c r="U481" s="25">
        <f>U481 * AC481</f>
        <v/>
      </c>
      <c r="V481" s="25">
        <f>V481 * AC481</f>
        <v/>
      </c>
      <c r="W481" s="25">
        <f>W481 * AC481</f>
        <v/>
      </c>
      <c r="X481" s="25">
        <f>X481 * AC481</f>
        <v/>
      </c>
      <c r="Y481" s="25">
        <f>Y481 * AC481</f>
        <v/>
      </c>
      <c r="Z481" s="17" t="n">
        <v/>
      </c>
      <c r="AA481" s="25">
        <f>AA481 * AC481</f>
        <v/>
      </c>
      <c r="AB481" s="25">
        <f>AB481 * AC481</f>
        <v/>
      </c>
      <c r="AC481" s="22" t="n">
        <v/>
      </c>
    </row>
  </sheetData>
  <autoFilter ref="A1:AC1"/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4B1C8C"/>
    <outlinePr summaryBelow="1" summaryRight="1"/>
    <pageSetUpPr/>
  </sheetPr>
  <dimension ref="A1:U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8" customWidth="1" min="21" max="21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std_scn_fund</t>
        </is>
      </c>
      <c r="J1" s="26" t="inlineStr">
        <is>
          <t>disc_factor_shock</t>
        </is>
      </c>
      <c r="K1" s="26" t="inlineStr">
        <is>
          <t>accum_factor</t>
        </is>
      </c>
      <c r="L1" s="26" t="inlineStr">
        <is>
          <t>accum_fund</t>
        </is>
      </c>
      <c r="M1" s="26" t="inlineStr">
        <is>
          <t>me_charge</t>
        </is>
      </c>
      <c r="N1" s="26" t="inlineStr">
        <is>
          <t>imf_charge</t>
        </is>
      </c>
      <c r="O1" s="26" t="inlineStr">
        <is>
          <t>gib_charge</t>
        </is>
      </c>
      <c r="P1" s="26" t="inlineStr">
        <is>
          <t>i4l_charge</t>
        </is>
      </c>
      <c r="Q1" s="26" t="inlineStr">
        <is>
          <t>accum_me</t>
        </is>
      </c>
      <c r="R1" s="26" t="inlineStr">
        <is>
          <t>accum_imf</t>
        </is>
      </c>
      <c r="S1" s="26" t="inlineStr">
        <is>
          <t>accum_lb</t>
        </is>
      </c>
      <c r="T1" s="26" t="inlineStr">
        <is>
          <t>net_rev_cf</t>
        </is>
      </c>
      <c r="U1" s="26" t="inlineStr">
        <is>
          <t>anr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 t="n">
        <v>1445306.322812817</v>
      </c>
      <c r="J2" s="19" t="n">
        <v>0.9959269156896032</v>
      </c>
      <c r="K2" s="24">
        <f>1 / J2</f>
        <v/>
      </c>
      <c r="L2" s="24">
        <f>I2 * K2</f>
        <v/>
      </c>
      <c r="M2" s="24">
        <f>I2 * (0.01000000 / 12)</f>
        <v/>
      </c>
      <c r="N2" s="24">
        <f>I2 * (0.00664805 / 12) * 1.0</f>
        <v/>
      </c>
      <c r="O2" s="24">
        <f>I2 * (0.00400000 / 12) * 1.0</f>
        <v/>
      </c>
      <c r="P2" s="24">
        <f>I2 * (0.00500000 / 12) * 1.0</f>
        <v/>
      </c>
      <c r="Q2" s="24">
        <f>M2</f>
        <v/>
      </c>
      <c r="R2" s="24">
        <f>N2</f>
        <v/>
      </c>
      <c r="S2" s="24">
        <f>O2 + P2</f>
        <v/>
      </c>
      <c r="T2" s="20">
        <f>Q2 + R2 + S2</f>
        <v/>
      </c>
      <c r="U2" s="24">
        <f>MAX(0, -T2)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 t="n">
        <v>1322510.08007155</v>
      </c>
      <c r="J3" s="21" t="n">
        <v>0.9914696270908294</v>
      </c>
      <c r="K3" s="25">
        <f>1 / J3</f>
        <v/>
      </c>
      <c r="L3" s="25">
        <f>I3 * K3</f>
        <v/>
      </c>
      <c r="M3" s="25">
        <f>I3 * (0.01000000 / 12)</f>
        <v/>
      </c>
      <c r="N3" s="25">
        <f>I3 * (0.00664805 / 12) * 1.0</f>
        <v/>
      </c>
      <c r="O3" s="25">
        <f>I3 * (0.00400000 / 12) * 1.0</f>
        <v/>
      </c>
      <c r="P3" s="25">
        <f>I3 * (0.00500000 / 12) * 1.0</f>
        <v/>
      </c>
      <c r="Q3" s="25">
        <f>Q2 * (K3 / K2) + M3</f>
        <v/>
      </c>
      <c r="R3" s="25">
        <f>R2 * (K3 / K2) + N3</f>
        <v/>
      </c>
      <c r="S3" s="25">
        <f>S2 * (K3 / K2) + O3 + P3</f>
        <v/>
      </c>
      <c r="T3" s="22">
        <f>Q3 + R3 + S3</f>
        <v/>
      </c>
      <c r="U3" s="25">
        <f>MAX(0, -T3)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 t="n">
        <v>1262552.188260354</v>
      </c>
      <c r="J4" s="19" t="n">
        <v>0.9874312877084909</v>
      </c>
      <c r="K4" s="24">
        <f>1 / J4</f>
        <v/>
      </c>
      <c r="L4" s="24">
        <f>I4 * K4</f>
        <v/>
      </c>
      <c r="M4" s="24">
        <f>I4 * (0.01000000 / 12)</f>
        <v/>
      </c>
      <c r="N4" s="24">
        <f>I4 * (0.00664805 / 12) * 1.0</f>
        <v/>
      </c>
      <c r="O4" s="24">
        <f>I4 * (0.00400000 / 12) * 1.0</f>
        <v/>
      </c>
      <c r="P4" s="24">
        <f>I4 * (0.00500000 / 12) * 1.0</f>
        <v/>
      </c>
      <c r="Q4" s="24">
        <f>Q3 * (K4 / K3) + M4</f>
        <v/>
      </c>
      <c r="R4" s="24">
        <f>R3 * (K4 / K3) + N4</f>
        <v/>
      </c>
      <c r="S4" s="24">
        <f>S3 * (K4 / K3) + O4 + P4</f>
        <v/>
      </c>
      <c r="T4" s="20">
        <f>Q4 + R4 + S4</f>
        <v/>
      </c>
      <c r="U4" s="24">
        <f>MAX(0, -T4)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 t="n">
        <v>1190072.840793465</v>
      </c>
      <c r="J5" s="21" t="n">
        <v>0.9837265064075502</v>
      </c>
      <c r="K5" s="25">
        <f>1 / J5</f>
        <v/>
      </c>
      <c r="L5" s="25">
        <f>I5 * K5</f>
        <v/>
      </c>
      <c r="M5" s="25">
        <f>I5 * (0.01000000 / 12)</f>
        <v/>
      </c>
      <c r="N5" s="25">
        <f>I5 * (0.00664805 / 12) * 1.0</f>
        <v/>
      </c>
      <c r="O5" s="25">
        <f>I5 * (0.00400000 / 12) * 1.0</f>
        <v/>
      </c>
      <c r="P5" s="25">
        <f>I5 * (0.00500000 / 12) * 1.0</f>
        <v/>
      </c>
      <c r="Q5" s="25">
        <f>Q4 * (K5 / K4) + M5</f>
        <v/>
      </c>
      <c r="R5" s="25">
        <f>R4 * (K5 / K4) + N5</f>
        <v/>
      </c>
      <c r="S5" s="25">
        <f>S4 * (K5 / K4) + O5 + P5</f>
        <v/>
      </c>
      <c r="T5" s="22">
        <f>Q5 + R5 + S5</f>
        <v/>
      </c>
      <c r="U5" s="25">
        <f>MAX(0, -T5)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 t="n">
        <v>1123867.235562956</v>
      </c>
      <c r="J6" s="19" t="n">
        <v>0.9797181196561681</v>
      </c>
      <c r="K6" s="24">
        <f>1 / J6</f>
        <v/>
      </c>
      <c r="L6" s="24">
        <f>I6 * K6</f>
        <v/>
      </c>
      <c r="M6" s="24">
        <f>I6 * (0.01000000 / 12)</f>
        <v/>
      </c>
      <c r="N6" s="24">
        <f>I6 * (0.00664805 / 12) * 1.0</f>
        <v/>
      </c>
      <c r="O6" s="24">
        <f>I6 * (0.00400000 / 12) * 1.0</f>
        <v/>
      </c>
      <c r="P6" s="24">
        <f>I6 * (0.00500000 / 12) * 1.0</f>
        <v/>
      </c>
      <c r="Q6" s="24">
        <f>Q5 * (K6 / K5) + M6</f>
        <v/>
      </c>
      <c r="R6" s="24">
        <f>R5 * (K6 / K5) + N6</f>
        <v/>
      </c>
      <c r="S6" s="24">
        <f>S5 * (K6 / K5) + O6 + P6</f>
        <v/>
      </c>
      <c r="T6" s="20">
        <f>Q6 + R6 + S6</f>
        <v/>
      </c>
      <c r="U6" s="24">
        <f>MAX(0, -T6)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 t="n">
        <v>1039970.873791401</v>
      </c>
      <c r="J7" s="21" t="n">
        <v>0.9757276451543851</v>
      </c>
      <c r="K7" s="25">
        <f>1 / J7</f>
        <v/>
      </c>
      <c r="L7" s="25">
        <f>I7 * K7</f>
        <v/>
      </c>
      <c r="M7" s="25">
        <f>I7 * (0.01000000 / 12)</f>
        <v/>
      </c>
      <c r="N7" s="25">
        <f>I7 * (0.00664805 / 12) * 1.0</f>
        <v/>
      </c>
      <c r="O7" s="25">
        <f>I7 * (0.00400000 / 12) * 1.0</f>
        <v/>
      </c>
      <c r="P7" s="25">
        <f>I7 * (0.00500000 / 12) * 1.0</f>
        <v/>
      </c>
      <c r="Q7" s="25">
        <f>Q6 * (K7 / K6) + M7</f>
        <v/>
      </c>
      <c r="R7" s="25">
        <f>R6 * (K7 / K6) + N7</f>
        <v/>
      </c>
      <c r="S7" s="25">
        <f>S6 * (K7 / K6) + O7 + P7</f>
        <v/>
      </c>
      <c r="T7" s="22">
        <f>Q7 + R7 + S7</f>
        <v/>
      </c>
      <c r="U7" s="25">
        <f>MAX(0, -T7)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 t="n">
        <v>958547.6220850148</v>
      </c>
      <c r="J8" s="19" t="n">
        <v>0.9713607587496296</v>
      </c>
      <c r="K8" s="24">
        <f>1 / J8</f>
        <v/>
      </c>
      <c r="L8" s="24">
        <f>I8 * K8</f>
        <v/>
      </c>
      <c r="M8" s="24">
        <f>I8 * (0.01000000 / 12)</f>
        <v/>
      </c>
      <c r="N8" s="24">
        <f>I8 * (0.00664805 / 12) * 1.0</f>
        <v/>
      </c>
      <c r="O8" s="24">
        <f>I8 * (0.00400000 / 12) * 1.0</f>
        <v/>
      </c>
      <c r="P8" s="24">
        <f>I8 * (0.00500000 / 12) * 1.0</f>
        <v/>
      </c>
      <c r="Q8" s="24">
        <f>Q7 * (K8 / K7) + M8</f>
        <v/>
      </c>
      <c r="R8" s="24">
        <f>R7 * (K8 / K7) + N8</f>
        <v/>
      </c>
      <c r="S8" s="24">
        <f>S7 * (K8 / K7) + O8 + P8</f>
        <v/>
      </c>
      <c r="T8" s="20">
        <f>Q8 + R8 + S8</f>
        <v/>
      </c>
      <c r="U8" s="24">
        <f>MAX(0, -T8)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 t="n">
        <v>917903.1032979975</v>
      </c>
      <c r="J9" s="21" t="n">
        <v>0.9674043244834314</v>
      </c>
      <c r="K9" s="25">
        <f>1 / J9</f>
        <v/>
      </c>
      <c r="L9" s="25">
        <f>I9 * K9</f>
        <v/>
      </c>
      <c r="M9" s="25">
        <f>I9 * (0.01000000 / 12)</f>
        <v/>
      </c>
      <c r="N9" s="25">
        <f>I9 * (0.00664805 / 12) * 1.0</f>
        <v/>
      </c>
      <c r="O9" s="25">
        <f>I9 * (0.00400000 / 12) * 1.0</f>
        <v/>
      </c>
      <c r="P9" s="25">
        <f>I9 * (0.00500000 / 12) * 1.0</f>
        <v/>
      </c>
      <c r="Q9" s="25">
        <f>Q8 * (K9 / K8) + M9</f>
        <v/>
      </c>
      <c r="R9" s="25">
        <f>R8 * (K9 / K8) + N9</f>
        <v/>
      </c>
      <c r="S9" s="25">
        <f>S8 * (K9 / K8) + O9 + P9</f>
        <v/>
      </c>
      <c r="T9" s="22">
        <f>Q9 + R9 + S9</f>
        <v/>
      </c>
      <c r="U9" s="25">
        <f>MAX(0, -T9)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 t="n">
        <v>864336.8787581588</v>
      </c>
      <c r="J10" s="19" t="n">
        <v>0.9637746831135364</v>
      </c>
      <c r="K10" s="24">
        <f>1 / J10</f>
        <v/>
      </c>
      <c r="L10" s="24">
        <f>I10 * K10</f>
        <v/>
      </c>
      <c r="M10" s="24">
        <f>I10 * (0.01000000 / 12)</f>
        <v/>
      </c>
      <c r="N10" s="24">
        <f>I10 * (0.00664805 / 12) * 1.0</f>
        <v/>
      </c>
      <c r="O10" s="24">
        <f>I10 * (0.00400000 / 12) * 1.0</f>
        <v/>
      </c>
      <c r="P10" s="24">
        <f>I10 * (0.00500000 / 12) * 1.0</f>
        <v/>
      </c>
      <c r="Q10" s="24">
        <f>Q9 * (K10 / K9) + M10</f>
        <v/>
      </c>
      <c r="R10" s="24">
        <f>R9 * (K10 / K9) + N10</f>
        <v/>
      </c>
      <c r="S10" s="24">
        <f>S9 * (K10 / K9) + O10 + P10</f>
        <v/>
      </c>
      <c r="T10" s="20">
        <f>Q10 + R10 + S10</f>
        <v/>
      </c>
      <c r="U10" s="24">
        <f>MAX(0, -T10)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 t="n">
        <v>797007.9586933069</v>
      </c>
      <c r="J11" s="21" t="n">
        <v>0.9598475939826177</v>
      </c>
      <c r="K11" s="25">
        <f>1 / J11</f>
        <v/>
      </c>
      <c r="L11" s="25">
        <f>I11 * K11</f>
        <v/>
      </c>
      <c r="M11" s="25">
        <f>I11 * (0.01000000 / 12)</f>
        <v/>
      </c>
      <c r="N11" s="25">
        <f>I11 * (0.00664805 / 12) * 1.0</f>
        <v/>
      </c>
      <c r="O11" s="25">
        <f>I11 * (0.00400000 / 12) * 1.0</f>
        <v/>
      </c>
      <c r="P11" s="25">
        <f>I11 * (0.00500000 / 12) * 1.0</f>
        <v/>
      </c>
      <c r="Q11" s="25">
        <f>Q10 * (K11 / K10) + M11</f>
        <v/>
      </c>
      <c r="R11" s="25">
        <f>R10 * (K11 / K10) + N11</f>
        <v/>
      </c>
      <c r="S11" s="25">
        <f>S10 * (K11 / K10) + O11 + P11</f>
        <v/>
      </c>
      <c r="T11" s="22">
        <f>Q11 + R11 + S11</f>
        <v/>
      </c>
      <c r="U11" s="25">
        <f>MAX(0, -T11)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 t="n">
        <v>765938.9536714122</v>
      </c>
      <c r="J12" s="19" t="n">
        <v>0.955938053807195</v>
      </c>
      <c r="K12" s="24">
        <f>1 / J12</f>
        <v/>
      </c>
      <c r="L12" s="24">
        <f>I12 * K12</f>
        <v/>
      </c>
      <c r="M12" s="24">
        <f>I12 * (0.01000000 / 12)</f>
        <v/>
      </c>
      <c r="N12" s="24">
        <f>I12 * (0.00664805 / 12) * 1.0</f>
        <v/>
      </c>
      <c r="O12" s="24">
        <f>I12 * (0.00400000 / 12) * 1.0</f>
        <v/>
      </c>
      <c r="P12" s="24">
        <f>I12 * (0.00500000 / 12) * 1.0</f>
        <v/>
      </c>
      <c r="Q12" s="24">
        <f>Q11 * (K12 / K11) + M12</f>
        <v/>
      </c>
      <c r="R12" s="24">
        <f>R11 * (K12 / K11) + N12</f>
        <v/>
      </c>
      <c r="S12" s="24">
        <f>S11 * (K12 / K11) + O12 + P12</f>
        <v/>
      </c>
      <c r="T12" s="20">
        <f>Q12 + R12 + S12</f>
        <v/>
      </c>
      <c r="U12" s="24">
        <f>MAX(0, -T12)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 t="n">
        <v>730315.8835857698</v>
      </c>
      <c r="J13" s="21" t="n">
        <v>0.9516597360699758</v>
      </c>
      <c r="K13" s="25">
        <f>1 / J13</f>
        <v/>
      </c>
      <c r="L13" s="25">
        <f>I13 * K13</f>
        <v/>
      </c>
      <c r="M13" s="25">
        <f>I13 * (0.01000000 / 12)</f>
        <v/>
      </c>
      <c r="N13" s="25">
        <f>I13 * (0.00664805 / 12) * 1.0</f>
        <v/>
      </c>
      <c r="O13" s="25">
        <f>I13 * (0.00400000 / 12) * 1.0</f>
        <v/>
      </c>
      <c r="P13" s="25">
        <f>I13 * (0.00500000 / 12) * 1.0</f>
        <v/>
      </c>
      <c r="Q13" s="25">
        <f>Q12 * (K13 / K12) + M13</f>
        <v/>
      </c>
      <c r="R13" s="25">
        <f>R12 * (K13 / K12) + N13</f>
        <v/>
      </c>
      <c r="S13" s="25">
        <f>S12 * (K13 / K12) + O13 + P13</f>
        <v/>
      </c>
      <c r="T13" s="22">
        <f>Q13 + R13 + S13</f>
        <v/>
      </c>
      <c r="U13" s="25">
        <f>MAX(0, -T13)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 t="n">
        <v>684885.7185128183</v>
      </c>
      <c r="J14" s="19" t="n">
        <v>0.9477835457301529</v>
      </c>
      <c r="K14" s="24">
        <f>1 / J14</f>
        <v/>
      </c>
      <c r="L14" s="24">
        <f>I14 * K14</f>
        <v/>
      </c>
      <c r="M14" s="24">
        <f>I14 * (0.01000000 / 12)</f>
        <v/>
      </c>
      <c r="N14" s="24">
        <f>I14 * (0.00664805 / 12) * 1.0</f>
        <v/>
      </c>
      <c r="O14" s="24">
        <f>I14 * (0.00400000 / 12) * 1.0</f>
        <v/>
      </c>
      <c r="P14" s="24">
        <f>I14 * (0.00500000 / 12) * 1.0</f>
        <v/>
      </c>
      <c r="Q14" s="24">
        <f>Q13 * (K14 / K13) + M14</f>
        <v/>
      </c>
      <c r="R14" s="24">
        <f>R13 * (K14 / K13) + N14</f>
        <v/>
      </c>
      <c r="S14" s="24">
        <f>S13 * (K14 / K13) + O14 + P14</f>
        <v/>
      </c>
      <c r="T14" s="20">
        <f>Q14 + R14 + S14</f>
        <v/>
      </c>
      <c r="U14" s="24">
        <f>MAX(0, -T14)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 t="n">
        <v>651478.3650235226</v>
      </c>
      <c r="J15" s="21" t="n">
        <v>0.9442275203122132</v>
      </c>
      <c r="K15" s="25">
        <f>1 / J15</f>
        <v/>
      </c>
      <c r="L15" s="25">
        <f>I15 * K15</f>
        <v/>
      </c>
      <c r="M15" s="25">
        <f>I15 * (0.01000000 / 12)</f>
        <v/>
      </c>
      <c r="N15" s="25">
        <f>I15 * (0.00664805 / 12) * 1.0</f>
        <v/>
      </c>
      <c r="O15" s="25">
        <f>I15 * (0.00400000 / 12) * 1.0</f>
        <v/>
      </c>
      <c r="P15" s="25">
        <f>I15 * (0.00500000 / 12) * 1.0</f>
        <v/>
      </c>
      <c r="Q15" s="25">
        <f>Q14 * (K15 / K14) + M15</f>
        <v/>
      </c>
      <c r="R15" s="25">
        <f>R14 * (K15 / K14) + N15</f>
        <v/>
      </c>
      <c r="S15" s="25">
        <f>S14 * (K15 / K14) + O15 + P15</f>
        <v/>
      </c>
      <c r="T15" s="22">
        <f>Q15 + R15 + S15</f>
        <v/>
      </c>
      <c r="U15" s="25">
        <f>MAX(0, -T15)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 t="n">
        <v>617649.9732583269</v>
      </c>
      <c r="J16" s="19" t="n">
        <v>0.9403800799331473</v>
      </c>
      <c r="K16" s="24">
        <f>1 / J16</f>
        <v/>
      </c>
      <c r="L16" s="24">
        <f>I16 * K16</f>
        <v/>
      </c>
      <c r="M16" s="24">
        <f>I16 * (0.01000000 / 12)</f>
        <v/>
      </c>
      <c r="N16" s="24">
        <f>I16 * (0.00664805 / 12) * 1.0</f>
        <v/>
      </c>
      <c r="O16" s="24">
        <f>I16 * (0.00400000 / 12) * 1.0</f>
        <v/>
      </c>
      <c r="P16" s="24">
        <f>I16 * (0.00500000 / 12) * 1.0</f>
        <v/>
      </c>
      <c r="Q16" s="24">
        <f>Q15 * (K16 / K15) + M16</f>
        <v/>
      </c>
      <c r="R16" s="24">
        <f>R15 * (K16 / K15) + N16</f>
        <v/>
      </c>
      <c r="S16" s="24">
        <f>S15 * (K16 / K15) + O16 + P16</f>
        <v/>
      </c>
      <c r="T16" s="20">
        <f>Q16 + R16 + S16</f>
        <v/>
      </c>
      <c r="U16" s="24">
        <f>MAX(0, -T16)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 t="n">
        <v>585051.8825796384</v>
      </c>
      <c r="J17" s="21" t="n">
        <v>0.936549832583762</v>
      </c>
      <c r="K17" s="25">
        <f>1 / J17</f>
        <v/>
      </c>
      <c r="L17" s="25">
        <f>I17 * K17</f>
        <v/>
      </c>
      <c r="M17" s="25">
        <f>I17 * (0.01000000 / 12)</f>
        <v/>
      </c>
      <c r="N17" s="25">
        <f>I17 * (0.00664805 / 12) * 1.0</f>
        <v/>
      </c>
      <c r="O17" s="25">
        <f>I17 * (0.00400000 / 12) * 1.0</f>
        <v/>
      </c>
      <c r="P17" s="25">
        <f>I17 * (0.00500000 / 12) * 1.0</f>
        <v/>
      </c>
      <c r="Q17" s="25">
        <f>Q16 * (K17 / K16) + M17</f>
        <v/>
      </c>
      <c r="R17" s="25">
        <f>R16 * (K17 / K16) + N17</f>
        <v/>
      </c>
      <c r="S17" s="25">
        <f>S16 * (K17 / K16) + O17 + P17</f>
        <v/>
      </c>
      <c r="T17" s="22">
        <f>Q17 + R17 + S17</f>
        <v/>
      </c>
      <c r="U17" s="25">
        <f>MAX(0, -T17)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 t="n">
        <v>551050.7839061976</v>
      </c>
      <c r="J18" s="19" t="n">
        <v>0.9323582871749621</v>
      </c>
      <c r="K18" s="24">
        <f>1 / J18</f>
        <v/>
      </c>
      <c r="L18" s="24">
        <f>I18 * K18</f>
        <v/>
      </c>
      <c r="M18" s="24">
        <f>I18 * (0.01000000 / 12)</f>
        <v/>
      </c>
      <c r="N18" s="24">
        <f>I18 * (0.00664805 / 12) * 1.0</f>
        <v/>
      </c>
      <c r="O18" s="24">
        <f>I18 * (0.00400000 / 12) * 1.0</f>
        <v/>
      </c>
      <c r="P18" s="24">
        <f>I18 * (0.00500000 / 12) * 1.0</f>
        <v/>
      </c>
      <c r="Q18" s="24">
        <f>Q17 * (K18 / K17) + M18</f>
        <v/>
      </c>
      <c r="R18" s="24">
        <f>R17 * (K18 / K17) + N18</f>
        <v/>
      </c>
      <c r="S18" s="24">
        <f>S17 * (K18 / K17) + O18 + P18</f>
        <v/>
      </c>
      <c r="T18" s="20">
        <f>Q18 + R18 + S18</f>
        <v/>
      </c>
      <c r="U18" s="24">
        <f>MAX(0, -T18)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 t="n">
        <v>513144.4134473113</v>
      </c>
      <c r="J19" s="21" t="n">
        <v>0.9285607132638013</v>
      </c>
      <c r="K19" s="25">
        <f>1 / J19</f>
        <v/>
      </c>
      <c r="L19" s="25">
        <f>I19 * K19</f>
        <v/>
      </c>
      <c r="M19" s="25">
        <f>I19 * (0.01000000 / 12)</f>
        <v/>
      </c>
      <c r="N19" s="25">
        <f>I19 * (0.00664805 / 12) * 1.0</f>
        <v/>
      </c>
      <c r="O19" s="25">
        <f>I19 * (0.00400000 / 12) * 1.0</f>
        <v/>
      </c>
      <c r="P19" s="25">
        <f>I19 * (0.00500000 / 12) * 1.0</f>
        <v/>
      </c>
      <c r="Q19" s="25">
        <f>Q18 * (K19 / K18) + M19</f>
        <v/>
      </c>
      <c r="R19" s="25">
        <f>R18 * (K19 / K18) + N19</f>
        <v/>
      </c>
      <c r="S19" s="25">
        <f>S18 * (K19 / K18) + O19 + P19</f>
        <v/>
      </c>
      <c r="T19" s="22">
        <f>Q19 + R19 + S19</f>
        <v/>
      </c>
      <c r="U19" s="25">
        <f>MAX(0, -T19)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 t="n">
        <v>484614.6684076174</v>
      </c>
      <c r="J20" s="19" t="n">
        <v>0.9250768107278878</v>
      </c>
      <c r="K20" s="24">
        <f>1 / J20</f>
        <v/>
      </c>
      <c r="L20" s="24">
        <f>I20 * K20</f>
        <v/>
      </c>
      <c r="M20" s="24">
        <f>I20 * (0.01000000 / 12)</f>
        <v/>
      </c>
      <c r="N20" s="24">
        <f>I20 * (0.00664805 / 12) * 1.0</f>
        <v/>
      </c>
      <c r="O20" s="24">
        <f>I20 * (0.00400000 / 12) * 1.0</f>
        <v/>
      </c>
      <c r="P20" s="24">
        <f>I20 * (0.00500000 / 12) * 1.0</f>
        <v/>
      </c>
      <c r="Q20" s="24">
        <f>Q19 * (K20 / K19) + M20</f>
        <v/>
      </c>
      <c r="R20" s="24">
        <f>R19 * (K20 / K19) + N20</f>
        <v/>
      </c>
      <c r="S20" s="24">
        <f>S19 * (K20 / K19) + O20 + P20</f>
        <v/>
      </c>
      <c r="T20" s="20">
        <f>Q20 + R20 + S20</f>
        <v/>
      </c>
      <c r="U20" s="24">
        <f>MAX(0, -T20)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 t="n">
        <v>450555.5585488289</v>
      </c>
      <c r="J21" s="21" t="n">
        <v>0.9213074036742201</v>
      </c>
      <c r="K21" s="25">
        <f>1 / J21</f>
        <v/>
      </c>
      <c r="L21" s="25">
        <f>I21 * K21</f>
        <v/>
      </c>
      <c r="M21" s="25">
        <f>I21 * (0.01000000 / 12)</f>
        <v/>
      </c>
      <c r="N21" s="25">
        <f>I21 * (0.00664805 / 12) * 1.0</f>
        <v/>
      </c>
      <c r="O21" s="25">
        <f>I21 * (0.00400000 / 12) * 1.0</f>
        <v/>
      </c>
      <c r="P21" s="25">
        <f>I21 * (0.00500000 / 12) * 1.0</f>
        <v/>
      </c>
      <c r="Q21" s="25">
        <f>Q20 * (K21 / K20) + M21</f>
        <v/>
      </c>
      <c r="R21" s="25">
        <f>R20 * (K21 / K20) + N21</f>
        <v/>
      </c>
      <c r="S21" s="25">
        <f>S20 * (K21 / K20) + O21 + P21</f>
        <v/>
      </c>
      <c r="T21" s="22">
        <f>Q21 + R21 + S21</f>
        <v/>
      </c>
      <c r="U21" s="25">
        <f>MAX(0, -T21)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 t="n">
        <v>427836.452668128</v>
      </c>
      <c r="J22" s="19" t="n">
        <v>0.9175548409432623</v>
      </c>
      <c r="K22" s="24">
        <f>1 / J22</f>
        <v/>
      </c>
      <c r="L22" s="24">
        <f>I22 * K22</f>
        <v/>
      </c>
      <c r="M22" s="24">
        <f>I22 * (0.01000000 / 12)</f>
        <v/>
      </c>
      <c r="N22" s="24">
        <f>I22 * (0.00664805 / 12) * 1.0</f>
        <v/>
      </c>
      <c r="O22" s="24">
        <f>I22 * (0.00400000 / 12) * 1.0</f>
        <v/>
      </c>
      <c r="P22" s="24">
        <f>I22 * (0.00500000 / 12) * 1.0</f>
        <v/>
      </c>
      <c r="Q22" s="24">
        <f>Q21 * (K22 / K21) + M22</f>
        <v/>
      </c>
      <c r="R22" s="24">
        <f>R21 * (K22 / K21) + N22</f>
        <v/>
      </c>
      <c r="S22" s="24">
        <f>S21 * (K22 / K21) + O22 + P22</f>
        <v/>
      </c>
      <c r="T22" s="20">
        <f>Q22 + R22 + S22</f>
        <v/>
      </c>
      <c r="U22" s="24">
        <f>MAX(0, -T22)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 t="n">
        <v>410282.9913055925</v>
      </c>
      <c r="J23" s="21" t="n">
        <v>0.9134483079568994</v>
      </c>
      <c r="K23" s="25">
        <f>1 / J23</f>
        <v/>
      </c>
      <c r="L23" s="25">
        <f>I23 * K23</f>
        <v/>
      </c>
      <c r="M23" s="25">
        <f>I23 * (0.01000000 / 12)</f>
        <v/>
      </c>
      <c r="N23" s="25">
        <f>I23 * (0.00664805 / 12) * 1.0</f>
        <v/>
      </c>
      <c r="O23" s="25">
        <f>I23 * (0.00400000 / 12) * 1.0</f>
        <v/>
      </c>
      <c r="P23" s="25">
        <f>I23 * (0.00500000 / 12) * 1.0</f>
        <v/>
      </c>
      <c r="Q23" s="25">
        <f>Q22 * (K23 / K22) + M23</f>
        <v/>
      </c>
      <c r="R23" s="25">
        <f>R22 * (K23 / K22) + N23</f>
        <v/>
      </c>
      <c r="S23" s="25">
        <f>S22 * (K23 / K22) + O23 + P23</f>
        <v/>
      </c>
      <c r="T23" s="22">
        <f>Q23 + R23 + S23</f>
        <v/>
      </c>
      <c r="U23" s="25">
        <f>MAX(0, -T23)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 t="n">
        <v>383094.8191561953</v>
      </c>
      <c r="J24" s="19" t="n">
        <v>0.9097277559854017</v>
      </c>
      <c r="K24" s="24">
        <f>1 / J24</f>
        <v/>
      </c>
      <c r="L24" s="24">
        <f>I24 * K24</f>
        <v/>
      </c>
      <c r="M24" s="24">
        <f>I24 * (0.01000000 / 12)</f>
        <v/>
      </c>
      <c r="N24" s="24">
        <f>I24 * (0.00664805 / 12) * 1.0</f>
        <v/>
      </c>
      <c r="O24" s="24">
        <f>I24 * (0.00400000 / 12) * 1.0</f>
        <v/>
      </c>
      <c r="P24" s="24">
        <f>I24 * (0.00500000 / 12) * 1.0</f>
        <v/>
      </c>
      <c r="Q24" s="24">
        <f>Q23 * (K24 / K23) + M24</f>
        <v/>
      </c>
      <c r="R24" s="24">
        <f>R23 * (K24 / K23) + N24</f>
        <v/>
      </c>
      <c r="S24" s="24">
        <f>S23 * (K24 / K23) + O24 + P24</f>
        <v/>
      </c>
      <c r="T24" s="20">
        <f>Q24 + R24 + S24</f>
        <v/>
      </c>
      <c r="U24" s="24">
        <f>MAX(0, -T24)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 t="n">
        <v>361443.427645524</v>
      </c>
      <c r="J25" s="21" t="n">
        <v>0.9063145135438513</v>
      </c>
      <c r="K25" s="25">
        <f>1 / J25</f>
        <v/>
      </c>
      <c r="L25" s="25">
        <f>I25 * K25</f>
        <v/>
      </c>
      <c r="M25" s="25">
        <f>I25 * (0.01000000 / 12)</f>
        <v/>
      </c>
      <c r="N25" s="25">
        <f>I25 * (0.00664805 / 12) * 1.0</f>
        <v/>
      </c>
      <c r="O25" s="25">
        <f>I25 * (0.00400000 / 12) * 1.0</f>
        <v/>
      </c>
      <c r="P25" s="25">
        <f>I25 * (0.00500000 / 12) * 1.0</f>
        <v/>
      </c>
      <c r="Q25" s="25">
        <f>Q24 * (K25 / K24) + M25</f>
        <v/>
      </c>
      <c r="R25" s="25">
        <f>R24 * (K25 / K24) + N25</f>
        <v/>
      </c>
      <c r="S25" s="25">
        <f>S24 * (K25 / K24) + O25 + P25</f>
        <v/>
      </c>
      <c r="T25" s="22">
        <f>Q25 + R25 + S25</f>
        <v/>
      </c>
      <c r="U25" s="25">
        <f>MAX(0, -T25)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 t="n">
        <v>335049.0547299291</v>
      </c>
      <c r="J26" s="19" t="n">
        <v>0.9026215571530133</v>
      </c>
      <c r="K26" s="24">
        <f>1 / J26</f>
        <v/>
      </c>
      <c r="L26" s="24">
        <f>I26 * K26</f>
        <v/>
      </c>
      <c r="M26" s="24">
        <f>I26 * (0.01000000 / 12)</f>
        <v/>
      </c>
      <c r="N26" s="24">
        <f>I26 * (0.00664805 / 12) * 1.0</f>
        <v/>
      </c>
      <c r="O26" s="24">
        <f>I26 * (0.00400000 / 12) * 1.0</f>
        <v/>
      </c>
      <c r="P26" s="24">
        <f>I26 * (0.00500000 / 12) * 1.0</f>
        <v/>
      </c>
      <c r="Q26" s="24">
        <f>Q25 * (K26 / K25) + M26</f>
        <v/>
      </c>
      <c r="R26" s="24">
        <f>R25 * (K26 / K25) + N26</f>
        <v/>
      </c>
      <c r="S26" s="24">
        <f>S25 * (K26 / K25) + O26 + P26</f>
        <v/>
      </c>
      <c r="T26" s="20">
        <f>Q26 + R26 + S26</f>
        <v/>
      </c>
      <c r="U26" s="24">
        <f>MAX(0, -T26)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 t="n">
        <v>307789.5051998073</v>
      </c>
      <c r="J27" s="21" t="n">
        <v>0.8989451034503474</v>
      </c>
      <c r="K27" s="25">
        <f>1 / J27</f>
        <v/>
      </c>
      <c r="L27" s="25">
        <f>I27 * K27</f>
        <v/>
      </c>
      <c r="M27" s="25">
        <f>I27 * (0.01000000 / 12)</f>
        <v/>
      </c>
      <c r="N27" s="25">
        <f>I27 * (0.00664805 / 12) * 1.0</f>
        <v/>
      </c>
      <c r="O27" s="25">
        <f>I27 * (0.00400000 / 12) * 1.0</f>
        <v/>
      </c>
      <c r="P27" s="25">
        <f>I27 * (0.00500000 / 12) * 1.0</f>
        <v/>
      </c>
      <c r="Q27" s="25">
        <f>Q26 * (K27 / K26) + M27</f>
        <v/>
      </c>
      <c r="R27" s="25">
        <f>R26 * (K27 / K26) + N27</f>
        <v/>
      </c>
      <c r="S27" s="25">
        <f>S26 * (K27 / K26) + O27 + P27</f>
        <v/>
      </c>
      <c r="T27" s="22">
        <f>Q27 + R27 + S27</f>
        <v/>
      </c>
      <c r="U27" s="25">
        <f>MAX(0, -T27)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 t="n">
        <v>293636.0212784387</v>
      </c>
      <c r="J28" s="19" t="n">
        <v>0.8949218586746418</v>
      </c>
      <c r="K28" s="24">
        <f>1 / J28</f>
        <v/>
      </c>
      <c r="L28" s="24">
        <f>I28 * K28</f>
        <v/>
      </c>
      <c r="M28" s="24">
        <f>I28 * (0.01000000 / 12)</f>
        <v/>
      </c>
      <c r="N28" s="24">
        <f>I28 * (0.00664805 / 12) * 1.0</f>
        <v/>
      </c>
      <c r="O28" s="24">
        <f>I28 * (0.00400000 / 12) * 1.0</f>
        <v/>
      </c>
      <c r="P28" s="24">
        <f>I28 * (0.00500000 / 12) * 1.0</f>
        <v/>
      </c>
      <c r="Q28" s="24">
        <f>Q27 * (K28 / K27) + M28</f>
        <v/>
      </c>
      <c r="R28" s="24">
        <f>R27 * (K28 / K27) + N28</f>
        <v/>
      </c>
      <c r="S28" s="24">
        <f>S27 * (K28 / K27) + O28 + P28</f>
        <v/>
      </c>
      <c r="T28" s="20">
        <f>Q28 + R28 + S28</f>
        <v/>
      </c>
      <c r="U28" s="24">
        <f>MAX(0, -T28)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 t="n">
        <v>280840.0003118567</v>
      </c>
      <c r="J29" s="21" t="n">
        <v>0.891276766493043</v>
      </c>
      <c r="K29" s="25">
        <f>1 / J29</f>
        <v/>
      </c>
      <c r="L29" s="25">
        <f>I29 * K29</f>
        <v/>
      </c>
      <c r="M29" s="25">
        <f>I29 * (0.01000000 / 12)</f>
        <v/>
      </c>
      <c r="N29" s="25">
        <f>I29 * (0.00664805 / 12) * 1.0</f>
        <v/>
      </c>
      <c r="O29" s="25">
        <f>I29 * (0.00400000 / 12) * 1.0</f>
        <v/>
      </c>
      <c r="P29" s="25">
        <f>I29 * (0.00500000 / 12) * 1.0</f>
        <v/>
      </c>
      <c r="Q29" s="25">
        <f>Q28 * (K29 / K28) + M29</f>
        <v/>
      </c>
      <c r="R29" s="25">
        <f>R28 * (K29 / K28) + N29</f>
        <v/>
      </c>
      <c r="S29" s="25">
        <f>S28 * (K29 / K28) + O29 + P29</f>
        <v/>
      </c>
      <c r="T29" s="22">
        <f>Q29 + R29 + S29</f>
        <v/>
      </c>
      <c r="U29" s="25">
        <f>MAX(0, -T29)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 t="n">
        <v>267252.7403079683</v>
      </c>
      <c r="J30" s="19" t="n">
        <v>0.8879327510262766</v>
      </c>
      <c r="K30" s="24">
        <f>1 / J30</f>
        <v/>
      </c>
      <c r="L30" s="24">
        <f>I30 * K30</f>
        <v/>
      </c>
      <c r="M30" s="24">
        <f>I30 * (0.01000000 / 12)</f>
        <v/>
      </c>
      <c r="N30" s="24">
        <f>I30 * (0.00664805 / 12) * 1.0</f>
        <v/>
      </c>
      <c r="O30" s="24">
        <f>I30 * (0.00400000 / 12) * 1.0</f>
        <v/>
      </c>
      <c r="P30" s="24">
        <f>I30 * (0.00500000 / 12) * 1.0</f>
        <v/>
      </c>
      <c r="Q30" s="24">
        <f>Q29 * (K30 / K29) + M30</f>
        <v/>
      </c>
      <c r="R30" s="24">
        <f>R29 * (K30 / K29) + N30</f>
        <v/>
      </c>
      <c r="S30" s="24">
        <f>S29 * (K30 / K29) + O30 + P30</f>
        <v/>
      </c>
      <c r="T30" s="20">
        <f>Q30 + R30 + S30</f>
        <v/>
      </c>
      <c r="U30" s="24">
        <f>MAX(0, -T30)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 t="n">
        <v>252545.9655649686</v>
      </c>
      <c r="J31" s="21" t="n">
        <v>0.8843146947350725</v>
      </c>
      <c r="K31" s="25">
        <f>1 / J31</f>
        <v/>
      </c>
      <c r="L31" s="25">
        <f>I31 * K31</f>
        <v/>
      </c>
      <c r="M31" s="25">
        <f>I31 * (0.01000000 / 12)</f>
        <v/>
      </c>
      <c r="N31" s="25">
        <f>I31 * (0.00664805 / 12) * 1.0</f>
        <v/>
      </c>
      <c r="O31" s="25">
        <f>I31 * (0.00400000 / 12) * 1.0</f>
        <v/>
      </c>
      <c r="P31" s="25">
        <f>I31 * (0.00500000 / 12) * 1.0</f>
        <v/>
      </c>
      <c r="Q31" s="25">
        <f>Q30 * (K31 / K30) + M31</f>
        <v/>
      </c>
      <c r="R31" s="25">
        <f>R30 * (K31 / K30) + N31</f>
        <v/>
      </c>
      <c r="S31" s="25">
        <f>S30 * (K31 / K30) + O31 + P31</f>
        <v/>
      </c>
      <c r="T31" s="22">
        <f>Q31 + R31 + S31</f>
        <v/>
      </c>
      <c r="U31" s="25">
        <f>MAX(0, -T31)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 t="n">
        <v>242232.072222665</v>
      </c>
      <c r="J32" s="19" t="n">
        <v>0.8807128064264937</v>
      </c>
      <c r="K32" s="24">
        <f>1 / J32</f>
        <v/>
      </c>
      <c r="L32" s="24">
        <f>I32 * K32</f>
        <v/>
      </c>
      <c r="M32" s="24">
        <f>I32 * (0.01000000 / 12)</f>
        <v/>
      </c>
      <c r="N32" s="24">
        <f>I32 * (0.00664805 / 12) * 1.0</f>
        <v/>
      </c>
      <c r="O32" s="24">
        <f>I32 * (0.00400000 / 12) * 1.0</f>
        <v/>
      </c>
      <c r="P32" s="24">
        <f>I32 * (0.00500000 / 12) * 1.0</f>
        <v/>
      </c>
      <c r="Q32" s="24">
        <f>Q31 * (K32 / K31) + M32</f>
        <v/>
      </c>
      <c r="R32" s="24">
        <f>R31 * (K32 / K31) + N32</f>
        <v/>
      </c>
      <c r="S32" s="24">
        <f>S31 * (K32 / K31) + O32 + P32</f>
        <v/>
      </c>
      <c r="T32" s="20">
        <f>Q32 + R32 + S32</f>
        <v/>
      </c>
      <c r="U32" s="24">
        <f>MAX(0, -T32)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 t="n">
        <v>231448.8103092281</v>
      </c>
      <c r="J33" s="21" t="n">
        <v>0.876771160619923</v>
      </c>
      <c r="K33" s="25">
        <f>1 / J33</f>
        <v/>
      </c>
      <c r="L33" s="25">
        <f>I33 * K33</f>
        <v/>
      </c>
      <c r="M33" s="25">
        <f>I33 * (0.01000000 / 12)</f>
        <v/>
      </c>
      <c r="N33" s="25">
        <f>I33 * (0.00664805 / 12) * 1.0</f>
        <v/>
      </c>
      <c r="O33" s="25">
        <f>I33 * (0.00400000 / 12) * 1.0</f>
        <v/>
      </c>
      <c r="P33" s="25">
        <f>I33 * (0.00500000 / 12) * 1.0</f>
        <v/>
      </c>
      <c r="Q33" s="25">
        <f>Q32 * (K33 / K32) + M33</f>
        <v/>
      </c>
      <c r="R33" s="25">
        <f>R32 * (K33 / K32) + N33</f>
        <v/>
      </c>
      <c r="S33" s="25">
        <f>S32 * (K33 / K32) + O33 + P33</f>
        <v/>
      </c>
      <c r="T33" s="22">
        <f>Q33 + R33 + S33</f>
        <v/>
      </c>
      <c r="U33" s="25">
        <f>MAX(0, -T33)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 t="n">
        <v>214295.1227882557</v>
      </c>
      <c r="J34" s="19" t="n">
        <v>0.8731999977617936</v>
      </c>
      <c r="K34" s="24">
        <f>1 / J34</f>
        <v/>
      </c>
      <c r="L34" s="24">
        <f>I34 * K34</f>
        <v/>
      </c>
      <c r="M34" s="24">
        <f>I34 * (0.01000000 / 12)</f>
        <v/>
      </c>
      <c r="N34" s="24">
        <f>I34 * (0.00664805 / 12) * 1.0</f>
        <v/>
      </c>
      <c r="O34" s="24">
        <f>I34 * (0.00400000 / 12) * 1.0</f>
        <v/>
      </c>
      <c r="P34" s="24">
        <f>I34 * (0.00500000 / 12) * 1.0</f>
        <v/>
      </c>
      <c r="Q34" s="24">
        <f>Q33 * (K34 / K33) + M34</f>
        <v/>
      </c>
      <c r="R34" s="24">
        <f>R33 * (K34 / K33) + N34</f>
        <v/>
      </c>
      <c r="S34" s="24">
        <f>S33 * (K34 / K33) + O34 + P34</f>
        <v/>
      </c>
      <c r="T34" s="20">
        <f>Q34 + R34 + S34</f>
        <v/>
      </c>
      <c r="U34" s="24">
        <f>MAX(0, -T34)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 t="n">
        <v>202901.8502801307</v>
      </c>
      <c r="J35" s="21" t="n">
        <v>0.8699238052165921</v>
      </c>
      <c r="K35" s="25">
        <f>1 / J35</f>
        <v/>
      </c>
      <c r="L35" s="25">
        <f>I35 * K35</f>
        <v/>
      </c>
      <c r="M35" s="25">
        <f>I35 * (0.01000000 / 12)</f>
        <v/>
      </c>
      <c r="N35" s="25">
        <f>I35 * (0.00664805 / 12) * 1.0</f>
        <v/>
      </c>
      <c r="O35" s="25">
        <f>I35 * (0.00400000 / 12) * 1.0</f>
        <v/>
      </c>
      <c r="P35" s="25">
        <f>I35 * (0.00500000 / 12) * 1.0</f>
        <v/>
      </c>
      <c r="Q35" s="25">
        <f>Q34 * (K35 / K34) + M35</f>
        <v/>
      </c>
      <c r="R35" s="25">
        <f>R34 * (K35 / K34) + N35</f>
        <v/>
      </c>
      <c r="S35" s="25">
        <f>S34 * (K35 / K34) + O35 + P35</f>
        <v/>
      </c>
      <c r="T35" s="22">
        <f>Q35 + R35 + S35</f>
        <v/>
      </c>
      <c r="U35" s="25">
        <f>MAX(0, -T35)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 t="n">
        <v>190608.048387968</v>
      </c>
      <c r="J36" s="19" t="n">
        <v>0.8663791299101635</v>
      </c>
      <c r="K36" s="24">
        <f>1 / J36</f>
        <v/>
      </c>
      <c r="L36" s="24">
        <f>I36 * K36</f>
        <v/>
      </c>
      <c r="M36" s="24">
        <f>I36 * (0.01000000 / 12)</f>
        <v/>
      </c>
      <c r="N36" s="24">
        <f>I36 * (0.00664805 / 12) * 1.0</f>
        <v/>
      </c>
      <c r="O36" s="24">
        <f>I36 * (0.00400000 / 12) * 1.0</f>
        <v/>
      </c>
      <c r="P36" s="24">
        <f>I36 * (0.00500000 / 12) * 1.0</f>
        <v/>
      </c>
      <c r="Q36" s="24">
        <f>Q35 * (K36 / K35) + M36</f>
        <v/>
      </c>
      <c r="R36" s="24">
        <f>R35 * (K36 / K35) + N36</f>
        <v/>
      </c>
      <c r="S36" s="24">
        <f>S35 * (K36 / K35) + O36 + P36</f>
        <v/>
      </c>
      <c r="T36" s="20">
        <f>Q36 + R36 + S36</f>
        <v/>
      </c>
      <c r="U36" s="24">
        <f>MAX(0, -T36)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 t="n">
        <v>177715.3624951699</v>
      </c>
      <c r="J37" s="21" t="n">
        <v>0.8628502946692712</v>
      </c>
      <c r="K37" s="25">
        <f>1 / J37</f>
        <v/>
      </c>
      <c r="L37" s="25">
        <f>I37 * K37</f>
        <v/>
      </c>
      <c r="M37" s="25">
        <f>I37 * (0.01000000 / 12)</f>
        <v/>
      </c>
      <c r="N37" s="25">
        <f>I37 * (0.00664805 / 12) * 1.0</f>
        <v/>
      </c>
      <c r="O37" s="25">
        <f>I37 * (0.00400000 / 12) * 1.0</f>
        <v/>
      </c>
      <c r="P37" s="25">
        <f>I37 * (0.00500000 / 12) * 1.0</f>
        <v/>
      </c>
      <c r="Q37" s="25">
        <f>Q36 * (K37 / K36) + M37</f>
        <v/>
      </c>
      <c r="R37" s="25">
        <f>R36 * (K37 / K36) + N37</f>
        <v/>
      </c>
      <c r="S37" s="25">
        <f>S36 * (K37 / K36) + O37 + P37</f>
        <v/>
      </c>
      <c r="T37" s="22">
        <f>Q37 + R37 + S37</f>
        <v/>
      </c>
      <c r="U37" s="25">
        <f>MAX(0, -T37)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 t="n">
        <v>165836.9689542586</v>
      </c>
      <c r="J38" s="19" t="n">
        <v>0.8589885928513071</v>
      </c>
      <c r="K38" s="24">
        <f>1 / J38</f>
        <v/>
      </c>
      <c r="L38" s="24">
        <f>I38 * K38</f>
        <v/>
      </c>
      <c r="M38" s="24">
        <f>I38 * (0.01000000 / 12)</f>
        <v/>
      </c>
      <c r="N38" s="24">
        <f>I38 * (0.00664805 / 12) * 1.0</f>
        <v/>
      </c>
      <c r="O38" s="24">
        <f>I38 * (0.00400000 / 12) * 1.0</f>
        <v/>
      </c>
      <c r="P38" s="24">
        <f>I38 * (0.00500000 / 12) * 1.0</f>
        <v/>
      </c>
      <c r="Q38" s="24">
        <f>Q37 * (K38 / K37) + M38</f>
        <v/>
      </c>
      <c r="R38" s="24">
        <f>R37 * (K38 / K37) + N38</f>
        <v/>
      </c>
      <c r="S38" s="24">
        <f>S37 * (K38 / K37) + O38 + P38</f>
        <v/>
      </c>
      <c r="T38" s="20">
        <f>Q38 + R38 + S38</f>
        <v/>
      </c>
      <c r="U38" s="24">
        <f>MAX(0, -T38)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 t="n">
        <v>159013.6407082776</v>
      </c>
      <c r="J39" s="21" t="n">
        <v>0.8554898598909547</v>
      </c>
      <c r="K39" s="25">
        <f>1 / J39</f>
        <v/>
      </c>
      <c r="L39" s="25">
        <f>I39 * K39</f>
        <v/>
      </c>
      <c r="M39" s="25">
        <f>I39 * (0.01000000 / 12)</f>
        <v/>
      </c>
      <c r="N39" s="25">
        <f>I39 * (0.00664805 / 12) * 1.0</f>
        <v/>
      </c>
      <c r="O39" s="25">
        <f>I39 * (0.00400000 / 12) * 1.0</f>
        <v/>
      </c>
      <c r="P39" s="25">
        <f>I39 * (0.00500000 / 12) * 1.0</f>
        <v/>
      </c>
      <c r="Q39" s="25">
        <f>Q38 * (K39 / K38) + M39</f>
        <v/>
      </c>
      <c r="R39" s="25">
        <f>R38 * (K39 / K38) + N39</f>
        <v/>
      </c>
      <c r="S39" s="25">
        <f>S38 * (K39 / K38) + O39 + P39</f>
        <v/>
      </c>
      <c r="T39" s="22">
        <f>Q39 + R39 + S39</f>
        <v/>
      </c>
      <c r="U39" s="25">
        <f>MAX(0, -T39)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 t="n">
        <v>146724.4289026117</v>
      </c>
      <c r="J40" s="19" t="n">
        <v>0.8522801146909383</v>
      </c>
      <c r="K40" s="24">
        <f>1 / J40</f>
        <v/>
      </c>
      <c r="L40" s="24">
        <f>I40 * K40</f>
        <v/>
      </c>
      <c r="M40" s="24">
        <f>I40 * (0.01000000 / 12)</f>
        <v/>
      </c>
      <c r="N40" s="24">
        <f>I40 * (0.00664805 / 12) * 1.0</f>
        <v/>
      </c>
      <c r="O40" s="24">
        <f>I40 * (0.00400000 / 12) * 1.0</f>
        <v/>
      </c>
      <c r="P40" s="24">
        <f>I40 * (0.00500000 / 12) * 1.0</f>
        <v/>
      </c>
      <c r="Q40" s="24">
        <f>Q39 * (K40 / K39) + M40</f>
        <v/>
      </c>
      <c r="R40" s="24">
        <f>R39 * (K40 / K39) + N40</f>
        <v/>
      </c>
      <c r="S40" s="24">
        <f>S39 * (K40 / K39) + O40 + P40</f>
        <v/>
      </c>
      <c r="T40" s="20">
        <f>Q40 + R40 + S40</f>
        <v/>
      </c>
      <c r="U40" s="24">
        <f>MAX(0, -T40)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 t="n">
        <v>136668.0719399301</v>
      </c>
      <c r="J41" s="21" t="n">
        <v>0.8488073320649324</v>
      </c>
      <c r="K41" s="25">
        <f>1 / J41</f>
        <v/>
      </c>
      <c r="L41" s="25">
        <f>I41 * K41</f>
        <v/>
      </c>
      <c r="M41" s="25">
        <f>I41 * (0.01000000 / 12)</f>
        <v/>
      </c>
      <c r="N41" s="25">
        <f>I41 * (0.00664805 / 12) * 1.0</f>
        <v/>
      </c>
      <c r="O41" s="25">
        <f>I41 * (0.00400000 / 12) * 1.0</f>
        <v/>
      </c>
      <c r="P41" s="25">
        <f>I41 * (0.00500000 / 12) * 1.0</f>
        <v/>
      </c>
      <c r="Q41" s="25">
        <f>Q40 * (K41 / K40) + M41</f>
        <v/>
      </c>
      <c r="R41" s="25">
        <f>R40 * (K41 / K40) + N41</f>
        <v/>
      </c>
      <c r="S41" s="25">
        <f>S40 * (K41 / K40) + O41 + P41</f>
        <v/>
      </c>
      <c r="T41" s="22">
        <f>Q41 + R41 + S41</f>
        <v/>
      </c>
      <c r="U41" s="25">
        <f>MAX(0, -T41)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 t="n">
        <v>130787.5946409811</v>
      </c>
      <c r="J42" s="19" t="n">
        <v>0.845350068238149</v>
      </c>
      <c r="K42" s="24">
        <f>1 / J42</f>
        <v/>
      </c>
      <c r="L42" s="24">
        <f>I42 * K42</f>
        <v/>
      </c>
      <c r="M42" s="24">
        <f>I42 * (0.01000000 / 12)</f>
        <v/>
      </c>
      <c r="N42" s="24">
        <f>I42 * (0.00664805 / 12) * 1.0</f>
        <v/>
      </c>
      <c r="O42" s="24">
        <f>I42 * (0.00400000 / 12) * 1.0</f>
        <v/>
      </c>
      <c r="P42" s="24">
        <f>I42 * (0.00500000 / 12) * 1.0</f>
        <v/>
      </c>
      <c r="Q42" s="24">
        <f>Q41 * (K42 / K41) + M42</f>
        <v/>
      </c>
      <c r="R42" s="24">
        <f>R41 * (K42 / K41) + N42</f>
        <v/>
      </c>
      <c r="S42" s="24">
        <f>S41 * (K42 / K41) + O42 + P42</f>
        <v/>
      </c>
      <c r="T42" s="20">
        <f>Q42 + R42 + S42</f>
        <v/>
      </c>
      <c r="U42" s="24">
        <f>MAX(0, -T42)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 t="n">
        <v>122244.1831150282</v>
      </c>
      <c r="J43" s="21" t="n">
        <v>0.8415666889943804</v>
      </c>
      <c r="K43" s="25">
        <f>1 / J43</f>
        <v/>
      </c>
      <c r="L43" s="25">
        <f>I43 * K43</f>
        <v/>
      </c>
      <c r="M43" s="25">
        <f>I43 * (0.01000000 / 12)</f>
        <v/>
      </c>
      <c r="N43" s="25">
        <f>I43 * (0.00664805 / 12) * 1.0</f>
        <v/>
      </c>
      <c r="O43" s="25">
        <f>I43 * (0.00400000 / 12) * 1.0</f>
        <v/>
      </c>
      <c r="P43" s="25">
        <f>I43 * (0.00500000 / 12) * 1.0</f>
        <v/>
      </c>
      <c r="Q43" s="25">
        <f>Q42 * (K43 / K42) + M43</f>
        <v/>
      </c>
      <c r="R43" s="25">
        <f>R42 * (K43 / K42) + N43</f>
        <v/>
      </c>
      <c r="S43" s="25">
        <f>S42 * (K43 / K42) + O43 + P43</f>
        <v/>
      </c>
      <c r="T43" s="22">
        <f>Q43 + R43 + S43</f>
        <v/>
      </c>
      <c r="U43" s="25">
        <f>MAX(0, -T43)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 t="n">
        <v>114902.9539563743</v>
      </c>
      <c r="J44" s="19" t="n">
        <v>0.8381389169172848</v>
      </c>
      <c r="K44" s="24">
        <f>1 / J44</f>
        <v/>
      </c>
      <c r="L44" s="24">
        <f>I44 * K44</f>
        <v/>
      </c>
      <c r="M44" s="24">
        <f>I44 * (0.01000000 / 12)</f>
        <v/>
      </c>
      <c r="N44" s="24">
        <f>I44 * (0.00664805 / 12) * 1.0</f>
        <v/>
      </c>
      <c r="O44" s="24">
        <f>I44 * (0.00400000 / 12) * 1.0</f>
        <v/>
      </c>
      <c r="P44" s="24">
        <f>I44 * (0.00500000 / 12) * 1.0</f>
        <v/>
      </c>
      <c r="Q44" s="24">
        <f>Q43 * (K44 / K43) + M44</f>
        <v/>
      </c>
      <c r="R44" s="24">
        <f>R43 * (K44 / K43) + N44</f>
        <v/>
      </c>
      <c r="S44" s="24">
        <f>S43 * (K44 / K43) + O44 + P44</f>
        <v/>
      </c>
      <c r="T44" s="20">
        <f>Q44 + R44 + S44</f>
        <v/>
      </c>
      <c r="U44" s="24">
        <f>MAX(0, -T44)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 t="n">
        <v>109487.3858752422</v>
      </c>
      <c r="J45" s="21" t="n">
        <v>0.8349942713853493</v>
      </c>
      <c r="K45" s="25">
        <f>1 / J45</f>
        <v/>
      </c>
      <c r="L45" s="25">
        <f>I45 * K45</f>
        <v/>
      </c>
      <c r="M45" s="25">
        <f>I45 * (0.01000000 / 12)</f>
        <v/>
      </c>
      <c r="N45" s="25">
        <f>I45 * (0.00664805 / 12) * 1.0</f>
        <v/>
      </c>
      <c r="O45" s="25">
        <f>I45 * (0.00400000 / 12) * 1.0</f>
        <v/>
      </c>
      <c r="P45" s="25">
        <f>I45 * (0.00500000 / 12) * 1.0</f>
        <v/>
      </c>
      <c r="Q45" s="25">
        <f>Q44 * (K45 / K44) + M45</f>
        <v/>
      </c>
      <c r="R45" s="25">
        <f>R44 * (K45 / K44) + N45</f>
        <v/>
      </c>
      <c r="S45" s="25">
        <f>S44 * (K45 / K44) + O45 + P45</f>
        <v/>
      </c>
      <c r="T45" s="22">
        <f>Q45 + R45 + S45</f>
        <v/>
      </c>
      <c r="U45" s="25">
        <f>MAX(0, -T45)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 t="n">
        <v>102887.3964323896</v>
      </c>
      <c r="J46" s="19" t="n">
        <v>0.8315919233210243</v>
      </c>
      <c r="K46" s="24">
        <f>1 / J46</f>
        <v/>
      </c>
      <c r="L46" s="24">
        <f>I46 * K46</f>
        <v/>
      </c>
      <c r="M46" s="24">
        <f>I46 * (0.01000000 / 12)</f>
        <v/>
      </c>
      <c r="N46" s="24">
        <f>I46 * (0.00664805 / 12) * 1.0</f>
        <v/>
      </c>
      <c r="O46" s="24">
        <f>I46 * (0.00400000 / 12) * 1.0</f>
        <v/>
      </c>
      <c r="P46" s="24">
        <f>I46 * (0.00500000 / 12) * 1.0</f>
        <v/>
      </c>
      <c r="Q46" s="24">
        <f>Q45 * (K46 / K45) + M46</f>
        <v/>
      </c>
      <c r="R46" s="24">
        <f>R45 * (K46 / K45) + N46</f>
        <v/>
      </c>
      <c r="S46" s="24">
        <f>S45 * (K46 / K45) + O46 + P46</f>
        <v/>
      </c>
      <c r="T46" s="20">
        <f>Q46 + R46 + S46</f>
        <v/>
      </c>
      <c r="U46" s="24">
        <f>MAX(0, -T46)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 t="n">
        <v>94496.74789391654</v>
      </c>
      <c r="J47" s="21" t="n">
        <v>0.8282047793054927</v>
      </c>
      <c r="K47" s="25">
        <f>1 / J47</f>
        <v/>
      </c>
      <c r="L47" s="25">
        <f>I47 * K47</f>
        <v/>
      </c>
      <c r="M47" s="25">
        <f>I47 * (0.01000000 / 12)</f>
        <v/>
      </c>
      <c r="N47" s="25">
        <f>I47 * (0.00664805 / 12) * 1.0</f>
        <v/>
      </c>
      <c r="O47" s="25">
        <f>I47 * (0.00400000 / 12) * 1.0</f>
        <v/>
      </c>
      <c r="P47" s="25">
        <f>I47 * (0.00500000 / 12) * 1.0</f>
        <v/>
      </c>
      <c r="Q47" s="25">
        <f>Q46 * (K47 / K46) + M47</f>
        <v/>
      </c>
      <c r="R47" s="25">
        <f>R46 * (K47 / K46) + N47</f>
        <v/>
      </c>
      <c r="S47" s="25">
        <f>S46 * (K47 / K46) + O47 + P47</f>
        <v/>
      </c>
      <c r="T47" s="22">
        <f>Q47 + R47 + S47</f>
        <v/>
      </c>
      <c r="U47" s="25">
        <f>MAX(0, -T47)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 t="n">
        <v>90223.08337405104</v>
      </c>
      <c r="J48" s="19" t="n">
        <v>0.8244981341068416</v>
      </c>
      <c r="K48" s="24">
        <f>1 / J48</f>
        <v/>
      </c>
      <c r="L48" s="24">
        <f>I48 * K48</f>
        <v/>
      </c>
      <c r="M48" s="24">
        <f>I48 * (0.01000000 / 12)</f>
        <v/>
      </c>
      <c r="N48" s="24">
        <f>I48 * (0.00664805 / 12) * 1.0</f>
        <v/>
      </c>
      <c r="O48" s="24">
        <f>I48 * (0.00400000 / 12) * 1.0</f>
        <v/>
      </c>
      <c r="P48" s="24">
        <f>I48 * (0.00500000 / 12) * 1.0</f>
        <v/>
      </c>
      <c r="Q48" s="24">
        <f>Q47 * (K48 / K47) + M48</f>
        <v/>
      </c>
      <c r="R48" s="24">
        <f>R47 * (K48 / K47) + N48</f>
        <v/>
      </c>
      <c r="S48" s="24">
        <f>S47 * (K48 / K47) + O48 + P48</f>
        <v/>
      </c>
      <c r="T48" s="20">
        <f>Q48 + R48 + S48</f>
        <v/>
      </c>
      <c r="U48" s="24">
        <f>MAX(0, -T48)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 t="n">
        <v>86031.99730521436</v>
      </c>
      <c r="J49" s="21" t="n">
        <v>0.8211398836928596</v>
      </c>
      <c r="K49" s="25">
        <f>1 / J49</f>
        <v/>
      </c>
      <c r="L49" s="25">
        <f>I49 * K49</f>
        <v/>
      </c>
      <c r="M49" s="25">
        <f>I49 * (0.01000000 / 12)</f>
        <v/>
      </c>
      <c r="N49" s="25">
        <f>I49 * (0.00664805 / 12) * 1.0</f>
        <v/>
      </c>
      <c r="O49" s="25">
        <f>I49 * (0.00400000 / 12) * 1.0</f>
        <v/>
      </c>
      <c r="P49" s="25">
        <f>I49 * (0.00500000 / 12) * 1.0</f>
        <v/>
      </c>
      <c r="Q49" s="25">
        <f>Q48 * (K49 / K48) + M49</f>
        <v/>
      </c>
      <c r="R49" s="25">
        <f>R48 * (K49 / K48) + N49</f>
        <v/>
      </c>
      <c r="S49" s="25">
        <f>S48 * (K49 / K48) + O49 + P49</f>
        <v/>
      </c>
      <c r="T49" s="22">
        <f>Q49 + R49 + S49</f>
        <v/>
      </c>
      <c r="U49" s="25">
        <f>MAX(0, -T49)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 t="n">
        <v>82308.37613991545</v>
      </c>
      <c r="J50" s="19" t="n">
        <v>0.8180590174853266</v>
      </c>
      <c r="K50" s="24">
        <f>1 / J50</f>
        <v/>
      </c>
      <c r="L50" s="24">
        <f>I50 * K50</f>
        <v/>
      </c>
      <c r="M50" s="24">
        <f>I50 * (0.01000000 / 12)</f>
        <v/>
      </c>
      <c r="N50" s="24">
        <f>I50 * (0.00664805 / 12) * 1.0</f>
        <v/>
      </c>
      <c r="O50" s="24">
        <f>I50 * (0.00400000 / 12) * 1.0</f>
        <v/>
      </c>
      <c r="P50" s="24">
        <f>I50 * (0.00500000 / 12) * 1.0</f>
        <v/>
      </c>
      <c r="Q50" s="24">
        <f>Q49 * (K50 / K49) + M50</f>
        <v/>
      </c>
      <c r="R50" s="24">
        <f>R49 * (K50 / K49) + N50</f>
        <v/>
      </c>
      <c r="S50" s="24">
        <f>S49 * (K50 / K49) + O50 + P50</f>
        <v/>
      </c>
      <c r="T50" s="20">
        <f>Q50 + R50 + S50</f>
        <v/>
      </c>
      <c r="U50" s="24">
        <f>MAX(0, -T50)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 t="n">
        <v>76692.30532184892</v>
      </c>
      <c r="J51" s="21" t="n">
        <v>0.8147256754373302</v>
      </c>
      <c r="K51" s="25">
        <f>1 / J51</f>
        <v/>
      </c>
      <c r="L51" s="25">
        <f>I51 * K51</f>
        <v/>
      </c>
      <c r="M51" s="25">
        <f>I51 * (0.01000000 / 12)</f>
        <v/>
      </c>
      <c r="N51" s="25">
        <f>I51 * (0.00664805 / 12) * 1.0</f>
        <v/>
      </c>
      <c r="O51" s="25">
        <f>I51 * (0.00400000 / 12) * 1.0</f>
        <v/>
      </c>
      <c r="P51" s="25">
        <f>I51 * (0.00500000 / 12) * 1.0</f>
        <v/>
      </c>
      <c r="Q51" s="25">
        <f>Q50 * (K51 / K50) + M51</f>
        <v/>
      </c>
      <c r="R51" s="25">
        <f>R50 * (K51 / K50) + N51</f>
        <v/>
      </c>
      <c r="S51" s="25">
        <f>S50 * (K51 / K50) + O51 + P51</f>
        <v/>
      </c>
      <c r="T51" s="22">
        <f>Q51 + R51 + S51</f>
        <v/>
      </c>
      <c r="U51" s="25">
        <f>MAX(0, -T51)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 t="n">
        <v>70786.46805391149</v>
      </c>
      <c r="J52" s="19" t="n">
        <v>0.811407229071429</v>
      </c>
      <c r="K52" s="24">
        <f>1 / J52</f>
        <v/>
      </c>
      <c r="L52" s="24">
        <f>I52 * K52</f>
        <v/>
      </c>
      <c r="M52" s="24">
        <f>I52 * (0.01000000 / 12)</f>
        <v/>
      </c>
      <c r="N52" s="24">
        <f>I52 * (0.00664805 / 12) * 1.0</f>
        <v/>
      </c>
      <c r="O52" s="24">
        <f>I52 * (0.00400000 / 12) * 1.0</f>
        <v/>
      </c>
      <c r="P52" s="24">
        <f>I52 * (0.00500000 / 12) * 1.0</f>
        <v/>
      </c>
      <c r="Q52" s="24">
        <f>Q51 * (K52 / K51) + M52</f>
        <v/>
      </c>
      <c r="R52" s="24">
        <f>R51 * (K52 / K51) + N52</f>
        <v/>
      </c>
      <c r="S52" s="24">
        <f>S51 * (K52 / K51) + O52 + P52</f>
        <v/>
      </c>
      <c r="T52" s="20">
        <f>Q52 + R52 + S52</f>
        <v/>
      </c>
      <c r="U52" s="24">
        <f>MAX(0, -T52)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 t="n">
        <v>67078.34417185998</v>
      </c>
      <c r="J53" s="21" t="n">
        <v>0.8077757616071739</v>
      </c>
      <c r="K53" s="25">
        <f>1 / J53</f>
        <v/>
      </c>
      <c r="L53" s="25">
        <f>I53 * K53</f>
        <v/>
      </c>
      <c r="M53" s="25">
        <f>I53 * (0.01000000 / 12)</f>
        <v/>
      </c>
      <c r="N53" s="25">
        <f>I53 * (0.00664805 / 12) * 1.0</f>
        <v/>
      </c>
      <c r="O53" s="25">
        <f>I53 * (0.00400000 / 12) * 1.0</f>
        <v/>
      </c>
      <c r="P53" s="25">
        <f>I53 * (0.00500000 / 12) * 1.0</f>
        <v/>
      </c>
      <c r="Q53" s="25">
        <f>Q52 * (K53 / K52) + M53</f>
        <v/>
      </c>
      <c r="R53" s="25">
        <f>R52 * (K53 / K52) + N53</f>
        <v/>
      </c>
      <c r="S53" s="25">
        <f>S52 * (K53 / K52) + O53 + P53</f>
        <v/>
      </c>
      <c r="T53" s="22">
        <f>Q53 + R53 + S53</f>
        <v/>
      </c>
      <c r="U53" s="25">
        <f>MAX(0, -T53)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 t="n">
        <v>64171.63420789787</v>
      </c>
      <c r="J54" s="19" t="n">
        <v>0.8044856228262529</v>
      </c>
      <c r="K54" s="24">
        <f>1 / J54</f>
        <v/>
      </c>
      <c r="L54" s="24">
        <f>I54 * K54</f>
        <v/>
      </c>
      <c r="M54" s="24">
        <f>I54 * (0.01000000 / 12)</f>
        <v/>
      </c>
      <c r="N54" s="24">
        <f>I54 * (0.00664805 / 12) * 1.0</f>
        <v/>
      </c>
      <c r="O54" s="24">
        <f>I54 * (0.00400000 / 12) * 1.0</f>
        <v/>
      </c>
      <c r="P54" s="24">
        <f>I54 * (0.00500000 / 12) * 1.0</f>
        <v/>
      </c>
      <c r="Q54" s="24">
        <f>Q53 * (K54 / K53) + M54</f>
        <v/>
      </c>
      <c r="R54" s="24">
        <f>R53 * (K54 / K53) + N54</f>
        <v/>
      </c>
      <c r="S54" s="24">
        <f>S53 * (K54 / K53) + O54 + P54</f>
        <v/>
      </c>
      <c r="T54" s="20">
        <f>Q54 + R54 + S54</f>
        <v/>
      </c>
      <c r="U54" s="24">
        <f>MAX(0, -T54)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 t="n">
        <v>60443.21888046291</v>
      </c>
      <c r="J55" s="21" t="n">
        <v>0.8014672423784964</v>
      </c>
      <c r="K55" s="25">
        <f>1 / J55</f>
        <v/>
      </c>
      <c r="L55" s="25">
        <f>I55 * K55</f>
        <v/>
      </c>
      <c r="M55" s="25">
        <f>I55 * (0.01000000 / 12)</f>
        <v/>
      </c>
      <c r="N55" s="25">
        <f>I55 * (0.00664805 / 12) * 1.0</f>
        <v/>
      </c>
      <c r="O55" s="25">
        <f>I55 * (0.00400000 / 12) * 1.0</f>
        <v/>
      </c>
      <c r="P55" s="25">
        <f>I55 * (0.00500000 / 12) * 1.0</f>
        <v/>
      </c>
      <c r="Q55" s="25">
        <f>Q54 * (K55 / K54) + M55</f>
        <v/>
      </c>
      <c r="R55" s="25">
        <f>R54 * (K55 / K54) + N55</f>
        <v/>
      </c>
      <c r="S55" s="25">
        <f>S54 * (K55 / K54) + O55 + P55</f>
        <v/>
      </c>
      <c r="T55" s="22">
        <f>Q55 + R55 + S55</f>
        <v/>
      </c>
      <c r="U55" s="25">
        <f>MAX(0, -T55)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 t="n">
        <v>57567.3538471535</v>
      </c>
      <c r="J56" s="19" t="n">
        <v>0.7982015067750625</v>
      </c>
      <c r="K56" s="24">
        <f>1 / J56</f>
        <v/>
      </c>
      <c r="L56" s="24">
        <f>I56 * K56</f>
        <v/>
      </c>
      <c r="M56" s="24">
        <f>I56 * (0.01000000 / 12)</f>
        <v/>
      </c>
      <c r="N56" s="24">
        <f>I56 * (0.00664805 / 12) * 1.0</f>
        <v/>
      </c>
      <c r="O56" s="24">
        <f>I56 * (0.00400000 / 12) * 1.0</f>
        <v/>
      </c>
      <c r="P56" s="24">
        <f>I56 * (0.00500000 / 12) * 1.0</f>
        <v/>
      </c>
      <c r="Q56" s="24">
        <f>Q55 * (K56 / K55) + M56</f>
        <v/>
      </c>
      <c r="R56" s="24">
        <f>R55 * (K56 / K55) + N56</f>
        <v/>
      </c>
      <c r="S56" s="24">
        <f>S55 * (K56 / K55) + O56 + P56</f>
        <v/>
      </c>
      <c r="T56" s="20">
        <f>Q56 + R56 + S56</f>
        <v/>
      </c>
      <c r="U56" s="24">
        <f>MAX(0, -T56)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 t="n">
        <v>53328.71466337418</v>
      </c>
      <c r="J57" s="21" t="n">
        <v>0.794950364741282</v>
      </c>
      <c r="K57" s="25">
        <f>1 / J57</f>
        <v/>
      </c>
      <c r="L57" s="25">
        <f>I57 * K57</f>
        <v/>
      </c>
      <c r="M57" s="25">
        <f>I57 * (0.01000000 / 12)</f>
        <v/>
      </c>
      <c r="N57" s="25">
        <f>I57 * (0.00664805 / 12) * 1.0</f>
        <v/>
      </c>
      <c r="O57" s="25">
        <f>I57 * (0.00400000 / 12) * 1.0</f>
        <v/>
      </c>
      <c r="P57" s="25">
        <f>I57 * (0.00500000 / 12) * 1.0</f>
        <v/>
      </c>
      <c r="Q57" s="25">
        <f>Q56 * (K57 / K56) + M57</f>
        <v/>
      </c>
      <c r="R57" s="25">
        <f>R56 * (K57 / K56) + N57</f>
        <v/>
      </c>
      <c r="S57" s="25">
        <f>S56 * (K57 / K56) + O57 + P57</f>
        <v/>
      </c>
      <c r="T57" s="22">
        <f>Q57 + R57 + S57</f>
        <v/>
      </c>
      <c r="U57" s="25">
        <f>MAX(0, -T57)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 t="n">
        <v>51014.39721006631</v>
      </c>
      <c r="J58" s="19" t="n">
        <v>0.7913925502656095</v>
      </c>
      <c r="K58" s="24">
        <f>1 / J58</f>
        <v/>
      </c>
      <c r="L58" s="24">
        <f>I58 * K58</f>
        <v/>
      </c>
      <c r="M58" s="24">
        <f>I58 * (0.01000000 / 12)</f>
        <v/>
      </c>
      <c r="N58" s="24">
        <f>I58 * (0.00664805 / 12) * 1.0</f>
        <v/>
      </c>
      <c r="O58" s="24">
        <f>I58 * (0.00400000 / 12) * 1.0</f>
        <v/>
      </c>
      <c r="P58" s="24">
        <f>I58 * (0.00500000 / 12) * 1.0</f>
        <v/>
      </c>
      <c r="Q58" s="24">
        <f>Q57 * (K58 / K57) + M58</f>
        <v/>
      </c>
      <c r="R58" s="24">
        <f>R57 * (K58 / K57) + N58</f>
        <v/>
      </c>
      <c r="S58" s="24">
        <f>S57 * (K58 / K57) + O58 + P58</f>
        <v/>
      </c>
      <c r="T58" s="20">
        <f>Q58 + R58 + S58</f>
        <v/>
      </c>
      <c r="U58" s="24">
        <f>MAX(0, -T58)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 t="n">
        <v>48695.9245162189</v>
      </c>
      <c r="J59" s="21" t="n">
        <v>0.7881691416857578</v>
      </c>
      <c r="K59" s="25">
        <f>1 / J59</f>
        <v/>
      </c>
      <c r="L59" s="25">
        <f>I59 * K59</f>
        <v/>
      </c>
      <c r="M59" s="25">
        <f>I59 * (0.01000000 / 12)</f>
        <v/>
      </c>
      <c r="N59" s="25">
        <f>I59 * (0.00664805 / 12) * 1.0</f>
        <v/>
      </c>
      <c r="O59" s="25">
        <f>I59 * (0.00400000 / 12) * 1.0</f>
        <v/>
      </c>
      <c r="P59" s="25">
        <f>I59 * (0.00500000 / 12) * 1.0</f>
        <v/>
      </c>
      <c r="Q59" s="25">
        <f>Q58 * (K59 / K58) + M59</f>
        <v/>
      </c>
      <c r="R59" s="25">
        <f>R58 * (K59 / K58) + N59</f>
        <v/>
      </c>
      <c r="S59" s="25">
        <f>S58 * (K59 / K58) + O59 + P59</f>
        <v/>
      </c>
      <c r="T59" s="22">
        <f>Q59 + R59 + S59</f>
        <v/>
      </c>
      <c r="U59" s="25">
        <f>MAX(0, -T59)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 t="n">
        <v>46684.85064682259</v>
      </c>
      <c r="J60" s="19" t="n">
        <v>0.7852119796690749</v>
      </c>
      <c r="K60" s="24">
        <f>1 / J60</f>
        <v/>
      </c>
      <c r="L60" s="24">
        <f>I60 * K60</f>
        <v/>
      </c>
      <c r="M60" s="24">
        <f>I60 * (0.01000000 / 12)</f>
        <v/>
      </c>
      <c r="N60" s="24">
        <f>I60 * (0.00664805 / 12) * 1.0</f>
        <v/>
      </c>
      <c r="O60" s="24">
        <f>I60 * (0.00400000 / 12) * 1.0</f>
        <v/>
      </c>
      <c r="P60" s="24">
        <f>I60 * (0.00500000 / 12) * 1.0</f>
        <v/>
      </c>
      <c r="Q60" s="24">
        <f>Q59 * (K60 / K59) + M60</f>
        <v/>
      </c>
      <c r="R60" s="24">
        <f>R59 * (K60 / K59) + N60</f>
        <v/>
      </c>
      <c r="S60" s="24">
        <f>S59 * (K60 / K59) + O60 + P60</f>
        <v/>
      </c>
      <c r="T60" s="20">
        <f>Q60 + R60 + S60</f>
        <v/>
      </c>
      <c r="U60" s="24">
        <f>MAX(0, -T60)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 t="n">
        <v>44000.66293411604</v>
      </c>
      <c r="J61" s="21" t="n">
        <v>0.7820124793243844</v>
      </c>
      <c r="K61" s="25">
        <f>1 / J61</f>
        <v/>
      </c>
      <c r="L61" s="25">
        <f>I61 * K61</f>
        <v/>
      </c>
      <c r="M61" s="25">
        <f>I61 * (0.01000000 / 12)</f>
        <v/>
      </c>
      <c r="N61" s="25">
        <f>I61 * (0.00664805 / 12) * 1.0</f>
        <v/>
      </c>
      <c r="O61" s="25">
        <f>I61 * (0.00400000 / 12) * 1.0</f>
        <v/>
      </c>
      <c r="P61" s="25">
        <f>I61 * (0.00500000 / 12) * 1.0</f>
        <v/>
      </c>
      <c r="Q61" s="25">
        <f>Q60 * (K61 / K60) + M61</f>
        <v/>
      </c>
      <c r="R61" s="25">
        <f>R60 * (K61 / K60) + N61</f>
        <v/>
      </c>
      <c r="S61" s="25">
        <f>S60 * (K61 / K60) + O61 + P61</f>
        <v/>
      </c>
      <c r="T61" s="22">
        <f>Q61 + R61 + S61</f>
        <v/>
      </c>
      <c r="U61" s="25">
        <f>MAX(0, -T61)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 t="n">
        <v>41402.83030723777</v>
      </c>
      <c r="J62" s="19" t="n">
        <v>0.7788272765643138</v>
      </c>
      <c r="K62" s="24">
        <f>1 / J62</f>
        <v/>
      </c>
      <c r="L62" s="24">
        <f>I62 * K62</f>
        <v/>
      </c>
      <c r="M62" s="24">
        <f>I62 * (0.01000000 / 12)</f>
        <v/>
      </c>
      <c r="N62" s="24">
        <f>I62 * (0.00664805 / 12) * 1.0</f>
        <v/>
      </c>
      <c r="O62" s="24">
        <f>I62 * (0.00400000 / 12) * 1.0</f>
        <v/>
      </c>
      <c r="P62" s="24">
        <f>I62 * (0.00500000 / 12) * 1.0</f>
        <v/>
      </c>
      <c r="Q62" s="24">
        <f>Q61 * (K62 / K61) + M62</f>
        <v/>
      </c>
      <c r="R62" s="24">
        <f>R61 * (K62 / K61) + N62</f>
        <v/>
      </c>
      <c r="S62" s="24">
        <f>S61 * (K62 / K61) + O62 + P62</f>
        <v/>
      </c>
      <c r="T62" s="20">
        <f>Q62 + R62 + S62</f>
        <v/>
      </c>
      <c r="U62" s="24">
        <f>MAX(0, -T62)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 t="n">
        <v>39281.57934698958</v>
      </c>
      <c r="J63" s="21" t="n">
        <v>0.7753416212561224</v>
      </c>
      <c r="K63" s="25">
        <f>1 / J63</f>
        <v/>
      </c>
      <c r="L63" s="25">
        <f>I63 * K63</f>
        <v/>
      </c>
      <c r="M63" s="25">
        <f>I63 * (0.01000000 / 12)</f>
        <v/>
      </c>
      <c r="N63" s="25">
        <f>I63 * (0.00664805 / 12) * 1.0</f>
        <v/>
      </c>
      <c r="O63" s="25">
        <f>I63 * (0.00400000 / 12) * 1.0</f>
        <v/>
      </c>
      <c r="P63" s="25">
        <f>I63 * (0.00500000 / 12) * 1.0</f>
        <v/>
      </c>
      <c r="Q63" s="25">
        <f>Q62 * (K63 / K62) + M63</f>
        <v/>
      </c>
      <c r="R63" s="25">
        <f>R62 * (K63 / K62) + N63</f>
        <v/>
      </c>
      <c r="S63" s="25">
        <f>S62 * (K63 / K62) + O63 + P63</f>
        <v/>
      </c>
      <c r="T63" s="22">
        <f>Q63 + R63 + S63</f>
        <v/>
      </c>
      <c r="U63" s="25">
        <f>MAX(0, -T63)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 t="n">
        <v>36771.52354831482</v>
      </c>
      <c r="J64" s="19" t="n">
        <v>0.7721835894633865</v>
      </c>
      <c r="K64" s="24">
        <f>1 / J64</f>
        <v/>
      </c>
      <c r="L64" s="24">
        <f>I64 * K64</f>
        <v/>
      </c>
      <c r="M64" s="24">
        <f>I64 * (0.01000000 / 12)</f>
        <v/>
      </c>
      <c r="N64" s="24">
        <f>I64 * (0.00664805 / 12) * 1.0</f>
        <v/>
      </c>
      <c r="O64" s="24">
        <f>I64 * (0.00400000 / 12) * 1.0</f>
        <v/>
      </c>
      <c r="P64" s="24">
        <f>I64 * (0.00500000 / 12) * 1.0</f>
        <v/>
      </c>
      <c r="Q64" s="24">
        <f>Q63 * (K64 / K63) + M64</f>
        <v/>
      </c>
      <c r="R64" s="24">
        <f>R63 * (K64 / K63) + N64</f>
        <v/>
      </c>
      <c r="S64" s="24">
        <f>S63 * (K64 / K63) + O64 + P64</f>
        <v/>
      </c>
      <c r="T64" s="20">
        <f>Q64 + R64 + S64</f>
        <v/>
      </c>
      <c r="U64" s="24">
        <f>MAX(0, -T64)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 t="n">
        <v>34302.95102277207</v>
      </c>
      <c r="J65" s="21" t="n">
        <v>0.7692864042528833</v>
      </c>
      <c r="K65" s="25">
        <f>1 / J65</f>
        <v/>
      </c>
      <c r="L65" s="25">
        <f>I65 * K65</f>
        <v/>
      </c>
      <c r="M65" s="25">
        <f>I65 * (0.01000000 / 12)</f>
        <v/>
      </c>
      <c r="N65" s="25">
        <f>I65 * (0.00664805 / 12) * 1.0</f>
        <v/>
      </c>
      <c r="O65" s="25">
        <f>I65 * (0.00400000 / 12) * 1.0</f>
        <v/>
      </c>
      <c r="P65" s="25">
        <f>I65 * (0.00500000 / 12) * 1.0</f>
        <v/>
      </c>
      <c r="Q65" s="25">
        <f>Q64 * (K65 / K64) + M65</f>
        <v/>
      </c>
      <c r="R65" s="25">
        <f>R64 * (K65 / K64) + N65</f>
        <v/>
      </c>
      <c r="S65" s="25">
        <f>S64 * (K65 / K64) + O65 + P65</f>
        <v/>
      </c>
      <c r="T65" s="22">
        <f>Q65 + R65 + S65</f>
        <v/>
      </c>
      <c r="U65" s="25">
        <f>MAX(0, -T65)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 t="n">
        <v>32330.21686631411</v>
      </c>
      <c r="J66" s="19" t="n">
        <v>0.766151795791344</v>
      </c>
      <c r="K66" s="24">
        <f>1 / J66</f>
        <v/>
      </c>
      <c r="L66" s="24">
        <f>I66 * K66</f>
        <v/>
      </c>
      <c r="M66" s="24">
        <f>I66 * (0.01000000 / 12)</f>
        <v/>
      </c>
      <c r="N66" s="24">
        <f>I66 * (0.00664805 / 12) * 1.0</f>
        <v/>
      </c>
      <c r="O66" s="24">
        <f>I66 * (0.00400000 / 12) * 1.0</f>
        <v/>
      </c>
      <c r="P66" s="24">
        <f>I66 * (0.00500000 / 12) * 1.0</f>
        <v/>
      </c>
      <c r="Q66" s="24">
        <f>Q65 * (K66 / K65) + M66</f>
        <v/>
      </c>
      <c r="R66" s="24">
        <f>R65 * (K66 / K65) + N66</f>
        <v/>
      </c>
      <c r="S66" s="24">
        <f>S65 * (K66 / K65) + O66 + P66</f>
        <v/>
      </c>
      <c r="T66" s="20">
        <f>Q66 + R66 + S66</f>
        <v/>
      </c>
      <c r="U66" s="24">
        <f>MAX(0, -T66)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 t="n">
        <v>30295.7985958085</v>
      </c>
      <c r="J67" s="21" t="n">
        <v>0.7630311949325239</v>
      </c>
      <c r="K67" s="25">
        <f>1 / J67</f>
        <v/>
      </c>
      <c r="L67" s="25">
        <f>I67 * K67</f>
        <v/>
      </c>
      <c r="M67" s="25">
        <f>I67 * (0.01000000 / 12)</f>
        <v/>
      </c>
      <c r="N67" s="25">
        <f>I67 * (0.00664805 / 12) * 1.0</f>
        <v/>
      </c>
      <c r="O67" s="25">
        <f>I67 * (0.00400000 / 12) * 1.0</f>
        <v/>
      </c>
      <c r="P67" s="25">
        <f>I67 * (0.00500000 / 12) * 1.0</f>
        <v/>
      </c>
      <c r="Q67" s="25">
        <f>Q66 * (K67 / K66) + M67</f>
        <v/>
      </c>
      <c r="R67" s="25">
        <f>R66 * (K67 / K66) + N67</f>
        <v/>
      </c>
      <c r="S67" s="25">
        <f>S66 * (K67 / K66) + O67 + P67</f>
        <v/>
      </c>
      <c r="T67" s="22">
        <f>Q67 + R67 + S67</f>
        <v/>
      </c>
      <c r="U67" s="25">
        <f>MAX(0, -T67)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 t="n">
        <v>27807.74361896707</v>
      </c>
      <c r="J68" s="19" t="n">
        <v>0.7596162352682131</v>
      </c>
      <c r="K68" s="24">
        <f>1 / J68</f>
        <v/>
      </c>
      <c r="L68" s="24">
        <f>I68 * K68</f>
        <v/>
      </c>
      <c r="M68" s="24">
        <f>I68 * (0.01000000 / 12)</f>
        <v/>
      </c>
      <c r="N68" s="24">
        <f>I68 * (0.00664805 / 12) * 1.0</f>
        <v/>
      </c>
      <c r="O68" s="24">
        <f>I68 * (0.00400000 / 12) * 1.0</f>
        <v/>
      </c>
      <c r="P68" s="24">
        <f>I68 * (0.00500000 / 12) * 1.0</f>
        <v/>
      </c>
      <c r="Q68" s="24">
        <f>Q67 * (K68 / K67) + M68</f>
        <v/>
      </c>
      <c r="R68" s="24">
        <f>R67 * (K68 / K67) + N68</f>
        <v/>
      </c>
      <c r="S68" s="24">
        <f>S67 * (K68 / K67) + O68 + P68</f>
        <v/>
      </c>
      <c r="T68" s="20">
        <f>Q68 + R68 + S68</f>
        <v/>
      </c>
      <c r="U68" s="24">
        <f>MAX(0, -T68)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 t="n">
        <v>26179.3027975787</v>
      </c>
      <c r="J69" s="21" t="n">
        <v>0.7565222542984195</v>
      </c>
      <c r="K69" s="25">
        <f>1 / J69</f>
        <v/>
      </c>
      <c r="L69" s="25">
        <f>I69 * K69</f>
        <v/>
      </c>
      <c r="M69" s="25">
        <f>I69 * (0.01000000 / 12)</f>
        <v/>
      </c>
      <c r="N69" s="25">
        <f>I69 * (0.00664805 / 12) * 1.0</f>
        <v/>
      </c>
      <c r="O69" s="25">
        <f>I69 * (0.00400000 / 12) * 1.0</f>
        <v/>
      </c>
      <c r="P69" s="25">
        <f>I69 * (0.00500000 / 12) * 1.0</f>
        <v/>
      </c>
      <c r="Q69" s="25">
        <f>Q68 * (K69 / K68) + M69</f>
        <v/>
      </c>
      <c r="R69" s="25">
        <f>R68 * (K69 / K68) + N69</f>
        <v/>
      </c>
      <c r="S69" s="25">
        <f>S68 * (K69 / K68) + O69 + P69</f>
        <v/>
      </c>
      <c r="T69" s="22">
        <f>Q69 + R69 + S69</f>
        <v/>
      </c>
      <c r="U69" s="25">
        <f>MAX(0, -T69)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 t="n">
        <v>24454.40552947273</v>
      </c>
      <c r="J70" s="19" t="n">
        <v>0.7536838294516895</v>
      </c>
      <c r="K70" s="24">
        <f>1 / J70</f>
        <v/>
      </c>
      <c r="L70" s="24">
        <f>I70 * K70</f>
        <v/>
      </c>
      <c r="M70" s="24">
        <f>I70 * (0.01000000 / 12)</f>
        <v/>
      </c>
      <c r="N70" s="24">
        <f>I70 * (0.00664805 / 12) * 1.0</f>
        <v/>
      </c>
      <c r="O70" s="24">
        <f>I70 * (0.00400000 / 12) * 1.0</f>
        <v/>
      </c>
      <c r="P70" s="24">
        <f>I70 * (0.00500000 / 12) * 1.0</f>
        <v/>
      </c>
      <c r="Q70" s="24">
        <f>Q69 * (K70 / K69) + M70</f>
        <v/>
      </c>
      <c r="R70" s="24">
        <f>R69 * (K70 / K69) + N70</f>
        <v/>
      </c>
      <c r="S70" s="24">
        <f>S69 * (K70 / K69) + O70 + P70</f>
        <v/>
      </c>
      <c r="T70" s="20">
        <f>Q70 + R70 + S70</f>
        <v/>
      </c>
      <c r="U70" s="24">
        <f>MAX(0, -T70)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 t="n">
        <v>23428.24718369643</v>
      </c>
      <c r="J71" s="21" t="n">
        <v>0.7506127967438919</v>
      </c>
      <c r="K71" s="25">
        <f>1 / J71</f>
        <v/>
      </c>
      <c r="L71" s="25">
        <f>I71 * K71</f>
        <v/>
      </c>
      <c r="M71" s="25">
        <f>I71 * (0.01000000 / 12)</f>
        <v/>
      </c>
      <c r="N71" s="25">
        <f>I71 * (0.00664805 / 12) * 1.0</f>
        <v/>
      </c>
      <c r="O71" s="25">
        <f>I71 * (0.00400000 / 12) * 1.0</f>
        <v/>
      </c>
      <c r="P71" s="25">
        <f>I71 * (0.00500000 / 12) * 1.0</f>
        <v/>
      </c>
      <c r="Q71" s="25">
        <f>Q70 * (K71 / K70) + M71</f>
        <v/>
      </c>
      <c r="R71" s="25">
        <f>R70 * (K71 / K70) + N71</f>
        <v/>
      </c>
      <c r="S71" s="25">
        <f>S70 * (K71 / K70) + O71 + P71</f>
        <v/>
      </c>
      <c r="T71" s="22">
        <f>Q71 + R71 + S71</f>
        <v/>
      </c>
      <c r="U71" s="25">
        <f>MAX(0, -T71)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 t="n">
        <v>21558.67514689395</v>
      </c>
      <c r="J72" s="19" t="n">
        <v>0.7475554875382914</v>
      </c>
      <c r="K72" s="24">
        <f>1 / J72</f>
        <v/>
      </c>
      <c r="L72" s="24">
        <f>I72 * K72</f>
        <v/>
      </c>
      <c r="M72" s="24">
        <f>I72 * (0.01000000 / 12)</f>
        <v/>
      </c>
      <c r="N72" s="24">
        <f>I72 * (0.00664805 / 12) * 1.0</f>
        <v/>
      </c>
      <c r="O72" s="24">
        <f>I72 * (0.00400000 / 12) * 1.0</f>
        <v/>
      </c>
      <c r="P72" s="24">
        <f>I72 * (0.00500000 / 12) * 1.0</f>
        <v/>
      </c>
      <c r="Q72" s="24">
        <f>Q71 * (K72 / K71) + M72</f>
        <v/>
      </c>
      <c r="R72" s="24">
        <f>R71 * (K72 / K71) + N72</f>
        <v/>
      </c>
      <c r="S72" s="24">
        <f>S71 * (K72 / K71) + O72 + P72</f>
        <v/>
      </c>
      <c r="T72" s="20">
        <f>Q72 + R72 + S72</f>
        <v/>
      </c>
      <c r="U72" s="24">
        <f>MAX(0, -T72)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 t="n">
        <v>20394.29507357927</v>
      </c>
      <c r="J73" s="21" t="n">
        <v>0.7442097896772711</v>
      </c>
      <c r="K73" s="25">
        <f>1 / J73</f>
        <v/>
      </c>
      <c r="L73" s="25">
        <f>I73 * K73</f>
        <v/>
      </c>
      <c r="M73" s="25">
        <f>I73 * (0.01000000 / 12)</f>
        <v/>
      </c>
      <c r="N73" s="25">
        <f>I73 * (0.00664805 / 12) * 1.0</f>
        <v/>
      </c>
      <c r="O73" s="25">
        <f>I73 * (0.00400000 / 12) * 1.0</f>
        <v/>
      </c>
      <c r="P73" s="25">
        <f>I73 * (0.00500000 / 12) * 1.0</f>
        <v/>
      </c>
      <c r="Q73" s="25">
        <f>Q72 * (K73 / K72) + M73</f>
        <v/>
      </c>
      <c r="R73" s="25">
        <f>R72 * (K73 / K72) + N73</f>
        <v/>
      </c>
      <c r="S73" s="25">
        <f>S72 * (K73 / K72) + O73 + P73</f>
        <v/>
      </c>
      <c r="T73" s="22">
        <f>Q73 + R73 + S73</f>
        <v/>
      </c>
      <c r="U73" s="25">
        <f>MAX(0, -T73)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 t="n">
        <v>19491.37098043591</v>
      </c>
      <c r="J74" s="19" t="n">
        <v>0.741178560459293</v>
      </c>
      <c r="K74" s="24">
        <f>1 / J74</f>
        <v/>
      </c>
      <c r="L74" s="24">
        <f>I74 * K74</f>
        <v/>
      </c>
      <c r="M74" s="24">
        <f>I74 * (0.01000000 / 12)</f>
        <v/>
      </c>
      <c r="N74" s="24">
        <f>I74 * (0.00664805 / 12) * 1.0</f>
        <v/>
      </c>
      <c r="O74" s="24">
        <f>I74 * (0.00400000 / 12) * 1.0</f>
        <v/>
      </c>
      <c r="P74" s="24">
        <f>I74 * (0.00500000 / 12) * 1.0</f>
        <v/>
      </c>
      <c r="Q74" s="24">
        <f>Q73 * (K74 / K73) + M74</f>
        <v/>
      </c>
      <c r="R74" s="24">
        <f>R73 * (K74 / K73) + N74</f>
        <v/>
      </c>
      <c r="S74" s="24">
        <f>S73 * (K74 / K73) + O74 + P74</f>
        <v/>
      </c>
      <c r="T74" s="20">
        <f>Q74 + R74 + S74</f>
        <v/>
      </c>
      <c r="U74" s="24">
        <f>MAX(0, -T74)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 t="n">
        <v>18590.66245323255</v>
      </c>
      <c r="J75" s="21" t="n">
        <v>0.7383977042056694</v>
      </c>
      <c r="K75" s="25">
        <f>1 / J75</f>
        <v/>
      </c>
      <c r="L75" s="25">
        <f>I75 * K75</f>
        <v/>
      </c>
      <c r="M75" s="25">
        <f>I75 * (0.01000000 / 12)</f>
        <v/>
      </c>
      <c r="N75" s="25">
        <f>I75 * (0.00664805 / 12) * 1.0</f>
        <v/>
      </c>
      <c r="O75" s="25">
        <f>I75 * (0.00400000 / 12) * 1.0</f>
        <v/>
      </c>
      <c r="P75" s="25">
        <f>I75 * (0.00500000 / 12) * 1.0</f>
        <v/>
      </c>
      <c r="Q75" s="25">
        <f>Q74 * (K75 / K74) + M75</f>
        <v/>
      </c>
      <c r="R75" s="25">
        <f>R74 * (K75 / K74) + N75</f>
        <v/>
      </c>
      <c r="S75" s="25">
        <f>S74 * (K75 / K74) + O75 + P75</f>
        <v/>
      </c>
      <c r="T75" s="22">
        <f>Q75 + R75 + S75</f>
        <v/>
      </c>
      <c r="U75" s="25">
        <f>MAX(0, -T75)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 t="n">
        <v>17569.76433209274</v>
      </c>
      <c r="J76" s="19" t="n">
        <v>0.7353889578157833</v>
      </c>
      <c r="K76" s="24">
        <f>1 / J76</f>
        <v/>
      </c>
      <c r="L76" s="24">
        <f>I76 * K76</f>
        <v/>
      </c>
      <c r="M76" s="24">
        <f>I76 * (0.01000000 / 12)</f>
        <v/>
      </c>
      <c r="N76" s="24">
        <f>I76 * (0.00664805 / 12) * 1.0</f>
        <v/>
      </c>
      <c r="O76" s="24">
        <f>I76 * (0.00400000 / 12) * 1.0</f>
        <v/>
      </c>
      <c r="P76" s="24">
        <f>I76 * (0.00500000 / 12) * 1.0</f>
        <v/>
      </c>
      <c r="Q76" s="24">
        <f>Q75 * (K76 / K75) + M76</f>
        <v/>
      </c>
      <c r="R76" s="24">
        <f>R75 * (K76 / K75) + N76</f>
        <v/>
      </c>
      <c r="S76" s="24">
        <f>S75 * (K76 / K75) + O76 + P76</f>
        <v/>
      </c>
      <c r="T76" s="20">
        <f>Q76 + R76 + S76</f>
        <v/>
      </c>
      <c r="U76" s="24">
        <f>MAX(0, -T76)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 t="n">
        <v>16232.34096475841</v>
      </c>
      <c r="J77" s="21" t="n">
        <v>0.7323936565896648</v>
      </c>
      <c r="K77" s="25">
        <f>1 / J77</f>
        <v/>
      </c>
      <c r="L77" s="25">
        <f>I77 * K77</f>
        <v/>
      </c>
      <c r="M77" s="25">
        <f>I77 * (0.01000000 / 12)</f>
        <v/>
      </c>
      <c r="N77" s="25">
        <f>I77 * (0.00664805 / 12) * 1.0</f>
        <v/>
      </c>
      <c r="O77" s="25">
        <f>I77 * (0.00400000 / 12) * 1.0</f>
        <v/>
      </c>
      <c r="P77" s="25">
        <f>I77 * (0.00500000 / 12) * 1.0</f>
        <v/>
      </c>
      <c r="Q77" s="25">
        <f>Q76 * (K77 / K76) + M77</f>
        <v/>
      </c>
      <c r="R77" s="25">
        <f>R76 * (K77 / K76) + N77</f>
        <v/>
      </c>
      <c r="S77" s="25">
        <f>S76 * (K77 / K76) + O77 + P77</f>
        <v/>
      </c>
      <c r="T77" s="22">
        <f>Q77 + R77 + S77</f>
        <v/>
      </c>
      <c r="U77" s="25">
        <f>MAX(0, -T77)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 t="n">
        <v>15313.60975894263</v>
      </c>
      <c r="J78" s="19" t="n">
        <v>0.7291158157723284</v>
      </c>
      <c r="K78" s="24">
        <f>1 / J78</f>
        <v/>
      </c>
      <c r="L78" s="24">
        <f>I78 * K78</f>
        <v/>
      </c>
      <c r="M78" s="24">
        <f>I78 * (0.01000000 / 12)</f>
        <v/>
      </c>
      <c r="N78" s="24">
        <f>I78 * (0.00664805 / 12) * 1.0</f>
        <v/>
      </c>
      <c r="O78" s="24">
        <f>I78 * (0.00400000 / 12) * 1.0</f>
        <v/>
      </c>
      <c r="P78" s="24">
        <f>I78 * (0.00500000 / 12) * 1.0</f>
        <v/>
      </c>
      <c r="Q78" s="24">
        <f>Q77 * (K78 / K77) + M78</f>
        <v/>
      </c>
      <c r="R78" s="24">
        <f>R77 * (K78 / K77) + N78</f>
        <v/>
      </c>
      <c r="S78" s="24">
        <f>S77 * (K78 / K77) + O78 + P78</f>
        <v/>
      </c>
      <c r="T78" s="20">
        <f>Q78 + R78 + S78</f>
        <v/>
      </c>
      <c r="U78" s="24">
        <f>MAX(0, -T78)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 t="n">
        <v>14603.09563009308</v>
      </c>
      <c r="J79" s="21" t="n">
        <v>0.7261460655826441</v>
      </c>
      <c r="K79" s="25">
        <f>1 / J79</f>
        <v/>
      </c>
      <c r="L79" s="25">
        <f>I79 * K79</f>
        <v/>
      </c>
      <c r="M79" s="25">
        <f>I79 * (0.01000000 / 12)</f>
        <v/>
      </c>
      <c r="N79" s="25">
        <f>I79 * (0.00664805 / 12) * 1.0</f>
        <v/>
      </c>
      <c r="O79" s="25">
        <f>I79 * (0.00400000 / 12) * 1.0</f>
        <v/>
      </c>
      <c r="P79" s="25">
        <f>I79 * (0.00500000 / 12) * 1.0</f>
        <v/>
      </c>
      <c r="Q79" s="25">
        <f>Q78 * (K79 / K78) + M79</f>
        <v/>
      </c>
      <c r="R79" s="25">
        <f>R78 * (K79 / K78) + N79</f>
        <v/>
      </c>
      <c r="S79" s="25">
        <f>S78 * (K79 / K78) + O79 + P79</f>
        <v/>
      </c>
      <c r="T79" s="22">
        <f>Q79 + R79 + S79</f>
        <v/>
      </c>
      <c r="U79" s="25">
        <f>MAX(0, -T79)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 t="n">
        <v>13838.30073720655</v>
      </c>
      <c r="J80" s="19" t="n">
        <v>0.7234216103228099</v>
      </c>
      <c r="K80" s="24">
        <f>1 / J80</f>
        <v/>
      </c>
      <c r="L80" s="24">
        <f>I80 * K80</f>
        <v/>
      </c>
      <c r="M80" s="24">
        <f>I80 * (0.01000000 / 12)</f>
        <v/>
      </c>
      <c r="N80" s="24">
        <f>I80 * (0.00664805 / 12) * 1.0</f>
        <v/>
      </c>
      <c r="O80" s="24">
        <f>I80 * (0.00400000 / 12) * 1.0</f>
        <v/>
      </c>
      <c r="P80" s="24">
        <f>I80 * (0.00500000 / 12) * 1.0</f>
        <v/>
      </c>
      <c r="Q80" s="24">
        <f>Q79 * (K80 / K79) + M80</f>
        <v/>
      </c>
      <c r="R80" s="24">
        <f>R79 * (K80 / K79) + N80</f>
        <v/>
      </c>
      <c r="S80" s="24">
        <f>S79 * (K80 / K79) + O80 + P80</f>
        <v/>
      </c>
      <c r="T80" s="20">
        <f>Q80 + R80 + S80</f>
        <v/>
      </c>
      <c r="U80" s="24">
        <f>MAX(0, -T80)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 t="n">
        <v>12864.52034984019</v>
      </c>
      <c r="J81" s="21" t="n">
        <v>0.7204738869671884</v>
      </c>
      <c r="K81" s="25">
        <f>1 / J81</f>
        <v/>
      </c>
      <c r="L81" s="25">
        <f>I81 * K81</f>
        <v/>
      </c>
      <c r="M81" s="25">
        <f>I81 * (0.01000000 / 12)</f>
        <v/>
      </c>
      <c r="N81" s="25">
        <f>I81 * (0.00664805 / 12) * 1.0</f>
        <v/>
      </c>
      <c r="O81" s="25">
        <f>I81 * (0.00400000 / 12) * 1.0</f>
        <v/>
      </c>
      <c r="P81" s="25">
        <f>I81 * (0.00500000 / 12) * 1.0</f>
        <v/>
      </c>
      <c r="Q81" s="25">
        <f>Q80 * (K81 / K80) + M81</f>
        <v/>
      </c>
      <c r="R81" s="25">
        <f>R80 * (K81 / K80) + N81</f>
        <v/>
      </c>
      <c r="S81" s="25">
        <f>S80 * (K81 / K80) + O81 + P81</f>
        <v/>
      </c>
      <c r="T81" s="22">
        <f>Q81 + R81 + S81</f>
        <v/>
      </c>
      <c r="U81" s="25">
        <f>MAX(0, -T81)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 t="n">
        <v>12006.76334293118</v>
      </c>
      <c r="J82" s="19" t="n">
        <v>0.7175393360821317</v>
      </c>
      <c r="K82" s="24">
        <f>1 / J82</f>
        <v/>
      </c>
      <c r="L82" s="24">
        <f>I82 * K82</f>
        <v/>
      </c>
      <c r="M82" s="24">
        <f>I82 * (0.01000000 / 12)</f>
        <v/>
      </c>
      <c r="N82" s="24">
        <f>I82 * (0.00664805 / 12) * 1.0</f>
        <v/>
      </c>
      <c r="O82" s="24">
        <f>I82 * (0.00400000 / 12) * 1.0</f>
        <v/>
      </c>
      <c r="P82" s="24">
        <f>I82 * (0.00500000 / 12) * 1.0</f>
        <v/>
      </c>
      <c r="Q82" s="24">
        <f>Q81 * (K82 / K81) + M82</f>
        <v/>
      </c>
      <c r="R82" s="24">
        <f>R81 * (K82 / K81) + N82</f>
        <v/>
      </c>
      <c r="S82" s="24">
        <f>S81 * (K82 / K81) + O82 + P82</f>
        <v/>
      </c>
      <c r="T82" s="20">
        <f>Q82 + R82 + S82</f>
        <v/>
      </c>
      <c r="U82" s="24">
        <f>MAX(0, -T82)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 t="n">
        <v>11485.67138347006</v>
      </c>
      <c r="J83" s="21" t="n">
        <v>0.7143279760400386</v>
      </c>
      <c r="K83" s="25">
        <f>1 / J83</f>
        <v/>
      </c>
      <c r="L83" s="25">
        <f>I83 * K83</f>
        <v/>
      </c>
      <c r="M83" s="25">
        <f>I83 * (0.01000000 / 12)</f>
        <v/>
      </c>
      <c r="N83" s="25">
        <f>I83 * (0.00664805 / 12) * 1.0</f>
        <v/>
      </c>
      <c r="O83" s="25">
        <f>I83 * (0.00400000 / 12) * 1.0</f>
        <v/>
      </c>
      <c r="P83" s="25">
        <f>I83 * (0.00500000 / 12) * 1.0</f>
        <v/>
      </c>
      <c r="Q83" s="25">
        <f>Q82 * (K83 / K82) + M83</f>
        <v/>
      </c>
      <c r="R83" s="25">
        <f>R82 * (K83 / K82) + N83</f>
        <v/>
      </c>
      <c r="S83" s="25">
        <f>S82 * (K83 / K82) + O83 + P83</f>
        <v/>
      </c>
      <c r="T83" s="22">
        <f>Q83 + R83 + S83</f>
        <v/>
      </c>
      <c r="U83" s="25">
        <f>MAX(0, -T83)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 t="n">
        <v>10581.24957071382</v>
      </c>
      <c r="J84" s="19" t="n">
        <v>0.7114184579683525</v>
      </c>
      <c r="K84" s="24">
        <f>1 / J84</f>
        <v/>
      </c>
      <c r="L84" s="24">
        <f>I84 * K84</f>
        <v/>
      </c>
      <c r="M84" s="24">
        <f>I84 * (0.01000000 / 12)</f>
        <v/>
      </c>
      <c r="N84" s="24">
        <f>I84 * (0.00664805 / 12) * 1.0</f>
        <v/>
      </c>
      <c r="O84" s="24">
        <f>I84 * (0.00400000 / 12) * 1.0</f>
        <v/>
      </c>
      <c r="P84" s="24">
        <f>I84 * (0.00500000 / 12) * 1.0</f>
        <v/>
      </c>
      <c r="Q84" s="24">
        <f>Q83 * (K84 / K83) + M84</f>
        <v/>
      </c>
      <c r="R84" s="24">
        <f>R83 * (K84 / K83) + N84</f>
        <v/>
      </c>
      <c r="S84" s="24">
        <f>S83 * (K84 / K83) + O84 + P84</f>
        <v/>
      </c>
      <c r="T84" s="20">
        <f>Q84 + R84 + S84</f>
        <v/>
      </c>
      <c r="U84" s="24">
        <f>MAX(0, -T84)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 t="n">
        <v>9760.91865879786</v>
      </c>
      <c r="J85" s="21" t="n">
        <v>0.7087492597841004</v>
      </c>
      <c r="K85" s="25">
        <f>1 / J85</f>
        <v/>
      </c>
      <c r="L85" s="25">
        <f>I85 * K85</f>
        <v/>
      </c>
      <c r="M85" s="25">
        <f>I85 * (0.01000000 / 12)</f>
        <v/>
      </c>
      <c r="N85" s="25">
        <f>I85 * (0.00664805 / 12) * 1.0</f>
        <v/>
      </c>
      <c r="O85" s="25">
        <f>I85 * (0.00400000 / 12) * 1.0</f>
        <v/>
      </c>
      <c r="P85" s="25">
        <f>I85 * (0.00500000 / 12) * 1.0</f>
        <v/>
      </c>
      <c r="Q85" s="25">
        <f>Q84 * (K85 / K84) + M85</f>
        <v/>
      </c>
      <c r="R85" s="25">
        <f>R84 * (K85 / K84) + N85</f>
        <v/>
      </c>
      <c r="S85" s="25">
        <f>S84 * (K85 / K84) + O85 + P85</f>
        <v/>
      </c>
      <c r="T85" s="22">
        <f>Q85 + R85 + S85</f>
        <v/>
      </c>
      <c r="U85" s="25">
        <f>MAX(0, -T85)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 t="n">
        <v>9350.170148214793</v>
      </c>
      <c r="J86" s="19" t="n">
        <v>0.7058613218008644</v>
      </c>
      <c r="K86" s="24">
        <f>1 / J86</f>
        <v/>
      </c>
      <c r="L86" s="24">
        <f>I86 * K86</f>
        <v/>
      </c>
      <c r="M86" s="24">
        <f>I86 * (0.01000000 / 12)</f>
        <v/>
      </c>
      <c r="N86" s="24">
        <f>I86 * (0.00664805 / 12) * 1.0</f>
        <v/>
      </c>
      <c r="O86" s="24">
        <f>I86 * (0.00400000 / 12) * 1.0</f>
        <v/>
      </c>
      <c r="P86" s="24">
        <f>I86 * (0.00500000 / 12) * 1.0</f>
        <v/>
      </c>
      <c r="Q86" s="24">
        <f>Q85 * (K86 / K85) + M86</f>
        <v/>
      </c>
      <c r="R86" s="24">
        <f>R85 * (K86 / K85) + N86</f>
        <v/>
      </c>
      <c r="S86" s="24">
        <f>S85 * (K86 / K85) + O86 + P86</f>
        <v/>
      </c>
      <c r="T86" s="20">
        <f>Q86 + R86 + S86</f>
        <v/>
      </c>
      <c r="U86" s="24">
        <f>MAX(0, -T86)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 t="n">
        <v>8798.300051640777</v>
      </c>
      <c r="J87" s="21" t="n">
        <v>0.7029862891257214</v>
      </c>
      <c r="K87" s="25">
        <f>1 / J87</f>
        <v/>
      </c>
      <c r="L87" s="25">
        <f>I87 * K87</f>
        <v/>
      </c>
      <c r="M87" s="25">
        <f>I87 * (0.01000000 / 12)</f>
        <v/>
      </c>
      <c r="N87" s="25">
        <f>I87 * (0.00664805 / 12) * 1.0</f>
        <v/>
      </c>
      <c r="O87" s="25">
        <f>I87 * (0.00400000 / 12) * 1.0</f>
        <v/>
      </c>
      <c r="P87" s="25">
        <f>I87 * (0.00500000 / 12) * 1.0</f>
        <v/>
      </c>
      <c r="Q87" s="25">
        <f>Q86 * (K87 / K86) + M87</f>
        <v/>
      </c>
      <c r="R87" s="25">
        <f>R86 * (K87 / K86) + N87</f>
        <v/>
      </c>
      <c r="S87" s="25">
        <f>S86 * (K87 / K86) + O87 + P87</f>
        <v/>
      </c>
      <c r="T87" s="22">
        <f>Q87 + R87 + S87</f>
        <v/>
      </c>
      <c r="U87" s="25">
        <f>MAX(0, -T87)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 t="n">
        <v>0</v>
      </c>
      <c r="J88" s="19" t="n">
        <v>0.699840061503743</v>
      </c>
      <c r="K88" s="24">
        <f>1 / J88</f>
        <v/>
      </c>
      <c r="L88" s="24">
        <f>I88 * K88</f>
        <v/>
      </c>
      <c r="M88" s="24">
        <f>I88 * (0.01000000 / 12)</f>
        <v/>
      </c>
      <c r="N88" s="24">
        <f>I88 * (0.00664805 / 12) * 1.0</f>
        <v/>
      </c>
      <c r="O88" s="24">
        <f>I88 * (0.00400000 / 12) * 1.0</f>
        <v/>
      </c>
      <c r="P88" s="24">
        <f>I88 * (0.00500000 / 12) * 1.0</f>
        <v/>
      </c>
      <c r="Q88" s="24">
        <f>Q87 * (K88 / K87) + M88</f>
        <v/>
      </c>
      <c r="R88" s="24">
        <f>R87 * (K88 / K87) + N88</f>
        <v/>
      </c>
      <c r="S88" s="24">
        <f>S87 * (K88 / K87) + O88 + P88</f>
        <v/>
      </c>
      <c r="T88" s="20">
        <f>Q88 + R88 + S88</f>
        <v/>
      </c>
      <c r="U88" s="24">
        <f>MAX(0, -T88)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 t="n">
        <v>0</v>
      </c>
      <c r="J89" s="21" t="n">
        <v>0.6969895539294449</v>
      </c>
      <c r="K89" s="25">
        <f>1 / J89</f>
        <v/>
      </c>
      <c r="L89" s="25">
        <f>I89 * K89</f>
        <v/>
      </c>
      <c r="M89" s="25">
        <f>I89 * (0.01000000 / 12)</f>
        <v/>
      </c>
      <c r="N89" s="25">
        <f>I89 * (0.00664805 / 12) * 1.0</f>
        <v/>
      </c>
      <c r="O89" s="25">
        <f>I89 * (0.00400000 / 12) * 1.0</f>
        <v/>
      </c>
      <c r="P89" s="25">
        <f>I89 * (0.00500000 / 12) * 1.0</f>
        <v/>
      </c>
      <c r="Q89" s="25">
        <f>Q88 * (K89 / K88) + M89</f>
        <v/>
      </c>
      <c r="R89" s="25">
        <f>R88 * (K89 / K88) + N89</f>
        <v/>
      </c>
      <c r="S89" s="25">
        <f>S88 * (K89 / K88) + O89 + P89</f>
        <v/>
      </c>
      <c r="T89" s="22">
        <f>Q89 + R89 + S89</f>
        <v/>
      </c>
      <c r="U89" s="25">
        <f>MAX(0, -T89)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 t="n">
        <v>0</v>
      </c>
      <c r="J90" s="19" t="n">
        <v>0.6943744921033799</v>
      </c>
      <c r="K90" s="24">
        <f>1 / J90</f>
        <v/>
      </c>
      <c r="L90" s="24">
        <f>I90 * K90</f>
        <v/>
      </c>
      <c r="M90" s="24">
        <f>I90 * (0.01000000 / 12)</f>
        <v/>
      </c>
      <c r="N90" s="24">
        <f>I90 * (0.00664805 / 12) * 1.0</f>
        <v/>
      </c>
      <c r="O90" s="24">
        <f>I90 * (0.00400000 / 12) * 1.0</f>
        <v/>
      </c>
      <c r="P90" s="24">
        <f>I90 * (0.00500000 / 12) * 1.0</f>
        <v/>
      </c>
      <c r="Q90" s="24">
        <f>Q89 * (K90 / K89) + M90</f>
        <v/>
      </c>
      <c r="R90" s="24">
        <f>R89 * (K90 / K89) + N90</f>
        <v/>
      </c>
      <c r="S90" s="24">
        <f>S89 * (K90 / K89) + O90 + P90</f>
        <v/>
      </c>
      <c r="T90" s="20">
        <f>Q90 + R90 + S90</f>
        <v/>
      </c>
      <c r="U90" s="24">
        <f>MAX(0, -T90)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 t="n">
        <v>0</v>
      </c>
      <c r="J91" s="21" t="n">
        <v>0.6915451269327602</v>
      </c>
      <c r="K91" s="25">
        <f>1 / J91</f>
        <v/>
      </c>
      <c r="L91" s="25">
        <f>I91 * K91</f>
        <v/>
      </c>
      <c r="M91" s="25">
        <f>I91 * (0.01000000 / 12)</f>
        <v/>
      </c>
      <c r="N91" s="25">
        <f>I91 * (0.00664805 / 12) * 1.0</f>
        <v/>
      </c>
      <c r="O91" s="25">
        <f>I91 * (0.00400000 / 12) * 1.0</f>
        <v/>
      </c>
      <c r="P91" s="25">
        <f>I91 * (0.00500000 / 12) * 1.0</f>
        <v/>
      </c>
      <c r="Q91" s="25">
        <f>Q90 * (K91 / K90) + M91</f>
        <v/>
      </c>
      <c r="R91" s="25">
        <f>R90 * (K91 / K90) + N91</f>
        <v/>
      </c>
      <c r="S91" s="25">
        <f>S90 * (K91 / K90) + O91 + P91</f>
        <v/>
      </c>
      <c r="T91" s="22">
        <f>Q91 + R91 + S91</f>
        <v/>
      </c>
      <c r="U91" s="25">
        <f>MAX(0, -T91)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 t="n">
        <v>0</v>
      </c>
      <c r="J92" s="19" t="n">
        <v>0.688728405326319</v>
      </c>
      <c r="K92" s="24">
        <f>1 / J92</f>
        <v/>
      </c>
      <c r="L92" s="24">
        <f>I92 * K92</f>
        <v/>
      </c>
      <c r="M92" s="24">
        <f>I92 * (0.01000000 / 12)</f>
        <v/>
      </c>
      <c r="N92" s="24">
        <f>I92 * (0.00664805 / 12) * 1.0</f>
        <v/>
      </c>
      <c r="O92" s="24">
        <f>I92 * (0.00400000 / 12) * 1.0</f>
        <v/>
      </c>
      <c r="P92" s="24">
        <f>I92 * (0.00500000 / 12) * 1.0</f>
        <v/>
      </c>
      <c r="Q92" s="24">
        <f>Q91 * (K92 / K91) + M92</f>
        <v/>
      </c>
      <c r="R92" s="24">
        <f>R91 * (K92 / K91) + N92</f>
        <v/>
      </c>
      <c r="S92" s="24">
        <f>S91 * (K92 / K91) + O92 + P92</f>
        <v/>
      </c>
      <c r="T92" s="20">
        <f>Q92 + R92 + S92</f>
        <v/>
      </c>
      <c r="U92" s="24">
        <f>MAX(0, -T92)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 t="n">
        <v>0</v>
      </c>
      <c r="J93" s="21" t="n">
        <v>0.685645989116504</v>
      </c>
      <c r="K93" s="25">
        <f>1 / J93</f>
        <v/>
      </c>
      <c r="L93" s="25">
        <f>I93 * K93</f>
        <v/>
      </c>
      <c r="M93" s="25">
        <f>I93 * (0.01000000 / 12)</f>
        <v/>
      </c>
      <c r="N93" s="25">
        <f>I93 * (0.00664805 / 12) * 1.0</f>
        <v/>
      </c>
      <c r="O93" s="25">
        <f>I93 * (0.00400000 / 12) * 1.0</f>
        <v/>
      </c>
      <c r="P93" s="25">
        <f>I93 * (0.00500000 / 12) * 1.0</f>
        <v/>
      </c>
      <c r="Q93" s="25">
        <f>Q92 * (K93 / K92) + M93</f>
        <v/>
      </c>
      <c r="R93" s="25">
        <f>R92 * (K93 / K92) + N93</f>
        <v/>
      </c>
      <c r="S93" s="25">
        <f>S92 * (K93 / K92) + O93 + P93</f>
        <v/>
      </c>
      <c r="T93" s="22">
        <f>Q93 + R93 + S93</f>
        <v/>
      </c>
      <c r="U93" s="25">
        <f>MAX(0, -T93)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 t="n">
        <v>0</v>
      </c>
      <c r="J94" s="19" t="n">
        <v>0.6828532951957471</v>
      </c>
      <c r="K94" s="24">
        <f>1 / J94</f>
        <v/>
      </c>
      <c r="L94" s="24">
        <f>I94 * K94</f>
        <v/>
      </c>
      <c r="M94" s="24">
        <f>I94 * (0.01000000 / 12)</f>
        <v/>
      </c>
      <c r="N94" s="24">
        <f>I94 * (0.00664805 / 12) * 1.0</f>
        <v/>
      </c>
      <c r="O94" s="24">
        <f>I94 * (0.00400000 / 12) * 1.0</f>
        <v/>
      </c>
      <c r="P94" s="24">
        <f>I94 * (0.00500000 / 12) * 1.0</f>
        <v/>
      </c>
      <c r="Q94" s="24">
        <f>Q93 * (K94 / K93) + M94</f>
        <v/>
      </c>
      <c r="R94" s="24">
        <f>R93 * (K94 / K93) + N94</f>
        <v/>
      </c>
      <c r="S94" s="24">
        <f>S93 * (K94 / K93) + O94 + P94</f>
        <v/>
      </c>
      <c r="T94" s="20">
        <f>Q94 + R94 + S94</f>
        <v/>
      </c>
      <c r="U94" s="24">
        <f>MAX(0, -T94)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 t="n">
        <v>0</v>
      </c>
      <c r="J95" s="21" t="n">
        <v>0.68029127174073</v>
      </c>
      <c r="K95" s="25">
        <f>1 / J95</f>
        <v/>
      </c>
      <c r="L95" s="25">
        <f>I95 * K95</f>
        <v/>
      </c>
      <c r="M95" s="25">
        <f>I95 * (0.01000000 / 12)</f>
        <v/>
      </c>
      <c r="N95" s="25">
        <f>I95 * (0.00664805 / 12) * 1.0</f>
        <v/>
      </c>
      <c r="O95" s="25">
        <f>I95 * (0.00400000 / 12) * 1.0</f>
        <v/>
      </c>
      <c r="P95" s="25">
        <f>I95 * (0.00500000 / 12) * 1.0</f>
        <v/>
      </c>
      <c r="Q95" s="25">
        <f>Q94 * (K95 / K94) + M95</f>
        <v/>
      </c>
      <c r="R95" s="25">
        <f>R94 * (K95 / K94) + N95</f>
        <v/>
      </c>
      <c r="S95" s="25">
        <f>S94 * (K95 / K94) + O95 + P95</f>
        <v/>
      </c>
      <c r="T95" s="22">
        <f>Q95 + R95 + S95</f>
        <v/>
      </c>
      <c r="U95" s="25">
        <f>MAX(0, -T95)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 t="n">
        <v>0</v>
      </c>
      <c r="J96" s="19" t="n">
        <v>0.6775192914159499</v>
      </c>
      <c r="K96" s="24">
        <f>1 / J96</f>
        <v/>
      </c>
      <c r="L96" s="24">
        <f>I96 * K96</f>
        <v/>
      </c>
      <c r="M96" s="24">
        <f>I96 * (0.01000000 / 12)</f>
        <v/>
      </c>
      <c r="N96" s="24">
        <f>I96 * (0.00664805 / 12) * 1.0</f>
        <v/>
      </c>
      <c r="O96" s="24">
        <f>I96 * (0.00400000 / 12) * 1.0</f>
        <v/>
      </c>
      <c r="P96" s="24">
        <f>I96 * (0.00500000 / 12) * 1.0</f>
        <v/>
      </c>
      <c r="Q96" s="24">
        <f>Q95 * (K96 / K95) + M96</f>
        <v/>
      </c>
      <c r="R96" s="24">
        <f>R95 * (K96 / K95) + N96</f>
        <v/>
      </c>
      <c r="S96" s="24">
        <f>S95 * (K96 / K95) + O96 + P96</f>
        <v/>
      </c>
      <c r="T96" s="20">
        <f>Q96 + R96 + S96</f>
        <v/>
      </c>
      <c r="U96" s="24">
        <f>MAX(0, -T96)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 t="n">
        <v>0</v>
      </c>
      <c r="J97" s="21" t="n">
        <v>0.6747596982200925</v>
      </c>
      <c r="K97" s="25">
        <f>1 / J97</f>
        <v/>
      </c>
      <c r="L97" s="25">
        <f>I97 * K97</f>
        <v/>
      </c>
      <c r="M97" s="25">
        <f>I97 * (0.01000000 / 12)</f>
        <v/>
      </c>
      <c r="N97" s="25">
        <f>I97 * (0.00664805 / 12) * 1.0</f>
        <v/>
      </c>
      <c r="O97" s="25">
        <f>I97 * (0.00400000 / 12) * 1.0</f>
        <v/>
      </c>
      <c r="P97" s="25">
        <f>I97 * (0.00500000 / 12) * 1.0</f>
        <v/>
      </c>
      <c r="Q97" s="25">
        <f>Q96 * (K97 / K96) + M97</f>
        <v/>
      </c>
      <c r="R97" s="25">
        <f>R96 * (K97 / K96) + N97</f>
        <v/>
      </c>
      <c r="S97" s="25">
        <f>S96 * (K97 / K96) + O97 + P97</f>
        <v/>
      </c>
      <c r="T97" s="22">
        <f>Q97 + R97 + S97</f>
        <v/>
      </c>
      <c r="U97" s="25">
        <f>MAX(0, -T97)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 t="n">
        <v>0</v>
      </c>
      <c r="J98" s="19" t="n">
        <v>0.6717397992070149</v>
      </c>
      <c r="K98" s="24">
        <f>1 / J98</f>
        <v/>
      </c>
      <c r="L98" s="24">
        <f>I98 * K98</f>
        <v/>
      </c>
      <c r="M98" s="24">
        <f>I98 * (0.01000000 / 12)</f>
        <v/>
      </c>
      <c r="N98" s="24">
        <f>I98 * (0.00664805 / 12) * 1.0</f>
        <v/>
      </c>
      <c r="O98" s="24">
        <f>I98 * (0.00400000 / 12) * 1.0</f>
        <v/>
      </c>
      <c r="P98" s="24">
        <f>I98 * (0.00500000 / 12) * 1.0</f>
        <v/>
      </c>
      <c r="Q98" s="24">
        <f>Q97 * (K98 / K97) + M98</f>
        <v/>
      </c>
      <c r="R98" s="24">
        <f>R97 * (K98 / K97) + N98</f>
        <v/>
      </c>
      <c r="S98" s="24">
        <f>S97 * (K98 / K97) + O98 + P98</f>
        <v/>
      </c>
      <c r="T98" s="20">
        <f>Q98 + R98 + S98</f>
        <v/>
      </c>
      <c r="U98" s="24">
        <f>MAX(0, -T98)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 t="n">
        <v>0</v>
      </c>
      <c r="J99" s="21" t="n">
        <v>0.6690037463701957</v>
      </c>
      <c r="K99" s="25">
        <f>1 / J99</f>
        <v/>
      </c>
      <c r="L99" s="25">
        <f>I99 * K99</f>
        <v/>
      </c>
      <c r="M99" s="25">
        <f>I99 * (0.01000000 / 12)</f>
        <v/>
      </c>
      <c r="N99" s="25">
        <f>I99 * (0.00664805 / 12) * 1.0</f>
        <v/>
      </c>
      <c r="O99" s="25">
        <f>I99 * (0.00400000 / 12) * 1.0</f>
        <v/>
      </c>
      <c r="P99" s="25">
        <f>I99 * (0.00500000 / 12) * 1.0</f>
        <v/>
      </c>
      <c r="Q99" s="25">
        <f>Q98 * (K99 / K98) + M99</f>
        <v/>
      </c>
      <c r="R99" s="25">
        <f>R98 * (K99 / K98) + N99</f>
        <v/>
      </c>
      <c r="S99" s="25">
        <f>S98 * (K99 / K98) + O99 + P99</f>
        <v/>
      </c>
      <c r="T99" s="22">
        <f>Q99 + R99 + S99</f>
        <v/>
      </c>
      <c r="U99" s="25">
        <f>MAX(0, -T99)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 t="n">
        <v>0</v>
      </c>
      <c r="J100" s="19" t="n">
        <v>0.6664936855683313</v>
      </c>
      <c r="K100" s="24">
        <f>1 / J100</f>
        <v/>
      </c>
      <c r="L100" s="24">
        <f>I100 * K100</f>
        <v/>
      </c>
      <c r="M100" s="24">
        <f>I100 * (0.01000000 / 12)</f>
        <v/>
      </c>
      <c r="N100" s="24">
        <f>I100 * (0.00664805 / 12) * 1.0</f>
        <v/>
      </c>
      <c r="O100" s="24">
        <f>I100 * (0.00400000 / 12) * 1.0</f>
        <v/>
      </c>
      <c r="P100" s="24">
        <f>I100 * (0.00500000 / 12) * 1.0</f>
        <v/>
      </c>
      <c r="Q100" s="24">
        <f>Q99 * (K100 / K99) + M100</f>
        <v/>
      </c>
      <c r="R100" s="24">
        <f>R99 * (K100 / K99) + N100</f>
        <v/>
      </c>
      <c r="S100" s="24">
        <f>S99 * (K100 / K99) + O100 + P100</f>
        <v/>
      </c>
      <c r="T100" s="20">
        <f>Q100 + R100 + S100</f>
        <v/>
      </c>
      <c r="U100" s="24">
        <f>MAX(0, -T100)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 t="n">
        <v>0</v>
      </c>
      <c r="J101" s="21" t="n">
        <v>0.6637779262168139</v>
      </c>
      <c r="K101" s="25">
        <f>1 / J101</f>
        <v/>
      </c>
      <c r="L101" s="25">
        <f>I101 * K101</f>
        <v/>
      </c>
      <c r="M101" s="25">
        <f>I101 * (0.01000000 / 12)</f>
        <v/>
      </c>
      <c r="N101" s="25">
        <f>I101 * (0.00664805 / 12) * 1.0</f>
        <v/>
      </c>
      <c r="O101" s="25">
        <f>I101 * (0.00400000 / 12) * 1.0</f>
        <v/>
      </c>
      <c r="P101" s="25">
        <f>I101 * (0.00500000 / 12) * 1.0</f>
        <v/>
      </c>
      <c r="Q101" s="25">
        <f>Q100 * (K101 / K100) + M101</f>
        <v/>
      </c>
      <c r="R101" s="25">
        <f>R100 * (K101 / K100) + N101</f>
        <v/>
      </c>
      <c r="S101" s="25">
        <f>S100 * (K101 / K100) + O101 + P101</f>
        <v/>
      </c>
      <c r="T101" s="22">
        <f>Q101 + R101 + S101</f>
        <v/>
      </c>
      <c r="U101" s="25">
        <f>MAX(0, -T101)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 t="n">
        <v>0</v>
      </c>
      <c r="J102" s="19" t="n">
        <v>0.6610743027599525</v>
      </c>
      <c r="K102" s="24">
        <f>1 / J102</f>
        <v/>
      </c>
      <c r="L102" s="24">
        <f>I102 * K102</f>
        <v/>
      </c>
      <c r="M102" s="24">
        <f>I102 * (0.01000000 / 12)</f>
        <v/>
      </c>
      <c r="N102" s="24">
        <f>I102 * (0.00664805 / 12) * 1.0</f>
        <v/>
      </c>
      <c r="O102" s="24">
        <f>I102 * (0.00400000 / 12) * 1.0</f>
        <v/>
      </c>
      <c r="P102" s="24">
        <f>I102 * (0.00500000 / 12) * 1.0</f>
        <v/>
      </c>
      <c r="Q102" s="24">
        <f>Q101 * (K102 / K101) + M102</f>
        <v/>
      </c>
      <c r="R102" s="24">
        <f>R101 * (K102 / K101) + N102</f>
        <v/>
      </c>
      <c r="S102" s="24">
        <f>S101 * (K102 / K101) + O102 + P102</f>
        <v/>
      </c>
      <c r="T102" s="20">
        <f>Q102 + R102 + S102</f>
        <v/>
      </c>
      <c r="U102" s="24">
        <f>MAX(0, -T102)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 t="n">
        <v>0</v>
      </c>
      <c r="J103" s="21" t="n">
        <v>0.6581156529773086</v>
      </c>
      <c r="K103" s="25">
        <f>1 / J103</f>
        <v/>
      </c>
      <c r="L103" s="25">
        <f>I103 * K103</f>
        <v/>
      </c>
      <c r="M103" s="25">
        <f>I103 * (0.01000000 / 12)</f>
        <v/>
      </c>
      <c r="N103" s="25">
        <f>I103 * (0.00664805 / 12) * 1.0</f>
        <v/>
      </c>
      <c r="O103" s="25">
        <f>I103 * (0.00400000 / 12) * 1.0</f>
        <v/>
      </c>
      <c r="P103" s="25">
        <f>I103 * (0.00500000 / 12) * 1.0</f>
        <v/>
      </c>
      <c r="Q103" s="25">
        <f>Q102 * (K103 / K102) + M103</f>
        <v/>
      </c>
      <c r="R103" s="25">
        <f>R102 * (K103 / K102) + N103</f>
        <v/>
      </c>
      <c r="S103" s="25">
        <f>S102 * (K103 / K102) + O103 + P103</f>
        <v/>
      </c>
      <c r="T103" s="22">
        <f>Q103 + R103 + S103</f>
        <v/>
      </c>
      <c r="U103" s="25">
        <f>MAX(0, -T103)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 t="n">
        <v>0</v>
      </c>
      <c r="J104" s="19" t="n">
        <v>0.6554350924367401</v>
      </c>
      <c r="K104" s="24">
        <f>1 / J104</f>
        <v/>
      </c>
      <c r="L104" s="24">
        <f>I104 * K104</f>
        <v/>
      </c>
      <c r="M104" s="24">
        <f>I104 * (0.01000000 / 12)</f>
        <v/>
      </c>
      <c r="N104" s="24">
        <f>I104 * (0.00664805 / 12) * 1.0</f>
        <v/>
      </c>
      <c r="O104" s="24">
        <f>I104 * (0.00400000 / 12) * 1.0</f>
        <v/>
      </c>
      <c r="P104" s="24">
        <f>I104 * (0.00500000 / 12) * 1.0</f>
        <v/>
      </c>
      <c r="Q104" s="24">
        <f>Q103 * (K104 / K103) + M104</f>
        <v/>
      </c>
      <c r="R104" s="24">
        <f>R103 * (K104 / K103) + N104</f>
        <v/>
      </c>
      <c r="S104" s="24">
        <f>S103 * (K104 / K103) + O104 + P104</f>
        <v/>
      </c>
      <c r="T104" s="20">
        <f>Q104 + R104 + S104</f>
        <v/>
      </c>
      <c r="U104" s="24">
        <f>MAX(0, -T104)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 t="n">
        <v>0</v>
      </c>
      <c r="J105" s="21" t="n">
        <v>0.6529759403877149</v>
      </c>
      <c r="K105" s="25">
        <f>1 / J105</f>
        <v/>
      </c>
      <c r="L105" s="25">
        <f>I105 * K105</f>
        <v/>
      </c>
      <c r="M105" s="25">
        <f>I105 * (0.01000000 / 12)</f>
        <v/>
      </c>
      <c r="N105" s="25">
        <f>I105 * (0.00664805 / 12) * 1.0</f>
        <v/>
      </c>
      <c r="O105" s="25">
        <f>I105 * (0.00400000 / 12) * 1.0</f>
        <v/>
      </c>
      <c r="P105" s="25">
        <f>I105 * (0.00500000 / 12) * 1.0</f>
        <v/>
      </c>
      <c r="Q105" s="25">
        <f>Q104 * (K105 / K104) + M105</f>
        <v/>
      </c>
      <c r="R105" s="25">
        <f>R104 * (K105 / K104) + N105</f>
        <v/>
      </c>
      <c r="S105" s="25">
        <f>S104 * (K105 / K104) + O105 + P105</f>
        <v/>
      </c>
      <c r="T105" s="22">
        <f>Q105 + R105 + S105</f>
        <v/>
      </c>
      <c r="U105" s="25">
        <f>MAX(0, -T105)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 t="n">
        <v>0</v>
      </c>
      <c r="J106" s="19" t="n">
        <v>0.6503152617424075</v>
      </c>
      <c r="K106" s="24">
        <f>1 / J106</f>
        <v/>
      </c>
      <c r="L106" s="24">
        <f>I106 * K106</f>
        <v/>
      </c>
      <c r="M106" s="24">
        <f>I106 * (0.01000000 / 12)</f>
        <v/>
      </c>
      <c r="N106" s="24">
        <f>I106 * (0.00664805 / 12) * 1.0</f>
        <v/>
      </c>
      <c r="O106" s="24">
        <f>I106 * (0.00400000 / 12) * 1.0</f>
        <v/>
      </c>
      <c r="P106" s="24">
        <f>I106 * (0.00500000 / 12) * 1.0</f>
        <v/>
      </c>
      <c r="Q106" s="24">
        <f>Q105 * (K106 / K105) + M106</f>
        <v/>
      </c>
      <c r="R106" s="24">
        <f>R105 * (K106 / K105) + N106</f>
        <v/>
      </c>
      <c r="S106" s="24">
        <f>S105 * (K106 / K105) + O106 + P106</f>
        <v/>
      </c>
      <c r="T106" s="20">
        <f>Q106 + R106 + S106</f>
        <v/>
      </c>
      <c r="U106" s="24">
        <f>MAX(0, -T106)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 t="n">
        <v>0</v>
      </c>
      <c r="J107" s="21" t="n">
        <v>0.6476664728529929</v>
      </c>
      <c r="K107" s="25">
        <f>1 / J107</f>
        <v/>
      </c>
      <c r="L107" s="25">
        <f>I107 * K107</f>
        <v/>
      </c>
      <c r="M107" s="25">
        <f>I107 * (0.01000000 / 12)</f>
        <v/>
      </c>
      <c r="N107" s="25">
        <f>I107 * (0.00664805 / 12) * 1.0</f>
        <v/>
      </c>
      <c r="O107" s="25">
        <f>I107 * (0.00400000 / 12) * 1.0</f>
        <v/>
      </c>
      <c r="P107" s="25">
        <f>I107 * (0.00500000 / 12) * 1.0</f>
        <v/>
      </c>
      <c r="Q107" s="25">
        <f>Q106 * (K107 / K106) + M107</f>
        <v/>
      </c>
      <c r="R107" s="25">
        <f>R106 * (K107 / K106) + N107</f>
        <v/>
      </c>
      <c r="S107" s="25">
        <f>S106 * (K107 / K106) + O107 + P107</f>
        <v/>
      </c>
      <c r="T107" s="22">
        <f>Q107 + R107 + S107</f>
        <v/>
      </c>
      <c r="U107" s="25">
        <f>MAX(0, -T107)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 t="n">
        <v>0</v>
      </c>
      <c r="J108" s="19" t="n">
        <v>0.64476783005122</v>
      </c>
      <c r="K108" s="24">
        <f>1 / J108</f>
        <v/>
      </c>
      <c r="L108" s="24">
        <f>I108 * K108</f>
        <v/>
      </c>
      <c r="M108" s="24">
        <f>I108 * (0.01000000 / 12)</f>
        <v/>
      </c>
      <c r="N108" s="24">
        <f>I108 * (0.00664805 / 12) * 1.0</f>
        <v/>
      </c>
      <c r="O108" s="24">
        <f>I108 * (0.00400000 / 12) * 1.0</f>
        <v/>
      </c>
      <c r="P108" s="24">
        <f>I108 * (0.00500000 / 12) * 1.0</f>
        <v/>
      </c>
      <c r="Q108" s="24">
        <f>Q107 * (K108 / K107) + M108</f>
        <v/>
      </c>
      <c r="R108" s="24">
        <f>R107 * (K108 / K107) + N108</f>
        <v/>
      </c>
      <c r="S108" s="24">
        <f>S107 * (K108 / K107) + O108 + P108</f>
        <v/>
      </c>
      <c r="T108" s="20">
        <f>Q108 + R108 + S108</f>
        <v/>
      </c>
      <c r="U108" s="24">
        <f>MAX(0, -T108)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 t="n">
        <v>0</v>
      </c>
      <c r="J109" s="21" t="n">
        <v>0.6421416363187897</v>
      </c>
      <c r="K109" s="25">
        <f>1 / J109</f>
        <v/>
      </c>
      <c r="L109" s="25">
        <f>I109 * K109</f>
        <v/>
      </c>
      <c r="M109" s="25">
        <f>I109 * (0.01000000 / 12)</f>
        <v/>
      </c>
      <c r="N109" s="25">
        <f>I109 * (0.00664805 / 12) * 1.0</f>
        <v/>
      </c>
      <c r="O109" s="25">
        <f>I109 * (0.00400000 / 12) * 1.0</f>
        <v/>
      </c>
      <c r="P109" s="25">
        <f>I109 * (0.00500000 / 12) * 1.0</f>
        <v/>
      </c>
      <c r="Q109" s="25">
        <f>Q108 * (K109 / K108) + M109</f>
        <v/>
      </c>
      <c r="R109" s="25">
        <f>R108 * (K109 / K108) + N109</f>
        <v/>
      </c>
      <c r="S109" s="25">
        <f>S108 * (K109 / K108) + O109 + P109</f>
        <v/>
      </c>
      <c r="T109" s="22">
        <f>Q109 + R109 + S109</f>
        <v/>
      </c>
      <c r="U109" s="25">
        <f>MAX(0, -T109)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 t="n">
        <v>0</v>
      </c>
      <c r="J110" s="19" t="n">
        <v>0.6397323604973701</v>
      </c>
      <c r="K110" s="24">
        <f>1 / J110</f>
        <v/>
      </c>
      <c r="L110" s="24">
        <f>I110 * K110</f>
        <v/>
      </c>
      <c r="M110" s="24">
        <f>I110 * (0.01000000 / 12)</f>
        <v/>
      </c>
      <c r="N110" s="24">
        <f>I110 * (0.00664805 / 12) * 1.0</f>
        <v/>
      </c>
      <c r="O110" s="24">
        <f>I110 * (0.00400000 / 12) * 1.0</f>
        <v/>
      </c>
      <c r="P110" s="24">
        <f>I110 * (0.00500000 / 12) * 1.0</f>
        <v/>
      </c>
      <c r="Q110" s="24">
        <f>Q109 * (K110 / K109) + M110</f>
        <v/>
      </c>
      <c r="R110" s="24">
        <f>R109 * (K110 / K109) + N110</f>
        <v/>
      </c>
      <c r="S110" s="24">
        <f>S109 * (K110 / K109) + O110 + P110</f>
        <v/>
      </c>
      <c r="T110" s="20">
        <f>Q110 + R110 + S110</f>
        <v/>
      </c>
      <c r="U110" s="24">
        <f>MAX(0, -T110)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 t="n">
        <v>0</v>
      </c>
      <c r="J111" s="21" t="n">
        <v>0.6371256454179802</v>
      </c>
      <c r="K111" s="25">
        <f>1 / J111</f>
        <v/>
      </c>
      <c r="L111" s="25">
        <f>I111 * K111</f>
        <v/>
      </c>
      <c r="M111" s="25">
        <f>I111 * (0.01000000 / 12)</f>
        <v/>
      </c>
      <c r="N111" s="25">
        <f>I111 * (0.00664805 / 12) * 1.0</f>
        <v/>
      </c>
      <c r="O111" s="25">
        <f>I111 * (0.00400000 / 12) * 1.0</f>
        <v/>
      </c>
      <c r="P111" s="25">
        <f>I111 * (0.00500000 / 12) * 1.0</f>
        <v/>
      </c>
      <c r="Q111" s="25">
        <f>Q110 * (K111 / K110) + M111</f>
        <v/>
      </c>
      <c r="R111" s="25">
        <f>R110 * (K111 / K110) + N111</f>
        <v/>
      </c>
      <c r="S111" s="25">
        <f>S110 * (K111 / K110) + O111 + P111</f>
        <v/>
      </c>
      <c r="T111" s="22">
        <f>Q111 + R111 + S111</f>
        <v/>
      </c>
      <c r="U111" s="25">
        <f>MAX(0, -T111)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 t="n">
        <v>0</v>
      </c>
      <c r="J112" s="19" t="n">
        <v>0.6345305789478768</v>
      </c>
      <c r="K112" s="24">
        <f>1 / J112</f>
        <v/>
      </c>
      <c r="L112" s="24">
        <f>I112 * K112</f>
        <v/>
      </c>
      <c r="M112" s="24">
        <f>I112 * (0.01000000 / 12)</f>
        <v/>
      </c>
      <c r="N112" s="24">
        <f>I112 * (0.00664805 / 12) * 1.0</f>
        <v/>
      </c>
      <c r="O112" s="24">
        <f>I112 * (0.00400000 / 12) * 1.0</f>
        <v/>
      </c>
      <c r="P112" s="24">
        <f>I112 * (0.00500000 / 12) * 1.0</f>
        <v/>
      </c>
      <c r="Q112" s="24">
        <f>Q111 * (K112 / K111) + M112</f>
        <v/>
      </c>
      <c r="R112" s="24">
        <f>R111 * (K112 / K111) + N112</f>
        <v/>
      </c>
      <c r="S112" s="24">
        <f>S111 * (K112 / K111) + O112 + P112</f>
        <v/>
      </c>
      <c r="T112" s="20">
        <f>Q112 + R112 + S112</f>
        <v/>
      </c>
      <c r="U112" s="24">
        <f>MAX(0, -T112)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 t="n">
        <v>0</v>
      </c>
      <c r="J113" s="21" t="n">
        <v>0.6316907260725688</v>
      </c>
      <c r="K113" s="25">
        <f>1 / J113</f>
        <v/>
      </c>
      <c r="L113" s="25">
        <f>I113 * K113</f>
        <v/>
      </c>
      <c r="M113" s="25">
        <f>I113 * (0.01000000 / 12)</f>
        <v/>
      </c>
      <c r="N113" s="25">
        <f>I113 * (0.00664805 / 12) * 1.0</f>
        <v/>
      </c>
      <c r="O113" s="25">
        <f>I113 * (0.00400000 / 12) * 1.0</f>
        <v/>
      </c>
      <c r="P113" s="25">
        <f>I113 * (0.00500000 / 12) * 1.0</f>
        <v/>
      </c>
      <c r="Q113" s="25">
        <f>Q112 * (K113 / K112) + M113</f>
        <v/>
      </c>
      <c r="R113" s="25">
        <f>R112 * (K113 / K112) + N113</f>
        <v/>
      </c>
      <c r="S113" s="25">
        <f>S112 * (K113 / K112) + O113 + P113</f>
        <v/>
      </c>
      <c r="T113" s="22">
        <f>Q113 + R113 + S113</f>
        <v/>
      </c>
      <c r="U113" s="25">
        <f>MAX(0, -T113)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 t="n">
        <v>0</v>
      </c>
      <c r="J114" s="19" t="n">
        <v>0.6291177964871795</v>
      </c>
      <c r="K114" s="24">
        <f>1 / J114</f>
        <v/>
      </c>
      <c r="L114" s="24">
        <f>I114 * K114</f>
        <v/>
      </c>
      <c r="M114" s="24">
        <f>I114 * (0.01000000 / 12)</f>
        <v/>
      </c>
      <c r="N114" s="24">
        <f>I114 * (0.00664805 / 12) * 1.0</f>
        <v/>
      </c>
      <c r="O114" s="24">
        <f>I114 * (0.00400000 / 12) * 1.0</f>
        <v/>
      </c>
      <c r="P114" s="24">
        <f>I114 * (0.00500000 / 12) * 1.0</f>
        <v/>
      </c>
      <c r="Q114" s="24">
        <f>Q113 * (K114 / K113) + M114</f>
        <v/>
      </c>
      <c r="R114" s="24">
        <f>R113 * (K114 / K113) + N114</f>
        <v/>
      </c>
      <c r="S114" s="24">
        <f>S113 * (K114 / K113) + O114 + P114</f>
        <v/>
      </c>
      <c r="T114" s="20">
        <f>Q114 + R114 + S114</f>
        <v/>
      </c>
      <c r="U114" s="24">
        <f>MAX(0, -T114)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 t="n">
        <v>0</v>
      </c>
      <c r="J115" s="21" t="n">
        <v>0.6267573853096852</v>
      </c>
      <c r="K115" s="25">
        <f>1 / J115</f>
        <v/>
      </c>
      <c r="L115" s="25">
        <f>I115 * K115</f>
        <v/>
      </c>
      <c r="M115" s="25">
        <f>I115 * (0.01000000 / 12)</f>
        <v/>
      </c>
      <c r="N115" s="25">
        <f>I115 * (0.00664805 / 12) * 1.0</f>
        <v/>
      </c>
      <c r="O115" s="25">
        <f>I115 * (0.00400000 / 12) * 1.0</f>
        <v/>
      </c>
      <c r="P115" s="25">
        <f>I115 * (0.00500000 / 12) * 1.0</f>
        <v/>
      </c>
      <c r="Q115" s="25">
        <f>Q114 * (K115 / K114) + M115</f>
        <v/>
      </c>
      <c r="R115" s="25">
        <f>R114 * (K115 / K114) + N115</f>
        <v/>
      </c>
      <c r="S115" s="25">
        <f>S114 * (K115 / K114) + O115 + P115</f>
        <v/>
      </c>
      <c r="T115" s="22">
        <f>Q115 + R115 + S115</f>
        <v/>
      </c>
      <c r="U115" s="25">
        <f>MAX(0, -T115)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 t="n">
        <v>0</v>
      </c>
      <c r="J116" s="19" t="n">
        <v>0.6242035393136259</v>
      </c>
      <c r="K116" s="24">
        <f>1 / J116</f>
        <v/>
      </c>
      <c r="L116" s="24">
        <f>I116 * K116</f>
        <v/>
      </c>
      <c r="M116" s="24">
        <f>I116 * (0.01000000 / 12)</f>
        <v/>
      </c>
      <c r="N116" s="24">
        <f>I116 * (0.00664805 / 12) * 1.0</f>
        <v/>
      </c>
      <c r="O116" s="24">
        <f>I116 * (0.00400000 / 12) * 1.0</f>
        <v/>
      </c>
      <c r="P116" s="24">
        <f>I116 * (0.00500000 / 12) * 1.0</f>
        <v/>
      </c>
      <c r="Q116" s="24">
        <f>Q115 * (K116 / K115) + M116</f>
        <v/>
      </c>
      <c r="R116" s="24">
        <f>R115 * (K116 / K115) + N116</f>
        <v/>
      </c>
      <c r="S116" s="24">
        <f>S115 * (K116 / K115) + O116 + P116</f>
        <v/>
      </c>
      <c r="T116" s="20">
        <f>Q116 + R116 + S116</f>
        <v/>
      </c>
      <c r="U116" s="24">
        <f>MAX(0, -T116)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 t="n">
        <v>0</v>
      </c>
      <c r="J117" s="21" t="n">
        <v>0.6216611056711535</v>
      </c>
      <c r="K117" s="25">
        <f>1 / J117</f>
        <v/>
      </c>
      <c r="L117" s="25">
        <f>I117 * K117</f>
        <v/>
      </c>
      <c r="M117" s="25">
        <f>I117 * (0.01000000 / 12)</f>
        <v/>
      </c>
      <c r="N117" s="25">
        <f>I117 * (0.00664805 / 12) * 1.0</f>
        <v/>
      </c>
      <c r="O117" s="25">
        <f>I117 * (0.00400000 / 12) * 1.0</f>
        <v/>
      </c>
      <c r="P117" s="25">
        <f>I117 * (0.00500000 / 12) * 1.0</f>
        <v/>
      </c>
      <c r="Q117" s="25">
        <f>Q116 * (K117 / K116) + M117</f>
        <v/>
      </c>
      <c r="R117" s="25">
        <f>R116 * (K117 / K116) + N117</f>
        <v/>
      </c>
      <c r="S117" s="25">
        <f>S116 * (K117 / K116) + O117 + P117</f>
        <v/>
      </c>
      <c r="T117" s="22">
        <f>Q117 + R117 + S117</f>
        <v/>
      </c>
      <c r="U117" s="25">
        <f>MAX(0, -T117)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 t="n">
        <v>0</v>
      </c>
      <c r="J118" s="19" t="n">
        <v>0.6188788503520567</v>
      </c>
      <c r="K118" s="24">
        <f>1 / J118</f>
        <v/>
      </c>
      <c r="L118" s="24">
        <f>I118 * K118</f>
        <v/>
      </c>
      <c r="M118" s="24">
        <f>I118 * (0.01000000 / 12)</f>
        <v/>
      </c>
      <c r="N118" s="24">
        <f>I118 * (0.00664805 / 12) * 1.0</f>
        <v/>
      </c>
      <c r="O118" s="24">
        <f>I118 * (0.00400000 / 12) * 1.0</f>
        <v/>
      </c>
      <c r="P118" s="24">
        <f>I118 * (0.00500000 / 12) * 1.0</f>
        <v/>
      </c>
      <c r="Q118" s="24">
        <f>Q117 * (K118 / K117) + M118</f>
        <v/>
      </c>
      <c r="R118" s="24">
        <f>R117 * (K118 / K117) + N118</f>
        <v/>
      </c>
      <c r="S118" s="24">
        <f>S117 * (K118 / K117) + O118 + P118</f>
        <v/>
      </c>
      <c r="T118" s="20">
        <f>Q118 + R118 + S118</f>
        <v/>
      </c>
      <c r="U118" s="24">
        <f>MAX(0, -T118)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 t="n">
        <v>0</v>
      </c>
      <c r="J119" s="21" t="n">
        <v>0.6163581046166513</v>
      </c>
      <c r="K119" s="25">
        <f>1 / J119</f>
        <v/>
      </c>
      <c r="L119" s="25">
        <f>I119 * K119</f>
        <v/>
      </c>
      <c r="M119" s="25">
        <f>I119 * (0.01000000 / 12)</f>
        <v/>
      </c>
      <c r="N119" s="25">
        <f>I119 * (0.00664805 / 12) * 1.0</f>
        <v/>
      </c>
      <c r="O119" s="25">
        <f>I119 * (0.00400000 / 12) * 1.0</f>
        <v/>
      </c>
      <c r="P119" s="25">
        <f>I119 * (0.00500000 / 12) * 1.0</f>
        <v/>
      </c>
      <c r="Q119" s="25">
        <f>Q118 * (K119 / K118) + M119</f>
        <v/>
      </c>
      <c r="R119" s="25">
        <f>R118 * (K119 / K118) + N119</f>
        <v/>
      </c>
      <c r="S119" s="25">
        <f>S118 * (K119 / K118) + O119 + P119</f>
        <v/>
      </c>
      <c r="T119" s="22">
        <f>Q119 + R119 + S119</f>
        <v/>
      </c>
      <c r="U119" s="25">
        <f>MAX(0, -T119)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 t="n">
        <v>0</v>
      </c>
      <c r="J120" s="19" t="n">
        <v>0.6140455670162211</v>
      </c>
      <c r="K120" s="24">
        <f>1 / J120</f>
        <v/>
      </c>
      <c r="L120" s="24">
        <f>I120 * K120</f>
        <v/>
      </c>
      <c r="M120" s="24">
        <f>I120 * (0.01000000 / 12)</f>
        <v/>
      </c>
      <c r="N120" s="24">
        <f>I120 * (0.00664805 / 12) * 1.0</f>
        <v/>
      </c>
      <c r="O120" s="24">
        <f>I120 * (0.00400000 / 12) * 1.0</f>
        <v/>
      </c>
      <c r="P120" s="24">
        <f>I120 * (0.00500000 / 12) * 1.0</f>
        <v/>
      </c>
      <c r="Q120" s="24">
        <f>Q119 * (K120 / K119) + M120</f>
        <v/>
      </c>
      <c r="R120" s="24">
        <f>R119 * (K120 / K119) + N120</f>
        <v/>
      </c>
      <c r="S120" s="24">
        <f>S119 * (K120 / K119) + O120 + P120</f>
        <v/>
      </c>
      <c r="T120" s="20">
        <f>Q120 + R120 + S120</f>
        <v/>
      </c>
      <c r="U120" s="24">
        <f>MAX(0, -T120)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 t="n">
        <v>0</v>
      </c>
      <c r="J121" s="21" t="n">
        <v>0.6115435178190706</v>
      </c>
      <c r="K121" s="25">
        <f>1 / J121</f>
        <v/>
      </c>
      <c r="L121" s="25">
        <f>I121 * K121</f>
        <v/>
      </c>
      <c r="M121" s="25">
        <f>I121 * (0.01000000 / 12)</f>
        <v/>
      </c>
      <c r="N121" s="25">
        <f>I121 * (0.00664805 / 12) * 1.0</f>
        <v/>
      </c>
      <c r="O121" s="25">
        <f>I121 * (0.00400000 / 12) * 1.0</f>
        <v/>
      </c>
      <c r="P121" s="25">
        <f>I121 * (0.00500000 / 12) * 1.0</f>
        <v/>
      </c>
      <c r="Q121" s="25">
        <f>Q120 * (K121 / K120) + M121</f>
        <v/>
      </c>
      <c r="R121" s="25">
        <f>R120 * (K121 / K120) + N121</f>
        <v/>
      </c>
      <c r="S121" s="25">
        <f>S120 * (K121 / K120) + O121 + P121</f>
        <v/>
      </c>
      <c r="T121" s="22">
        <f>Q121 + R121 + S121</f>
        <v/>
      </c>
      <c r="U121" s="25">
        <f>MAX(0, -T121)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 t="n">
        <v>0</v>
      </c>
      <c r="J122" s="19" t="n">
        <v>0.6090516637125146</v>
      </c>
      <c r="K122" s="24">
        <f>1 / J122</f>
        <v/>
      </c>
      <c r="L122" s="24">
        <f>I122 * K122</f>
        <v/>
      </c>
      <c r="M122" s="24">
        <f>I122 * (0.01000000 / 12)</f>
        <v/>
      </c>
      <c r="N122" s="24">
        <f>I122 * (0.00664805 / 12) * 1.0</f>
        <v/>
      </c>
      <c r="O122" s="24">
        <f>I122 * (0.00400000 / 12) * 1.0</f>
        <v/>
      </c>
      <c r="P122" s="24">
        <f>I122 * (0.00500000 / 12) * 1.0</f>
        <v/>
      </c>
      <c r="Q122" s="24">
        <f>Q121 * (K122 / K121) + M122</f>
        <v/>
      </c>
      <c r="R122" s="24">
        <f>R121 * (K122 / K121) + N122</f>
        <v/>
      </c>
      <c r="S122" s="24">
        <f>S121 * (K122 / K121) + O122 + P122</f>
        <v/>
      </c>
      <c r="T122" s="20">
        <f>Q122 + R122 + S122</f>
        <v/>
      </c>
      <c r="U122" s="24">
        <f>MAX(0, -T122)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 t="n">
        <v>0</v>
      </c>
      <c r="J123" s="21" t="n">
        <v>0.6065699631546554</v>
      </c>
      <c r="K123" s="25">
        <f>1 / J123</f>
        <v/>
      </c>
      <c r="L123" s="25">
        <f>I123 * K123</f>
        <v/>
      </c>
      <c r="M123" s="25">
        <f>I123 * (0.01000000 / 12)</f>
        <v/>
      </c>
      <c r="N123" s="25">
        <f>I123 * (0.00664805 / 12) * 1.0</f>
        <v/>
      </c>
      <c r="O123" s="25">
        <f>I123 * (0.00400000 / 12) * 1.0</f>
        <v/>
      </c>
      <c r="P123" s="25">
        <f>I123 * (0.00500000 / 12) * 1.0</f>
        <v/>
      </c>
      <c r="Q123" s="25">
        <f>Q122 * (K123 / K122) + M123</f>
        <v/>
      </c>
      <c r="R123" s="25">
        <f>R122 * (K123 / K122) + N123</f>
        <v/>
      </c>
      <c r="S123" s="25">
        <f>S122 * (K123 / K122) + O123 + P123</f>
        <v/>
      </c>
      <c r="T123" s="22">
        <f>Q123 + R123 + S123</f>
        <v/>
      </c>
      <c r="U123" s="25">
        <f>MAX(0, -T123)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 t="n">
        <v>0</v>
      </c>
      <c r="J124" s="19" t="n">
        <v>0.6040983747728657</v>
      </c>
      <c r="K124" s="24">
        <f>1 / J124</f>
        <v/>
      </c>
      <c r="L124" s="24">
        <f>I124 * K124</f>
        <v/>
      </c>
      <c r="M124" s="24">
        <f>I124 * (0.01000000 / 12)</f>
        <v/>
      </c>
      <c r="N124" s="24">
        <f>I124 * (0.00664805 / 12) * 1.0</f>
        <v/>
      </c>
      <c r="O124" s="24">
        <f>I124 * (0.00400000 / 12) * 1.0</f>
        <v/>
      </c>
      <c r="P124" s="24">
        <f>I124 * (0.00500000 / 12) * 1.0</f>
        <v/>
      </c>
      <c r="Q124" s="24">
        <f>Q123 * (K124 / K123) + M124</f>
        <v/>
      </c>
      <c r="R124" s="24">
        <f>R123 * (K124 / K123) + N124</f>
        <v/>
      </c>
      <c r="S124" s="24">
        <f>S123 * (K124 / K123) + O124 + P124</f>
        <v/>
      </c>
      <c r="T124" s="20">
        <f>Q124 + R124 + S124</f>
        <v/>
      </c>
      <c r="U124" s="24">
        <f>MAX(0, -T124)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 t="n">
        <v>0</v>
      </c>
      <c r="J125" s="21" t="n">
        <v>0.6016368573630991</v>
      </c>
      <c r="K125" s="25">
        <f>1 / J125</f>
        <v/>
      </c>
      <c r="L125" s="25">
        <f>I125 * K125</f>
        <v/>
      </c>
      <c r="M125" s="25">
        <f>I125 * (0.01000000 / 12)</f>
        <v/>
      </c>
      <c r="N125" s="25">
        <f>I125 * (0.00664805 / 12) * 1.0</f>
        <v/>
      </c>
      <c r="O125" s="25">
        <f>I125 * (0.00400000 / 12) * 1.0</f>
        <v/>
      </c>
      <c r="P125" s="25">
        <f>I125 * (0.00500000 / 12) * 1.0</f>
        <v/>
      </c>
      <c r="Q125" s="25">
        <f>Q124 * (K125 / K124) + M125</f>
        <v/>
      </c>
      <c r="R125" s="25">
        <f>R124 * (K125 / K124) + N125</f>
        <v/>
      </c>
      <c r="S125" s="25">
        <f>S124 * (K125 / K124) + O125 + P125</f>
        <v/>
      </c>
      <c r="T125" s="22">
        <f>Q125 + R125 + S125</f>
        <v/>
      </c>
      <c r="U125" s="25">
        <f>MAX(0, -T125)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 t="n">
        <v>0</v>
      </c>
      <c r="J126" s="19" t="n">
        <v>0.5991853698892032</v>
      </c>
      <c r="K126" s="24">
        <f>1 / J126</f>
        <v/>
      </c>
      <c r="L126" s="24">
        <f>I126 * K126</f>
        <v/>
      </c>
      <c r="M126" s="24">
        <f>I126 * (0.01000000 / 12)</f>
        <v/>
      </c>
      <c r="N126" s="24">
        <f>I126 * (0.00664805 / 12) * 1.0</f>
        <v/>
      </c>
      <c r="O126" s="24">
        <f>I126 * (0.00400000 / 12) * 1.0</f>
        <v/>
      </c>
      <c r="P126" s="24">
        <f>I126 * (0.00500000 / 12) * 1.0</f>
        <v/>
      </c>
      <c r="Q126" s="24">
        <f>Q125 * (K126 / K125) + M126</f>
        <v/>
      </c>
      <c r="R126" s="24">
        <f>R125 * (K126 / K125) + N126</f>
        <v/>
      </c>
      <c r="S126" s="24">
        <f>S125 * (K126 / K125) + O126 + P126</f>
        <v/>
      </c>
      <c r="T126" s="20">
        <f>Q126 + R126 + S126</f>
        <v/>
      </c>
      <c r="U126" s="24">
        <f>MAX(0, -T126)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 t="n">
        <v>0</v>
      </c>
      <c r="J127" s="21" t="n">
        <v>0.5967438714822356</v>
      </c>
      <c r="K127" s="25">
        <f>1 / J127</f>
        <v/>
      </c>
      <c r="L127" s="25">
        <f>I127 * K127</f>
        <v/>
      </c>
      <c r="M127" s="25">
        <f>I127 * (0.01000000 / 12)</f>
        <v/>
      </c>
      <c r="N127" s="25">
        <f>I127 * (0.00664805 / 12) * 1.0</f>
        <v/>
      </c>
      <c r="O127" s="25">
        <f>I127 * (0.00400000 / 12) * 1.0</f>
        <v/>
      </c>
      <c r="P127" s="25">
        <f>I127 * (0.00500000 / 12) * 1.0</f>
        <v/>
      </c>
      <c r="Q127" s="25">
        <f>Q126 * (K127 / K126) + M127</f>
        <v/>
      </c>
      <c r="R127" s="25">
        <f>R126 * (K127 / K126) + N127</f>
        <v/>
      </c>
      <c r="S127" s="25">
        <f>S126 * (K127 / K126) + O127 + P127</f>
        <v/>
      </c>
      <c r="T127" s="22">
        <f>Q127 + R127 + S127</f>
        <v/>
      </c>
      <c r="U127" s="25">
        <f>MAX(0, -T127)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 t="n">
        <v>0</v>
      </c>
      <c r="J128" s="19" t="n">
        <v>0.5943123214397822</v>
      </c>
      <c r="K128" s="24">
        <f>1 / J128</f>
        <v/>
      </c>
      <c r="L128" s="24">
        <f>I128 * K128</f>
        <v/>
      </c>
      <c r="M128" s="24">
        <f>I128 * (0.01000000 / 12)</f>
        <v/>
      </c>
      <c r="N128" s="24">
        <f>I128 * (0.00664805 / 12) * 1.0</f>
        <v/>
      </c>
      <c r="O128" s="24">
        <f>I128 * (0.00400000 / 12) * 1.0</f>
        <v/>
      </c>
      <c r="P128" s="24">
        <f>I128 * (0.00500000 / 12) * 1.0</f>
        <v/>
      </c>
      <c r="Q128" s="24">
        <f>Q127 * (K128 / K127) + M128</f>
        <v/>
      </c>
      <c r="R128" s="24">
        <f>R127 * (K128 / K127) + N128</f>
        <v/>
      </c>
      <c r="S128" s="24">
        <f>S127 * (K128 / K127) + O128 + P128</f>
        <v/>
      </c>
      <c r="T128" s="20">
        <f>Q128 + R128 + S128</f>
        <v/>
      </c>
      <c r="U128" s="24">
        <f>MAX(0, -T128)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 t="n">
        <v>0</v>
      </c>
      <c r="J129" s="21" t="n">
        <v>0.5918906792252788</v>
      </c>
      <c r="K129" s="25">
        <f>1 / J129</f>
        <v/>
      </c>
      <c r="L129" s="25">
        <f>I129 * K129</f>
        <v/>
      </c>
      <c r="M129" s="25">
        <f>I129 * (0.01000000 / 12)</f>
        <v/>
      </c>
      <c r="N129" s="25">
        <f>I129 * (0.00664805 / 12) * 1.0</f>
        <v/>
      </c>
      <c r="O129" s="25">
        <f>I129 * (0.00400000 / 12) * 1.0</f>
        <v/>
      </c>
      <c r="P129" s="25">
        <f>I129 * (0.00500000 / 12) * 1.0</f>
        <v/>
      </c>
      <c r="Q129" s="25">
        <f>Q128 * (K129 / K128) + M129</f>
        <v/>
      </c>
      <c r="R129" s="25">
        <f>R128 * (K129 / K128) + N129</f>
        <v/>
      </c>
      <c r="S129" s="25">
        <f>S128 * (K129 / K128) + O129 + P129</f>
        <v/>
      </c>
      <c r="T129" s="22">
        <f>Q129 + R129 + S129</f>
        <v/>
      </c>
      <c r="U129" s="25">
        <f>MAX(0, -T129)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 t="n">
        <v>0</v>
      </c>
      <c r="J130" s="19" t="n">
        <v>0.5894789044673359</v>
      </c>
      <c r="K130" s="24">
        <f>1 / J130</f>
        <v/>
      </c>
      <c r="L130" s="24">
        <f>I130 * K130</f>
        <v/>
      </c>
      <c r="M130" s="24">
        <f>I130 * (0.01000000 / 12)</f>
        <v/>
      </c>
      <c r="N130" s="24">
        <f>I130 * (0.00664805 / 12) * 1.0</f>
        <v/>
      </c>
      <c r="O130" s="24">
        <f>I130 * (0.00400000 / 12) * 1.0</f>
        <v/>
      </c>
      <c r="P130" s="24">
        <f>I130 * (0.00500000 / 12) * 1.0</f>
        <v/>
      </c>
      <c r="Q130" s="24">
        <f>Q129 * (K130 / K129) + M130</f>
        <v/>
      </c>
      <c r="R130" s="24">
        <f>R129 * (K130 / K129) + N130</f>
        <v/>
      </c>
      <c r="S130" s="24">
        <f>S129 * (K130 / K129) + O130 + P130</f>
        <v/>
      </c>
      <c r="T130" s="20">
        <f>Q130 + R130 + S130</f>
        <v/>
      </c>
      <c r="U130" s="24">
        <f>MAX(0, -T130)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 t="n">
        <v>0</v>
      </c>
      <c r="J131" s="21" t="n">
        <v>0.5870769569590645</v>
      </c>
      <c r="K131" s="25">
        <f>1 / J131</f>
        <v/>
      </c>
      <c r="L131" s="25">
        <f>I131 * K131</f>
        <v/>
      </c>
      <c r="M131" s="25">
        <f>I131 * (0.01000000 / 12)</f>
        <v/>
      </c>
      <c r="N131" s="25">
        <f>I131 * (0.00664805 / 12) * 1.0</f>
        <v/>
      </c>
      <c r="O131" s="25">
        <f>I131 * (0.00400000 / 12) * 1.0</f>
        <v/>
      </c>
      <c r="P131" s="25">
        <f>I131 * (0.00500000 / 12) * 1.0</f>
        <v/>
      </c>
      <c r="Q131" s="25">
        <f>Q130 * (K131 / K130) + M131</f>
        <v/>
      </c>
      <c r="R131" s="25">
        <f>R130 * (K131 / K130) + N131</f>
        <v/>
      </c>
      <c r="S131" s="25">
        <f>S130 * (K131 / K130) + O131 + P131</f>
        <v/>
      </c>
      <c r="T131" s="22">
        <f>Q131 + R131 + S131</f>
        <v/>
      </c>
      <c r="U131" s="25">
        <f>MAX(0, -T131)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 t="n">
        <v>0</v>
      </c>
      <c r="J132" s="19" t="n">
        <v>0.5846847966574069</v>
      </c>
      <c r="K132" s="24">
        <f>1 / J132</f>
        <v/>
      </c>
      <c r="L132" s="24">
        <f>I132 * K132</f>
        <v/>
      </c>
      <c r="M132" s="24">
        <f>I132 * (0.01000000 / 12)</f>
        <v/>
      </c>
      <c r="N132" s="24">
        <f>I132 * (0.00664805 / 12) * 1.0</f>
        <v/>
      </c>
      <c r="O132" s="24">
        <f>I132 * (0.00400000 / 12) * 1.0</f>
        <v/>
      </c>
      <c r="P132" s="24">
        <f>I132 * (0.00500000 / 12) * 1.0</f>
        <v/>
      </c>
      <c r="Q132" s="24">
        <f>Q131 * (K132 / K131) + M132</f>
        <v/>
      </c>
      <c r="R132" s="24">
        <f>R131 * (K132 / K131) + N132</f>
        <v/>
      </c>
      <c r="S132" s="24">
        <f>S131 * (K132 / K131) + O132 + P132</f>
        <v/>
      </c>
      <c r="T132" s="20">
        <f>Q132 + R132 + S132</f>
        <v/>
      </c>
      <c r="U132" s="24">
        <f>MAX(0, -T132)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 t="n">
        <v>0</v>
      </c>
      <c r="J133" s="21" t="n">
        <v>0.5823023836824686</v>
      </c>
      <c r="K133" s="25">
        <f>1 / J133</f>
        <v/>
      </c>
      <c r="L133" s="25">
        <f>I133 * K133</f>
        <v/>
      </c>
      <c r="M133" s="25">
        <f>I133 * (0.01000000 / 12)</f>
        <v/>
      </c>
      <c r="N133" s="25">
        <f>I133 * (0.00664805 / 12) * 1.0</f>
        <v/>
      </c>
      <c r="O133" s="25">
        <f>I133 * (0.00400000 / 12) * 1.0</f>
        <v/>
      </c>
      <c r="P133" s="25">
        <f>I133 * (0.00500000 / 12) * 1.0</f>
        <v/>
      </c>
      <c r="Q133" s="25">
        <f>Q132 * (K133 / K132) + M133</f>
        <v/>
      </c>
      <c r="R133" s="25">
        <f>R132 * (K133 / K132) + N133</f>
        <v/>
      </c>
      <c r="S133" s="25">
        <f>S132 * (K133 / K132) + O133 + P133</f>
        <v/>
      </c>
      <c r="T133" s="22">
        <f>Q133 + R133 + S133</f>
        <v/>
      </c>
      <c r="U133" s="25">
        <f>MAX(0, -T133)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 t="n">
        <v>0</v>
      </c>
      <c r="J134" s="19" t="n">
        <v>0.5799296783168534</v>
      </c>
      <c r="K134" s="24">
        <f>1 / J134</f>
        <v/>
      </c>
      <c r="L134" s="24">
        <f>I134 * K134</f>
        <v/>
      </c>
      <c r="M134" s="24">
        <f>I134 * (0.01000000 / 12)</f>
        <v/>
      </c>
      <c r="N134" s="24">
        <f>I134 * (0.00664805 / 12) * 1.0</f>
        <v/>
      </c>
      <c r="O134" s="24">
        <f>I134 * (0.00400000 / 12) * 1.0</f>
        <v/>
      </c>
      <c r="P134" s="24">
        <f>I134 * (0.00500000 / 12) * 1.0</f>
        <v/>
      </c>
      <c r="Q134" s="24">
        <f>Q133 * (K134 / K133) + M134</f>
        <v/>
      </c>
      <c r="R134" s="24">
        <f>R133 * (K134 / K133) + N134</f>
        <v/>
      </c>
      <c r="S134" s="24">
        <f>S133 * (K134 / K133) + O134 + P134</f>
        <v/>
      </c>
      <c r="T134" s="20">
        <f>Q134 + R134 + S134</f>
        <v/>
      </c>
      <c r="U134" s="24">
        <f>MAX(0, -T134)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 t="n">
        <v>0</v>
      </c>
      <c r="J135" s="21" t="n">
        <v>0.5775666410050017</v>
      </c>
      <c r="K135" s="25">
        <f>1 / J135</f>
        <v/>
      </c>
      <c r="L135" s="25">
        <f>I135 * K135</f>
        <v/>
      </c>
      <c r="M135" s="25">
        <f>I135 * (0.01000000 / 12)</f>
        <v/>
      </c>
      <c r="N135" s="25">
        <f>I135 * (0.00664805 / 12) * 1.0</f>
        <v/>
      </c>
      <c r="O135" s="25">
        <f>I135 * (0.00400000 / 12) * 1.0</f>
        <v/>
      </c>
      <c r="P135" s="25">
        <f>I135 * (0.00500000 / 12) * 1.0</f>
        <v/>
      </c>
      <c r="Q135" s="25">
        <f>Q134 * (K135 / K134) + M135</f>
        <v/>
      </c>
      <c r="R135" s="25">
        <f>R134 * (K135 / K134) + N135</f>
        <v/>
      </c>
      <c r="S135" s="25">
        <f>S134 * (K135 / K134) + O135 + P135</f>
        <v/>
      </c>
      <c r="T135" s="22">
        <f>Q135 + R135 + S135</f>
        <v/>
      </c>
      <c r="U135" s="25">
        <f>MAX(0, -T135)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 t="n">
        <v>0</v>
      </c>
      <c r="J136" s="19" t="n">
        <v>0.5752132323525305</v>
      </c>
      <c r="K136" s="24">
        <f>1 / J136</f>
        <v/>
      </c>
      <c r="L136" s="24">
        <f>I136 * K136</f>
        <v/>
      </c>
      <c r="M136" s="24">
        <f>I136 * (0.01000000 / 12)</f>
        <v/>
      </c>
      <c r="N136" s="24">
        <f>I136 * (0.00664805 / 12) * 1.0</f>
        <v/>
      </c>
      <c r="O136" s="24">
        <f>I136 * (0.00400000 / 12) * 1.0</f>
        <v/>
      </c>
      <c r="P136" s="24">
        <f>I136 * (0.00500000 / 12) * 1.0</f>
        <v/>
      </c>
      <c r="Q136" s="24">
        <f>Q135 * (K136 / K135) + M136</f>
        <v/>
      </c>
      <c r="R136" s="24">
        <f>R135 * (K136 / K135) + N136</f>
        <v/>
      </c>
      <c r="S136" s="24">
        <f>S135 * (K136 / K135) + O136 + P136</f>
        <v/>
      </c>
      <c r="T136" s="20">
        <f>Q136 + R136 + S136</f>
        <v/>
      </c>
      <c r="U136" s="24">
        <f>MAX(0, -T136)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 t="n">
        <v>0</v>
      </c>
      <c r="J137" s="21" t="n">
        <v>0.5728694131255773</v>
      </c>
      <c r="K137" s="25">
        <f>1 / J137</f>
        <v/>
      </c>
      <c r="L137" s="25">
        <f>I137 * K137</f>
        <v/>
      </c>
      <c r="M137" s="25">
        <f>I137 * (0.01000000 / 12)</f>
        <v/>
      </c>
      <c r="N137" s="25">
        <f>I137 * (0.00664805 / 12) * 1.0</f>
        <v/>
      </c>
      <c r="O137" s="25">
        <f>I137 * (0.00400000 / 12) * 1.0</f>
        <v/>
      </c>
      <c r="P137" s="25">
        <f>I137 * (0.00500000 / 12) * 1.0</f>
        <v/>
      </c>
      <c r="Q137" s="25">
        <f>Q136 * (K137 / K136) + M137</f>
        <v/>
      </c>
      <c r="R137" s="25">
        <f>R136 * (K137 / K136) + N137</f>
        <v/>
      </c>
      <c r="S137" s="25">
        <f>S136 * (K137 / K136) + O137 + P137</f>
        <v/>
      </c>
      <c r="T137" s="22">
        <f>Q137 + R137 + S137</f>
        <v/>
      </c>
      <c r="U137" s="25">
        <f>MAX(0, -T137)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 t="n">
        <v>0</v>
      </c>
      <c r="J138" s="19" t="n">
        <v>0.5705351442501453</v>
      </c>
      <c r="K138" s="24">
        <f>1 / J138</f>
        <v/>
      </c>
      <c r="L138" s="24">
        <f>I138 * K138</f>
        <v/>
      </c>
      <c r="M138" s="24">
        <f>I138 * (0.01000000 / 12)</f>
        <v/>
      </c>
      <c r="N138" s="24">
        <f>I138 * (0.00664805 / 12) * 1.0</f>
        <v/>
      </c>
      <c r="O138" s="24">
        <f>I138 * (0.00400000 / 12) * 1.0</f>
        <v/>
      </c>
      <c r="P138" s="24">
        <f>I138 * (0.00500000 / 12) * 1.0</f>
        <v/>
      </c>
      <c r="Q138" s="24">
        <f>Q137 * (K138 / K137) + M138</f>
        <v/>
      </c>
      <c r="R138" s="24">
        <f>R137 * (K138 / K137) + N138</f>
        <v/>
      </c>
      <c r="S138" s="24">
        <f>S137 * (K138 / K137) + O138 + P138</f>
        <v/>
      </c>
      <c r="T138" s="20">
        <f>Q138 + R138 + S138</f>
        <v/>
      </c>
      <c r="U138" s="24">
        <f>MAX(0, -T138)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 t="n">
        <v>0</v>
      </c>
      <c r="J139" s="21" t="n">
        <v>0.5682103868114525</v>
      </c>
      <c r="K139" s="25">
        <f>1 / J139</f>
        <v/>
      </c>
      <c r="L139" s="25">
        <f>I139 * K139</f>
        <v/>
      </c>
      <c r="M139" s="25">
        <f>I139 * (0.01000000 / 12)</f>
        <v/>
      </c>
      <c r="N139" s="25">
        <f>I139 * (0.00664805 / 12) * 1.0</f>
        <v/>
      </c>
      <c r="O139" s="25">
        <f>I139 * (0.00400000 / 12) * 1.0</f>
        <v/>
      </c>
      <c r="P139" s="25">
        <f>I139 * (0.00500000 / 12) * 1.0</f>
        <v/>
      </c>
      <c r="Q139" s="25">
        <f>Q138 * (K139 / K138) + M139</f>
        <v/>
      </c>
      <c r="R139" s="25">
        <f>R138 * (K139 / K138) + N139</f>
        <v/>
      </c>
      <c r="S139" s="25">
        <f>S138 * (K139 / K138) + O139 + P139</f>
        <v/>
      </c>
      <c r="T139" s="22">
        <f>Q139 + R139 + S139</f>
        <v/>
      </c>
      <c r="U139" s="25">
        <f>MAX(0, -T139)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 t="n">
        <v>0</v>
      </c>
      <c r="J140" s="19" t="n">
        <v>0.565895102053283</v>
      </c>
      <c r="K140" s="24">
        <f>1 / J140</f>
        <v/>
      </c>
      <c r="L140" s="24">
        <f>I140 * K140</f>
        <v/>
      </c>
      <c r="M140" s="24">
        <f>I140 * (0.01000000 / 12)</f>
        <v/>
      </c>
      <c r="N140" s="24">
        <f>I140 * (0.00664805 / 12) * 1.0</f>
        <v/>
      </c>
      <c r="O140" s="24">
        <f>I140 * (0.00400000 / 12) * 1.0</f>
        <v/>
      </c>
      <c r="P140" s="24">
        <f>I140 * (0.00500000 / 12) * 1.0</f>
        <v/>
      </c>
      <c r="Q140" s="24">
        <f>Q139 * (K140 / K139) + M140</f>
        <v/>
      </c>
      <c r="R140" s="24">
        <f>R139 * (K140 / K139) + N140</f>
        <v/>
      </c>
      <c r="S140" s="24">
        <f>S139 * (K140 / K139) + O140 + P140</f>
        <v/>
      </c>
      <c r="T140" s="20">
        <f>Q140 + R140 + S140</f>
        <v/>
      </c>
      <c r="U140" s="24">
        <f>MAX(0, -T140)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 t="n">
        <v>0</v>
      </c>
      <c r="J141" s="21" t="n">
        <v>0.5635892513773405</v>
      </c>
      <c r="K141" s="25">
        <f>1 / J141</f>
        <v/>
      </c>
      <c r="L141" s="25">
        <f>I141 * K141</f>
        <v/>
      </c>
      <c r="M141" s="25">
        <f>I141 * (0.01000000 / 12)</f>
        <v/>
      </c>
      <c r="N141" s="25">
        <f>I141 * (0.00664805 / 12) * 1.0</f>
        <v/>
      </c>
      <c r="O141" s="25">
        <f>I141 * (0.00400000 / 12) * 1.0</f>
        <v/>
      </c>
      <c r="P141" s="25">
        <f>I141 * (0.00500000 / 12) * 1.0</f>
        <v/>
      </c>
      <c r="Q141" s="25">
        <f>Q140 * (K141 / K140) + M141</f>
        <v/>
      </c>
      <c r="R141" s="25">
        <f>R140 * (K141 / K140) + N141</f>
        <v/>
      </c>
      <c r="S141" s="25">
        <f>S140 * (K141 / K140) + O141 + P141</f>
        <v/>
      </c>
      <c r="T141" s="22">
        <f>Q141 + R141 + S141</f>
        <v/>
      </c>
      <c r="U141" s="25">
        <f>MAX(0, -T141)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 t="n">
        <v>0</v>
      </c>
      <c r="J142" s="19" t="n">
        <v>0.5612927963426051</v>
      </c>
      <c r="K142" s="24">
        <f>1 / J142</f>
        <v/>
      </c>
      <c r="L142" s="24">
        <f>I142 * K142</f>
        <v/>
      </c>
      <c r="M142" s="24">
        <f>I142 * (0.01000000 / 12)</f>
        <v/>
      </c>
      <c r="N142" s="24">
        <f>I142 * (0.00664805 / 12) * 1.0</f>
        <v/>
      </c>
      <c r="O142" s="24">
        <f>I142 * (0.00400000 / 12) * 1.0</f>
        <v/>
      </c>
      <c r="P142" s="24">
        <f>I142 * (0.00500000 / 12) * 1.0</f>
        <v/>
      </c>
      <c r="Q142" s="24">
        <f>Q141 * (K142 / K141) + M142</f>
        <v/>
      </c>
      <c r="R142" s="24">
        <f>R141 * (K142 / K141) + N142</f>
        <v/>
      </c>
      <c r="S142" s="24">
        <f>S141 * (K142 / K141) + O142 + P142</f>
        <v/>
      </c>
      <c r="T142" s="20">
        <f>Q142 + R142 + S142</f>
        <v/>
      </c>
      <c r="U142" s="24">
        <f>MAX(0, -T142)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 t="n">
        <v>0</v>
      </c>
      <c r="J143" s="21" t="n">
        <v>0.5590056986646923</v>
      </c>
      <c r="K143" s="25">
        <f>1 / J143</f>
        <v/>
      </c>
      <c r="L143" s="25">
        <f>I143 * K143</f>
        <v/>
      </c>
      <c r="M143" s="25">
        <f>I143 * (0.01000000 / 12)</f>
        <v/>
      </c>
      <c r="N143" s="25">
        <f>I143 * (0.00664805 / 12) * 1.0</f>
        <v/>
      </c>
      <c r="O143" s="25">
        <f>I143 * (0.00400000 / 12) * 1.0</f>
        <v/>
      </c>
      <c r="P143" s="25">
        <f>I143 * (0.00500000 / 12) * 1.0</f>
        <v/>
      </c>
      <c r="Q143" s="25">
        <f>Q142 * (K143 / K142) + M143</f>
        <v/>
      </c>
      <c r="R143" s="25">
        <f>R142 * (K143 / K142) + N143</f>
        <v/>
      </c>
      <c r="S143" s="25">
        <f>S142 * (K143 / K142) + O143 + P143</f>
        <v/>
      </c>
      <c r="T143" s="22">
        <f>Q143 + R143 + S143</f>
        <v/>
      </c>
      <c r="U143" s="25">
        <f>MAX(0, -T143)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 t="n">
        <v>0</v>
      </c>
      <c r="J144" s="19" t="n">
        <v>0.556727920215215</v>
      </c>
      <c r="K144" s="24">
        <f>1 / J144</f>
        <v/>
      </c>
      <c r="L144" s="24">
        <f>I144 * K144</f>
        <v/>
      </c>
      <c r="M144" s="24">
        <f>I144 * (0.01000000 / 12)</f>
        <v/>
      </c>
      <c r="N144" s="24">
        <f>I144 * (0.00664805 / 12) * 1.0</f>
        <v/>
      </c>
      <c r="O144" s="24">
        <f>I144 * (0.00400000 / 12) * 1.0</f>
        <v/>
      </c>
      <c r="P144" s="24">
        <f>I144 * (0.00500000 / 12) * 1.0</f>
        <v/>
      </c>
      <c r="Q144" s="24">
        <f>Q143 * (K144 / K143) + M144</f>
        <v/>
      </c>
      <c r="R144" s="24">
        <f>R143 * (K144 / K143) + N144</f>
        <v/>
      </c>
      <c r="S144" s="24">
        <f>S143 * (K144 / K143) + O144 + P144</f>
        <v/>
      </c>
      <c r="T144" s="20">
        <f>Q144 + R144 + S144</f>
        <v/>
      </c>
      <c r="U144" s="24">
        <f>MAX(0, -T144)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 t="n">
        <v>0</v>
      </c>
      <c r="J145" s="21" t="n">
        <v>0.5544594230211477</v>
      </c>
      <c r="K145" s="25">
        <f>1 / J145</f>
        <v/>
      </c>
      <c r="L145" s="25">
        <f>I145 * K145</f>
        <v/>
      </c>
      <c r="M145" s="25">
        <f>I145 * (0.01000000 / 12)</f>
        <v/>
      </c>
      <c r="N145" s="25">
        <f>I145 * (0.00664805 / 12) * 1.0</f>
        <v/>
      </c>
      <c r="O145" s="25">
        <f>I145 * (0.00400000 / 12) * 1.0</f>
        <v/>
      </c>
      <c r="P145" s="25">
        <f>I145 * (0.00500000 / 12) * 1.0</f>
        <v/>
      </c>
      <c r="Q145" s="25">
        <f>Q144 * (K145 / K144) + M145</f>
        <v/>
      </c>
      <c r="R145" s="25">
        <f>R144 * (K145 / K144) + N145</f>
        <v/>
      </c>
      <c r="S145" s="25">
        <f>S144 * (K145 / K144) + O145 + P145</f>
        <v/>
      </c>
      <c r="T145" s="22">
        <f>Q145 + R145 + S145</f>
        <v/>
      </c>
      <c r="U145" s="25">
        <f>MAX(0, -T145)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 t="n">
        <v>0</v>
      </c>
      <c r="J146" s="19" t="n">
        <v>0.5522001692641932</v>
      </c>
      <c r="K146" s="24">
        <f>1 / J146</f>
        <v/>
      </c>
      <c r="L146" s="24">
        <f>I146 * K146</f>
        <v/>
      </c>
      <c r="M146" s="24">
        <f>I146 * (0.01000000 / 12)</f>
        <v/>
      </c>
      <c r="N146" s="24">
        <f>I146 * (0.00664805 / 12) * 1.0</f>
        <v/>
      </c>
      <c r="O146" s="24">
        <f>I146 * (0.00400000 / 12) * 1.0</f>
        <v/>
      </c>
      <c r="P146" s="24">
        <f>I146 * (0.00500000 / 12) * 1.0</f>
        <v/>
      </c>
      <c r="Q146" s="24">
        <f>Q145 * (K146 / K145) + M146</f>
        <v/>
      </c>
      <c r="R146" s="24">
        <f>R145 * (K146 / K145) + N146</f>
        <v/>
      </c>
      <c r="S146" s="24">
        <f>S145 * (K146 / K145) + O146 + P146</f>
        <v/>
      </c>
      <c r="T146" s="20">
        <f>Q146 + R146 + S146</f>
        <v/>
      </c>
      <c r="U146" s="24">
        <f>MAX(0, -T146)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 t="n">
        <v>0</v>
      </c>
      <c r="J147" s="21" t="n">
        <v>0.5499501212801526</v>
      </c>
      <c r="K147" s="25">
        <f>1 / J147</f>
        <v/>
      </c>
      <c r="L147" s="25">
        <f>I147 * K147</f>
        <v/>
      </c>
      <c r="M147" s="25">
        <f>I147 * (0.01000000 / 12)</f>
        <v/>
      </c>
      <c r="N147" s="25">
        <f>I147 * (0.00664805 / 12) * 1.0</f>
        <v/>
      </c>
      <c r="O147" s="25">
        <f>I147 * (0.00400000 / 12) * 1.0</f>
        <v/>
      </c>
      <c r="P147" s="25">
        <f>I147 * (0.00500000 / 12) * 1.0</f>
        <v/>
      </c>
      <c r="Q147" s="25">
        <f>Q146 * (K147 / K146) + M147</f>
        <v/>
      </c>
      <c r="R147" s="25">
        <f>R146 * (K147 / K146) + N147</f>
        <v/>
      </c>
      <c r="S147" s="25">
        <f>S146 * (K147 / K146) + O147 + P147</f>
        <v/>
      </c>
      <c r="T147" s="22">
        <f>Q147 + R147 + S147</f>
        <v/>
      </c>
      <c r="U147" s="25">
        <f>MAX(0, -T147)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 t="n">
        <v>0</v>
      </c>
      <c r="J148" s="19" t="n">
        <v>0.5477092415582973</v>
      </c>
      <c r="K148" s="24">
        <f>1 / J148</f>
        <v/>
      </c>
      <c r="L148" s="24">
        <f>I148 * K148</f>
        <v/>
      </c>
      <c r="M148" s="24">
        <f>I148 * (0.01000000 / 12)</f>
        <v/>
      </c>
      <c r="N148" s="24">
        <f>I148 * (0.00664805 / 12) * 1.0</f>
        <v/>
      </c>
      <c r="O148" s="24">
        <f>I148 * (0.00400000 / 12) * 1.0</f>
        <v/>
      </c>
      <c r="P148" s="24">
        <f>I148 * (0.00500000 / 12) * 1.0</f>
        <v/>
      </c>
      <c r="Q148" s="24">
        <f>Q147 * (K148 / K147) + M148</f>
        <v/>
      </c>
      <c r="R148" s="24">
        <f>R147 * (K148 / K147) + N148</f>
        <v/>
      </c>
      <c r="S148" s="24">
        <f>S147 * (K148 / K147) + O148 + P148</f>
        <v/>
      </c>
      <c r="T148" s="20">
        <f>Q148 + R148 + S148</f>
        <v/>
      </c>
      <c r="U148" s="24">
        <f>MAX(0, -T148)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 t="n">
        <v>0</v>
      </c>
      <c r="J149" s="21" t="n">
        <v>0.545477492740743</v>
      </c>
      <c r="K149" s="25">
        <f>1 / J149</f>
        <v/>
      </c>
      <c r="L149" s="25">
        <f>I149 * K149</f>
        <v/>
      </c>
      <c r="M149" s="25">
        <f>I149 * (0.01000000 / 12)</f>
        <v/>
      </c>
      <c r="N149" s="25">
        <f>I149 * (0.00664805 / 12) * 1.0</f>
        <v/>
      </c>
      <c r="O149" s="25">
        <f>I149 * (0.00400000 / 12) * 1.0</f>
        <v/>
      </c>
      <c r="P149" s="25">
        <f>I149 * (0.00500000 / 12) * 1.0</f>
        <v/>
      </c>
      <c r="Q149" s="25">
        <f>Q148 * (K149 / K148) + M149</f>
        <v/>
      </c>
      <c r="R149" s="25">
        <f>R148 * (K149 / K148) + N149</f>
        <v/>
      </c>
      <c r="S149" s="25">
        <f>S148 * (K149 / K148) + O149 + P149</f>
        <v/>
      </c>
      <c r="T149" s="22">
        <f>Q149 + R149 + S149</f>
        <v/>
      </c>
      <c r="U149" s="25">
        <f>MAX(0, -T149)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 t="n">
        <v>0</v>
      </c>
      <c r="J150" s="19" t="n">
        <v>0.5432548376218279</v>
      </c>
      <c r="K150" s="24">
        <f>1 / J150</f>
        <v/>
      </c>
      <c r="L150" s="24">
        <f>I150 * K150</f>
        <v/>
      </c>
      <c r="M150" s="24">
        <f>I150 * (0.01000000 / 12)</f>
        <v/>
      </c>
      <c r="N150" s="24">
        <f>I150 * (0.00664805 / 12) * 1.0</f>
        <v/>
      </c>
      <c r="O150" s="24">
        <f>I150 * (0.00400000 / 12) * 1.0</f>
        <v/>
      </c>
      <c r="P150" s="24">
        <f>I150 * (0.00500000 / 12) * 1.0</f>
        <v/>
      </c>
      <c r="Q150" s="24">
        <f>Q149 * (K150 / K149) + M150</f>
        <v/>
      </c>
      <c r="R150" s="24">
        <f>R149 * (K150 / K149) + N150</f>
        <v/>
      </c>
      <c r="S150" s="24">
        <f>S149 * (K150 / K149) + O150 + P150</f>
        <v/>
      </c>
      <c r="T150" s="20">
        <f>Q150 + R150 + S150</f>
        <v/>
      </c>
      <c r="U150" s="24">
        <f>MAX(0, -T150)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 t="n">
        <v>0</v>
      </c>
      <c r="J151" s="21" t="n">
        <v>0.5410412391474919</v>
      </c>
      <c r="K151" s="25">
        <f>1 / J151</f>
        <v/>
      </c>
      <c r="L151" s="25">
        <f>I151 * K151</f>
        <v/>
      </c>
      <c r="M151" s="25">
        <f>I151 * (0.01000000 / 12)</f>
        <v/>
      </c>
      <c r="N151" s="25">
        <f>I151 * (0.00664805 / 12) * 1.0</f>
        <v/>
      </c>
      <c r="O151" s="25">
        <f>I151 * (0.00400000 / 12) * 1.0</f>
        <v/>
      </c>
      <c r="P151" s="25">
        <f>I151 * (0.00500000 / 12) * 1.0</f>
        <v/>
      </c>
      <c r="Q151" s="25">
        <f>Q150 * (K151 / K150) + M151</f>
        <v/>
      </c>
      <c r="R151" s="25">
        <f>R150 * (K151 / K150) + N151</f>
        <v/>
      </c>
      <c r="S151" s="25">
        <f>S150 * (K151 / K150) + O151 + P151</f>
        <v/>
      </c>
      <c r="T151" s="22">
        <f>Q151 + R151 + S151</f>
        <v/>
      </c>
      <c r="U151" s="25">
        <f>MAX(0, -T151)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 t="n">
        <v>0</v>
      </c>
      <c r="J152" s="19" t="n">
        <v>0.5388366604146589</v>
      </c>
      <c r="K152" s="24">
        <f>1 / J152</f>
        <v/>
      </c>
      <c r="L152" s="24">
        <f>I152 * K152</f>
        <v/>
      </c>
      <c r="M152" s="24">
        <f>I152 * (0.01000000 / 12)</f>
        <v/>
      </c>
      <c r="N152" s="24">
        <f>I152 * (0.00664805 / 12) * 1.0</f>
        <v/>
      </c>
      <c r="O152" s="24">
        <f>I152 * (0.00400000 / 12) * 1.0</f>
        <v/>
      </c>
      <c r="P152" s="24">
        <f>I152 * (0.00500000 / 12) * 1.0</f>
        <v/>
      </c>
      <c r="Q152" s="24">
        <f>Q151 * (K152 / K151) + M152</f>
        <v/>
      </c>
      <c r="R152" s="24">
        <f>R151 * (K152 / K151) + N152</f>
        <v/>
      </c>
      <c r="S152" s="24">
        <f>S151 * (K152 / K151) + O152 + P152</f>
        <v/>
      </c>
      <c r="T152" s="20">
        <f>Q152 + R152 + S152</f>
        <v/>
      </c>
      <c r="U152" s="24">
        <f>MAX(0, -T152)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 t="n">
        <v>0</v>
      </c>
      <c r="J153" s="21" t="n">
        <v>0.5366410646706217</v>
      </c>
      <c r="K153" s="25">
        <f>1 / J153</f>
        <v/>
      </c>
      <c r="L153" s="25">
        <f>I153 * K153</f>
        <v/>
      </c>
      <c r="M153" s="25">
        <f>I153 * (0.01000000 / 12)</f>
        <v/>
      </c>
      <c r="N153" s="25">
        <f>I153 * (0.00664805 / 12) * 1.0</f>
        <v/>
      </c>
      <c r="O153" s="25">
        <f>I153 * (0.00400000 / 12) * 1.0</f>
        <v/>
      </c>
      <c r="P153" s="25">
        <f>I153 * (0.00500000 / 12) * 1.0</f>
        <v/>
      </c>
      <c r="Q153" s="25">
        <f>Q152 * (K153 / K152) + M153</f>
        <v/>
      </c>
      <c r="R153" s="25">
        <f>R152 * (K153 / K152) + N153</f>
        <v/>
      </c>
      <c r="S153" s="25">
        <f>S152 * (K153 / K152) + O153 + P153</f>
        <v/>
      </c>
      <c r="T153" s="22">
        <f>Q153 + R153 + S153</f>
        <v/>
      </c>
      <c r="U153" s="25">
        <f>MAX(0, -T153)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 t="n">
        <v>0</v>
      </c>
      <c r="J154" s="19" t="n">
        <v>0.5344544153124289</v>
      </c>
      <c r="K154" s="24">
        <f>1 / J154</f>
        <v/>
      </c>
      <c r="L154" s="24">
        <f>I154 * K154</f>
        <v/>
      </c>
      <c r="M154" s="24">
        <f>I154 * (0.01000000 / 12)</f>
        <v/>
      </c>
      <c r="N154" s="24">
        <f>I154 * (0.00664805 / 12) * 1.0</f>
        <v/>
      </c>
      <c r="O154" s="24">
        <f>I154 * (0.00400000 / 12) * 1.0</f>
        <v/>
      </c>
      <c r="P154" s="24">
        <f>I154 * (0.00500000 / 12) * 1.0</f>
        <v/>
      </c>
      <c r="Q154" s="24">
        <f>Q153 * (K154 / K153) + M154</f>
        <v/>
      </c>
      <c r="R154" s="24">
        <f>R153 * (K154 / K153) + N154</f>
        <v/>
      </c>
      <c r="S154" s="24">
        <f>S153 * (K154 / K153) + O154 + P154</f>
        <v/>
      </c>
      <c r="T154" s="20">
        <f>Q154 + R154 + S154</f>
        <v/>
      </c>
      <c r="U154" s="24">
        <f>MAX(0, -T154)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 t="n">
        <v>0</v>
      </c>
      <c r="J155" s="21" t="n">
        <v>0.5322766758862754</v>
      </c>
      <c r="K155" s="25">
        <f>1 / J155</f>
        <v/>
      </c>
      <c r="L155" s="25">
        <f>I155 * K155</f>
        <v/>
      </c>
      <c r="M155" s="25">
        <f>I155 * (0.01000000 / 12)</f>
        <v/>
      </c>
      <c r="N155" s="25">
        <f>I155 * (0.00664805 / 12) * 1.0</f>
        <v/>
      </c>
      <c r="O155" s="25">
        <f>I155 * (0.00400000 / 12) * 1.0</f>
        <v/>
      </c>
      <c r="P155" s="25">
        <f>I155 * (0.00500000 / 12) * 1.0</f>
        <v/>
      </c>
      <c r="Q155" s="25">
        <f>Q154 * (K155 / K154) + M155</f>
        <v/>
      </c>
      <c r="R155" s="25">
        <f>R154 * (K155 / K154) + N155</f>
        <v/>
      </c>
      <c r="S155" s="25">
        <f>S154 * (K155 / K154) + O155 + P155</f>
        <v/>
      </c>
      <c r="T155" s="22">
        <f>Q155 + R155 + S155</f>
        <v/>
      </c>
      <c r="U155" s="25">
        <f>MAX(0, -T155)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 t="n">
        <v>0</v>
      </c>
      <c r="J156" s="19" t="n">
        <v>0.530107810086894</v>
      </c>
      <c r="K156" s="24">
        <f>1 / J156</f>
        <v/>
      </c>
      <c r="L156" s="24">
        <f>I156 * K156</f>
        <v/>
      </c>
      <c r="M156" s="24">
        <f>I156 * (0.01000000 / 12)</f>
        <v/>
      </c>
      <c r="N156" s="24">
        <f>I156 * (0.00664805 / 12) * 1.0</f>
        <v/>
      </c>
      <c r="O156" s="24">
        <f>I156 * (0.00400000 / 12) * 1.0</f>
        <v/>
      </c>
      <c r="P156" s="24">
        <f>I156 * (0.00500000 / 12) * 1.0</f>
        <v/>
      </c>
      <c r="Q156" s="24">
        <f>Q155 * (K156 / K155) + M156</f>
        <v/>
      </c>
      <c r="R156" s="24">
        <f>R155 * (K156 / K155) + N156</f>
        <v/>
      </c>
      <c r="S156" s="24">
        <f>S155 * (K156 / K155) + O156 + P156</f>
        <v/>
      </c>
      <c r="T156" s="20">
        <f>Q156 + R156 + S156</f>
        <v/>
      </c>
      <c r="U156" s="24">
        <f>MAX(0, -T156)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 t="n">
        <v>0</v>
      </c>
      <c r="J157" s="21" t="n">
        <v>0.5279477817569507</v>
      </c>
      <c r="K157" s="25">
        <f>1 / J157</f>
        <v/>
      </c>
      <c r="L157" s="25">
        <f>I157 * K157</f>
        <v/>
      </c>
      <c r="M157" s="25">
        <f>I157 * (0.01000000 / 12)</f>
        <v/>
      </c>
      <c r="N157" s="25">
        <f>I157 * (0.00664805 / 12) * 1.0</f>
        <v/>
      </c>
      <c r="O157" s="25">
        <f>I157 * (0.00400000 / 12) * 1.0</f>
        <v/>
      </c>
      <c r="P157" s="25">
        <f>I157 * (0.00500000 / 12) * 1.0</f>
        <v/>
      </c>
      <c r="Q157" s="25">
        <f>Q156 * (K157 / K156) + M157</f>
        <v/>
      </c>
      <c r="R157" s="25">
        <f>R156 * (K157 / K156) + N157</f>
        <v/>
      </c>
      <c r="S157" s="25">
        <f>S156 * (K157 / K156) + O157 + P157</f>
        <v/>
      </c>
      <c r="T157" s="22">
        <f>Q157 + R157 + S157</f>
        <v/>
      </c>
      <c r="U157" s="25">
        <f>MAX(0, -T157)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 t="n">
        <v>0</v>
      </c>
      <c r="J158" s="19" t="n">
        <v>0.5257965548864414</v>
      </c>
      <c r="K158" s="24">
        <f>1 / J158</f>
        <v/>
      </c>
      <c r="L158" s="24">
        <f>I158 * K158</f>
        <v/>
      </c>
      <c r="M158" s="24">
        <f>I158 * (0.01000000 / 12)</f>
        <v/>
      </c>
      <c r="N158" s="24">
        <f>I158 * (0.00664805 / 12) * 1.0</f>
        <v/>
      </c>
      <c r="O158" s="24">
        <f>I158 * (0.00400000 / 12) * 1.0</f>
        <v/>
      </c>
      <c r="P158" s="24">
        <f>I158 * (0.00500000 / 12) * 1.0</f>
        <v/>
      </c>
      <c r="Q158" s="24">
        <f>Q157 * (K158 / K157) + M158</f>
        <v/>
      </c>
      <c r="R158" s="24">
        <f>R157 * (K158 / K157) + N158</f>
        <v/>
      </c>
      <c r="S158" s="24">
        <f>S157 * (K158 / K157) + O158 + P158</f>
        <v/>
      </c>
      <c r="T158" s="20">
        <f>Q158 + R158 + S158</f>
        <v/>
      </c>
      <c r="U158" s="24">
        <f>MAX(0, -T158)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 t="n">
        <v>0</v>
      </c>
      <c r="J159" s="21" t="n">
        <v>0.523654093612092</v>
      </c>
      <c r="K159" s="25">
        <f>1 / J159</f>
        <v/>
      </c>
      <c r="L159" s="25">
        <f>I159 * K159</f>
        <v/>
      </c>
      <c r="M159" s="25">
        <f>I159 * (0.01000000 / 12)</f>
        <v/>
      </c>
      <c r="N159" s="25">
        <f>I159 * (0.00664805 / 12) * 1.0</f>
        <v/>
      </c>
      <c r="O159" s="25">
        <f>I159 * (0.00400000 / 12) * 1.0</f>
        <v/>
      </c>
      <c r="P159" s="25">
        <f>I159 * (0.00500000 / 12) * 1.0</f>
        <v/>
      </c>
      <c r="Q159" s="25">
        <f>Q158 * (K159 / K158) + M159</f>
        <v/>
      </c>
      <c r="R159" s="25">
        <f>R158 * (K159 / K158) + N159</f>
        <v/>
      </c>
      <c r="S159" s="25">
        <f>S158 * (K159 / K158) + O159 + P159</f>
        <v/>
      </c>
      <c r="T159" s="22">
        <f>Q159 + R159 + S159</f>
        <v/>
      </c>
      <c r="U159" s="25">
        <f>MAX(0, -T159)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 t="n">
        <v>0</v>
      </c>
      <c r="J160" s="19" t="n">
        <v>0.5215203622167603</v>
      </c>
      <c r="K160" s="24">
        <f>1 / J160</f>
        <v/>
      </c>
      <c r="L160" s="24">
        <f>I160 * K160</f>
        <v/>
      </c>
      <c r="M160" s="24">
        <f>I160 * (0.01000000 / 12)</f>
        <v/>
      </c>
      <c r="N160" s="24">
        <f>I160 * (0.00664805 / 12) * 1.0</f>
        <v/>
      </c>
      <c r="O160" s="24">
        <f>I160 * (0.00400000 / 12) * 1.0</f>
        <v/>
      </c>
      <c r="P160" s="24">
        <f>I160 * (0.00500000 / 12) * 1.0</f>
        <v/>
      </c>
      <c r="Q160" s="24">
        <f>Q159 * (K160 / K159) + M160</f>
        <v/>
      </c>
      <c r="R160" s="24">
        <f>R159 * (K160 / K159) + N160</f>
        <v/>
      </c>
      <c r="S160" s="24">
        <f>S159 * (K160 / K159) + O160 + P160</f>
        <v/>
      </c>
      <c r="T160" s="20">
        <f>Q160 + R160 + S160</f>
        <v/>
      </c>
      <c r="U160" s="24">
        <f>MAX(0, -T160)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 t="n">
        <v>0</v>
      </c>
      <c r="J161" s="21" t="n">
        <v>0.5193953251288407</v>
      </c>
      <c r="K161" s="25">
        <f>1 / J161</f>
        <v/>
      </c>
      <c r="L161" s="25">
        <f>I161 * K161</f>
        <v/>
      </c>
      <c r="M161" s="25">
        <f>I161 * (0.01000000 / 12)</f>
        <v/>
      </c>
      <c r="N161" s="25">
        <f>I161 * (0.00664805 / 12) * 1.0</f>
        <v/>
      </c>
      <c r="O161" s="25">
        <f>I161 * (0.00400000 / 12) * 1.0</f>
        <v/>
      </c>
      <c r="P161" s="25">
        <f>I161 * (0.00500000 / 12) * 1.0</f>
        <v/>
      </c>
      <c r="Q161" s="25">
        <f>Q160 * (K161 / K160) + M161</f>
        <v/>
      </c>
      <c r="R161" s="25">
        <f>R160 * (K161 / K160) + N161</f>
        <v/>
      </c>
      <c r="S161" s="25">
        <f>S160 * (K161 / K160) + O161 + P161</f>
        <v/>
      </c>
      <c r="T161" s="22">
        <f>Q161 + R161 + S161</f>
        <v/>
      </c>
      <c r="U161" s="25">
        <f>MAX(0, -T161)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 t="n">
        <v>0</v>
      </c>
      <c r="J162" s="19" t="n">
        <v>0.5172789469216709</v>
      </c>
      <c r="K162" s="24">
        <f>1 / J162</f>
        <v/>
      </c>
      <c r="L162" s="24">
        <f>I162 * K162</f>
        <v/>
      </c>
      <c r="M162" s="24">
        <f>I162 * (0.01000000 / 12)</f>
        <v/>
      </c>
      <c r="N162" s="24">
        <f>I162 * (0.00664805 / 12) * 1.0</f>
        <v/>
      </c>
      <c r="O162" s="24">
        <f>I162 * (0.00400000 / 12) * 1.0</f>
        <v/>
      </c>
      <c r="P162" s="24">
        <f>I162 * (0.00500000 / 12) * 1.0</f>
        <v/>
      </c>
      <c r="Q162" s="24">
        <f>Q161 * (K162 / K161) + M162</f>
        <v/>
      </c>
      <c r="R162" s="24">
        <f>R161 * (K162 / K161) + N162</f>
        <v/>
      </c>
      <c r="S162" s="24">
        <f>S161 * (K162 / K161) + O162 + P162</f>
        <v/>
      </c>
      <c r="T162" s="20">
        <f>Q162 + R162 + S162</f>
        <v/>
      </c>
      <c r="U162" s="24">
        <f>MAX(0, -T162)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 t="n">
        <v>0</v>
      </c>
      <c r="J163" s="21" t="n">
        <v>0.5151711923129415</v>
      </c>
      <c r="K163" s="25">
        <f>1 / J163</f>
        <v/>
      </c>
      <c r="L163" s="25">
        <f>I163 * K163</f>
        <v/>
      </c>
      <c r="M163" s="25">
        <f>I163 * (0.01000000 / 12)</f>
        <v/>
      </c>
      <c r="N163" s="25">
        <f>I163 * (0.00664805 / 12) * 1.0</f>
        <v/>
      </c>
      <c r="O163" s="25">
        <f>I163 * (0.00400000 / 12) * 1.0</f>
        <v/>
      </c>
      <c r="P163" s="25">
        <f>I163 * (0.00500000 / 12) * 1.0</f>
        <v/>
      </c>
      <c r="Q163" s="25">
        <f>Q162 * (K163 / K162) + M163</f>
        <v/>
      </c>
      <c r="R163" s="25">
        <f>R162 * (K163 / K162) + N163</f>
        <v/>
      </c>
      <c r="S163" s="25">
        <f>S162 * (K163 / K162) + O163 + P163</f>
        <v/>
      </c>
      <c r="T163" s="22">
        <f>Q163 + R163 + S163</f>
        <v/>
      </c>
      <c r="U163" s="25">
        <f>MAX(0, -T163)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 t="n">
        <v>0</v>
      </c>
      <c r="J164" s="19" t="n">
        <v>0.5130720261641081</v>
      </c>
      <c r="K164" s="24">
        <f>1 / J164</f>
        <v/>
      </c>
      <c r="L164" s="24">
        <f>I164 * K164</f>
        <v/>
      </c>
      <c r="M164" s="24">
        <f>I164 * (0.01000000 / 12)</f>
        <v/>
      </c>
      <c r="N164" s="24">
        <f>I164 * (0.00664805 / 12) * 1.0</f>
        <v/>
      </c>
      <c r="O164" s="24">
        <f>I164 * (0.00400000 / 12) * 1.0</f>
        <v/>
      </c>
      <c r="P164" s="24">
        <f>I164 * (0.00500000 / 12) * 1.0</f>
        <v/>
      </c>
      <c r="Q164" s="24">
        <f>Q163 * (K164 / K163) + M164</f>
        <v/>
      </c>
      <c r="R164" s="24">
        <f>R163 * (K164 / K163) + N164</f>
        <v/>
      </c>
      <c r="S164" s="24">
        <f>S163 * (K164 / K163) + O164 + P164</f>
        <v/>
      </c>
      <c r="T164" s="20">
        <f>Q164 + R164 + S164</f>
        <v/>
      </c>
      <c r="U164" s="24">
        <f>MAX(0, -T164)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 t="n">
        <v>0</v>
      </c>
      <c r="J165" s="21" t="n">
        <v>0.5109814134798047</v>
      </c>
      <c r="K165" s="25">
        <f>1 / J165</f>
        <v/>
      </c>
      <c r="L165" s="25">
        <f>I165 * K165</f>
        <v/>
      </c>
      <c r="M165" s="25">
        <f>I165 * (0.01000000 / 12)</f>
        <v/>
      </c>
      <c r="N165" s="25">
        <f>I165 * (0.00664805 / 12) * 1.0</f>
        <v/>
      </c>
      <c r="O165" s="25">
        <f>I165 * (0.00400000 / 12) * 1.0</f>
        <v/>
      </c>
      <c r="P165" s="25">
        <f>I165 * (0.00500000 / 12) * 1.0</f>
        <v/>
      </c>
      <c r="Q165" s="25">
        <f>Q164 * (K165 / K164) + M165</f>
        <v/>
      </c>
      <c r="R165" s="25">
        <f>R164 * (K165 / K164) + N165</f>
        <v/>
      </c>
      <c r="S165" s="25">
        <f>S164 * (K165 / K164) + O165 + P165</f>
        <v/>
      </c>
      <c r="T165" s="22">
        <f>Q165 + R165 + S165</f>
        <v/>
      </c>
      <c r="U165" s="25">
        <f>MAX(0, -T165)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 t="n">
        <v>0</v>
      </c>
      <c r="J166" s="19" t="n">
        <v>0.5088993194072614</v>
      </c>
      <c r="K166" s="24">
        <f>1 / J166</f>
        <v/>
      </c>
      <c r="L166" s="24">
        <f>I166 * K166</f>
        <v/>
      </c>
      <c r="M166" s="24">
        <f>I166 * (0.01000000 / 12)</f>
        <v/>
      </c>
      <c r="N166" s="24">
        <f>I166 * (0.00664805 / 12) * 1.0</f>
        <v/>
      </c>
      <c r="O166" s="24">
        <f>I166 * (0.00400000 / 12) * 1.0</f>
        <v/>
      </c>
      <c r="P166" s="24">
        <f>I166 * (0.00500000 / 12) * 1.0</f>
        <v/>
      </c>
      <c r="Q166" s="24">
        <f>Q165 * (K166 / K165) + M166</f>
        <v/>
      </c>
      <c r="R166" s="24">
        <f>R165 * (K166 / K165) + N166</f>
        <v/>
      </c>
      <c r="S166" s="24">
        <f>S165 * (K166 / K165) + O166 + P166</f>
        <v/>
      </c>
      <c r="T166" s="20">
        <f>Q166 + R166 + S166</f>
        <v/>
      </c>
      <c r="U166" s="24">
        <f>MAX(0, -T166)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 t="n">
        <v>0</v>
      </c>
      <c r="J167" s="21" t="n">
        <v>0.5068257092357221</v>
      </c>
      <c r="K167" s="25">
        <f>1 / J167</f>
        <v/>
      </c>
      <c r="L167" s="25">
        <f>I167 * K167</f>
        <v/>
      </c>
      <c r="M167" s="25">
        <f>I167 * (0.01000000 / 12)</f>
        <v/>
      </c>
      <c r="N167" s="25">
        <f>I167 * (0.00664805 / 12) * 1.0</f>
        <v/>
      </c>
      <c r="O167" s="25">
        <f>I167 * (0.00400000 / 12) * 1.0</f>
        <v/>
      </c>
      <c r="P167" s="25">
        <f>I167 * (0.00500000 / 12) * 1.0</f>
        <v/>
      </c>
      <c r="Q167" s="25">
        <f>Q166 * (K167 / K166) + M167</f>
        <v/>
      </c>
      <c r="R167" s="25">
        <f>R166 * (K167 / K166) + N167</f>
        <v/>
      </c>
      <c r="S167" s="25">
        <f>S166 * (K167 / K166) + O167 + P167</f>
        <v/>
      </c>
      <c r="T167" s="22">
        <f>Q167 + R167 + S167</f>
        <v/>
      </c>
      <c r="U167" s="25">
        <f>MAX(0, -T167)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 t="n">
        <v>0</v>
      </c>
      <c r="J168" s="19" t="n">
        <v>0.504760548395867</v>
      </c>
      <c r="K168" s="24">
        <f>1 / J168</f>
        <v/>
      </c>
      <c r="L168" s="24">
        <f>I168 * K168</f>
        <v/>
      </c>
      <c r="M168" s="24">
        <f>I168 * (0.01000000 / 12)</f>
        <v/>
      </c>
      <c r="N168" s="24">
        <f>I168 * (0.00664805 / 12) * 1.0</f>
        <v/>
      </c>
      <c r="O168" s="24">
        <f>I168 * (0.00400000 / 12) * 1.0</f>
        <v/>
      </c>
      <c r="P168" s="24">
        <f>I168 * (0.00500000 / 12) * 1.0</f>
        <v/>
      </c>
      <c r="Q168" s="24">
        <f>Q167 * (K168 / K167) + M168</f>
        <v/>
      </c>
      <c r="R168" s="24">
        <f>R167 * (K168 / K167) + N168</f>
        <v/>
      </c>
      <c r="S168" s="24">
        <f>S167 * (K168 / K167) + O168 + P168</f>
        <v/>
      </c>
      <c r="T168" s="20">
        <f>Q168 + R168 + S168</f>
        <v/>
      </c>
      <c r="U168" s="24">
        <f>MAX(0, -T168)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 t="n">
        <v>0</v>
      </c>
      <c r="J169" s="21" t="n">
        <v>0.5027038024592356</v>
      </c>
      <c r="K169" s="25">
        <f>1 / J169</f>
        <v/>
      </c>
      <c r="L169" s="25">
        <f>I169 * K169</f>
        <v/>
      </c>
      <c r="M169" s="25">
        <f>I169 * (0.01000000 / 12)</f>
        <v/>
      </c>
      <c r="N169" s="25">
        <f>I169 * (0.00664805 / 12) * 1.0</f>
        <v/>
      </c>
      <c r="O169" s="25">
        <f>I169 * (0.00400000 / 12) * 1.0</f>
        <v/>
      </c>
      <c r="P169" s="25">
        <f>I169 * (0.00500000 / 12) * 1.0</f>
        <v/>
      </c>
      <c r="Q169" s="25">
        <f>Q168 * (K169 / K168) + M169</f>
        <v/>
      </c>
      <c r="R169" s="25">
        <f>R168 * (K169 / K168) + N169</f>
        <v/>
      </c>
      <c r="S169" s="25">
        <f>S168 * (K169 / K168) + O169 + P169</f>
        <v/>
      </c>
      <c r="T169" s="22">
        <f>Q169 + R169 + S169</f>
        <v/>
      </c>
      <c r="U169" s="25">
        <f>MAX(0, -T169)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 t="n">
        <v>0</v>
      </c>
      <c r="J170" s="19" t="n">
        <v>0.5006554371376528</v>
      </c>
      <c r="K170" s="24">
        <f>1 / J170</f>
        <v/>
      </c>
      <c r="L170" s="24">
        <f>I170 * K170</f>
        <v/>
      </c>
      <c r="M170" s="24">
        <f>I170 * (0.01000000 / 12)</f>
        <v/>
      </c>
      <c r="N170" s="24">
        <f>I170 * (0.00664805 / 12) * 1.0</f>
        <v/>
      </c>
      <c r="O170" s="24">
        <f>I170 * (0.00400000 / 12) * 1.0</f>
        <v/>
      </c>
      <c r="P170" s="24">
        <f>I170 * (0.00500000 / 12) * 1.0</f>
        <v/>
      </c>
      <c r="Q170" s="24">
        <f>Q169 * (K170 / K169) + M170</f>
        <v/>
      </c>
      <c r="R170" s="24">
        <f>R169 * (K170 / K169) + N170</f>
        <v/>
      </c>
      <c r="S170" s="24">
        <f>S169 * (K170 / K169) + O170 + P170</f>
        <v/>
      </c>
      <c r="T170" s="20">
        <f>Q170 + R170 + S170</f>
        <v/>
      </c>
      <c r="U170" s="24">
        <f>MAX(0, -T170)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 t="n">
        <v>0</v>
      </c>
      <c r="J171" s="21" t="n">
        <v>0.4986154182826576</v>
      </c>
      <c r="K171" s="25">
        <f>1 / J171</f>
        <v/>
      </c>
      <c r="L171" s="25">
        <f>I171 * K171</f>
        <v/>
      </c>
      <c r="M171" s="25">
        <f>I171 * (0.01000000 / 12)</f>
        <v/>
      </c>
      <c r="N171" s="25">
        <f>I171 * (0.00664805 / 12) * 1.0</f>
        <v/>
      </c>
      <c r="O171" s="25">
        <f>I171 * (0.00400000 / 12) * 1.0</f>
        <v/>
      </c>
      <c r="P171" s="25">
        <f>I171 * (0.00500000 / 12) * 1.0</f>
        <v/>
      </c>
      <c r="Q171" s="25">
        <f>Q170 * (K171 / K170) + M171</f>
        <v/>
      </c>
      <c r="R171" s="25">
        <f>R170 * (K171 / K170) + N171</f>
        <v/>
      </c>
      <c r="S171" s="25">
        <f>S170 * (K171 / K170) + O171 + P171</f>
        <v/>
      </c>
      <c r="T171" s="22">
        <f>Q171 + R171 + S171</f>
        <v/>
      </c>
      <c r="U171" s="25">
        <f>MAX(0, -T171)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 t="n">
        <v>0</v>
      </c>
      <c r="J172" s="19" t="n">
        <v>0.4965837118849334</v>
      </c>
      <c r="K172" s="24">
        <f>1 / J172</f>
        <v/>
      </c>
      <c r="L172" s="24">
        <f>I172 * K172</f>
        <v/>
      </c>
      <c r="M172" s="24">
        <f>I172 * (0.01000000 / 12)</f>
        <v/>
      </c>
      <c r="N172" s="24">
        <f>I172 * (0.00664805 / 12) * 1.0</f>
        <v/>
      </c>
      <c r="O172" s="24">
        <f>I172 * (0.00400000 / 12) * 1.0</f>
        <v/>
      </c>
      <c r="P172" s="24">
        <f>I172 * (0.00500000 / 12) * 1.0</f>
        <v/>
      </c>
      <c r="Q172" s="24">
        <f>Q171 * (K172 / K171) + M172</f>
        <v/>
      </c>
      <c r="R172" s="24">
        <f>R171 * (K172 / K171) + N172</f>
        <v/>
      </c>
      <c r="S172" s="24">
        <f>S171 * (K172 / K171) + O172 + P172</f>
        <v/>
      </c>
      <c r="T172" s="20">
        <f>Q172 + R172 + S172</f>
        <v/>
      </c>
      <c r="U172" s="24">
        <f>MAX(0, -T172)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 t="n">
        <v>0</v>
      </c>
      <c r="J173" s="21" t="n">
        <v>0.4945602840737415</v>
      </c>
      <c r="K173" s="25">
        <f>1 / J173</f>
        <v/>
      </c>
      <c r="L173" s="25">
        <f>I173 * K173</f>
        <v/>
      </c>
      <c r="M173" s="25">
        <f>I173 * (0.01000000 / 12)</f>
        <v/>
      </c>
      <c r="N173" s="25">
        <f>I173 * (0.00664805 / 12) * 1.0</f>
        <v/>
      </c>
      <c r="O173" s="25">
        <f>I173 * (0.00400000 / 12) * 1.0</f>
        <v/>
      </c>
      <c r="P173" s="25">
        <f>I173 * (0.00500000 / 12) * 1.0</f>
        <v/>
      </c>
      <c r="Q173" s="25">
        <f>Q172 * (K173 / K172) + M173</f>
        <v/>
      </c>
      <c r="R173" s="25">
        <f>R172 * (K173 / K172) + N173</f>
        <v/>
      </c>
      <c r="S173" s="25">
        <f>S172 * (K173 / K172) + O173 + P173</f>
        <v/>
      </c>
      <c r="T173" s="22">
        <f>Q173 + R173 + S173</f>
        <v/>
      </c>
      <c r="U173" s="25">
        <f>MAX(0, -T173)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 t="n">
        <v>0</v>
      </c>
      <c r="J174" s="19" t="n">
        <v>0.4925451011163559</v>
      </c>
      <c r="K174" s="24">
        <f>1 / J174</f>
        <v/>
      </c>
      <c r="L174" s="24">
        <f>I174 * K174</f>
        <v/>
      </c>
      <c r="M174" s="24">
        <f>I174 * (0.01000000 / 12)</f>
        <v/>
      </c>
      <c r="N174" s="24">
        <f>I174 * (0.00664805 / 12) * 1.0</f>
        <v/>
      </c>
      <c r="O174" s="24">
        <f>I174 * (0.00400000 / 12) * 1.0</f>
        <v/>
      </c>
      <c r="P174" s="24">
        <f>I174 * (0.00500000 / 12) * 1.0</f>
        <v/>
      </c>
      <c r="Q174" s="24">
        <f>Q173 * (K174 / K173) + M174</f>
        <v/>
      </c>
      <c r="R174" s="24">
        <f>R173 * (K174 / K173) + N174</f>
        <v/>
      </c>
      <c r="S174" s="24">
        <f>S173 * (K174 / K173) + O174 + P174</f>
        <v/>
      </c>
      <c r="T174" s="20">
        <f>Q174 + R174 + S174</f>
        <v/>
      </c>
      <c r="U174" s="24">
        <f>MAX(0, -T174)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 t="n">
        <v>0</v>
      </c>
      <c r="J175" s="21" t="n">
        <v>0.4905381294175014</v>
      </c>
      <c r="K175" s="25">
        <f>1 / J175</f>
        <v/>
      </c>
      <c r="L175" s="25">
        <f>I175 * K175</f>
        <v/>
      </c>
      <c r="M175" s="25">
        <f>I175 * (0.01000000 / 12)</f>
        <v/>
      </c>
      <c r="N175" s="25">
        <f>I175 * (0.00664805 / 12) * 1.0</f>
        <v/>
      </c>
      <c r="O175" s="25">
        <f>I175 * (0.00400000 / 12) * 1.0</f>
        <v/>
      </c>
      <c r="P175" s="25">
        <f>I175 * (0.00500000 / 12) * 1.0</f>
        <v/>
      </c>
      <c r="Q175" s="25">
        <f>Q174 * (K175 / K174) + M175</f>
        <v/>
      </c>
      <c r="R175" s="25">
        <f>R174 * (K175 / K174) + N175</f>
        <v/>
      </c>
      <c r="S175" s="25">
        <f>S174 * (K175 / K174) + O175 + P175</f>
        <v/>
      </c>
      <c r="T175" s="22">
        <f>Q175 + R175 + S175</f>
        <v/>
      </c>
      <c r="U175" s="25">
        <f>MAX(0, -T175)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 t="n">
        <v>0</v>
      </c>
      <c r="J176" s="19" t="n">
        <v>0.4885393355187932</v>
      </c>
      <c r="K176" s="24">
        <f>1 / J176</f>
        <v/>
      </c>
      <c r="L176" s="24">
        <f>I176 * K176</f>
        <v/>
      </c>
      <c r="M176" s="24">
        <f>I176 * (0.01000000 / 12)</f>
        <v/>
      </c>
      <c r="N176" s="24">
        <f>I176 * (0.00664805 / 12) * 1.0</f>
        <v/>
      </c>
      <c r="O176" s="24">
        <f>I176 * (0.00400000 / 12) * 1.0</f>
        <v/>
      </c>
      <c r="P176" s="24">
        <f>I176 * (0.00500000 / 12) * 1.0</f>
        <v/>
      </c>
      <c r="Q176" s="24">
        <f>Q175 * (K176 / K175) + M176</f>
        <v/>
      </c>
      <c r="R176" s="24">
        <f>R175 * (K176 / K175) + N176</f>
        <v/>
      </c>
      <c r="S176" s="24">
        <f>S175 * (K176 / K175) + O176 + P176</f>
        <v/>
      </c>
      <c r="T176" s="20">
        <f>Q176 + R176 + S176</f>
        <v/>
      </c>
      <c r="U176" s="24">
        <f>MAX(0, -T176)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 t="n">
        <v>0</v>
      </c>
      <c r="J177" s="21" t="n">
        <v>0.4865486860981795</v>
      </c>
      <c r="K177" s="25">
        <f>1 / J177</f>
        <v/>
      </c>
      <c r="L177" s="25">
        <f>I177 * K177</f>
        <v/>
      </c>
      <c r="M177" s="25">
        <f>I177 * (0.01000000 / 12)</f>
        <v/>
      </c>
      <c r="N177" s="25">
        <f>I177 * (0.00664805 / 12) * 1.0</f>
        <v/>
      </c>
      <c r="O177" s="25">
        <f>I177 * (0.00400000 / 12) * 1.0</f>
        <v/>
      </c>
      <c r="P177" s="25">
        <f>I177 * (0.00500000 / 12) * 1.0</f>
        <v/>
      </c>
      <c r="Q177" s="25">
        <f>Q176 * (K177 / K176) + M177</f>
        <v/>
      </c>
      <c r="R177" s="25">
        <f>R176 * (K177 / K176) + N177</f>
        <v/>
      </c>
      <c r="S177" s="25">
        <f>S176 * (K177 / K176) + O177 + P177</f>
        <v/>
      </c>
      <c r="T177" s="22">
        <f>Q177 + R177 + S177</f>
        <v/>
      </c>
      <c r="U177" s="25">
        <f>MAX(0, -T177)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 t="n">
        <v>0</v>
      </c>
      <c r="J178" s="19" t="n">
        <v>0.4845661479693854</v>
      </c>
      <c r="K178" s="24">
        <f>1 / J178</f>
        <v/>
      </c>
      <c r="L178" s="24">
        <f>I178 * K178</f>
        <v/>
      </c>
      <c r="M178" s="24">
        <f>I178 * (0.01000000 / 12)</f>
        <v/>
      </c>
      <c r="N178" s="24">
        <f>I178 * (0.00664805 / 12) * 1.0</f>
        <v/>
      </c>
      <c r="O178" s="24">
        <f>I178 * (0.00400000 / 12) * 1.0</f>
        <v/>
      </c>
      <c r="P178" s="24">
        <f>I178 * (0.00500000 / 12) * 1.0</f>
        <v/>
      </c>
      <c r="Q178" s="24">
        <f>Q177 * (K178 / K177) + M178</f>
        <v/>
      </c>
      <c r="R178" s="24">
        <f>R177 * (K178 / K177) + N178</f>
        <v/>
      </c>
      <c r="S178" s="24">
        <f>S177 * (K178 / K177) + O178 + P178</f>
        <v/>
      </c>
      <c r="T178" s="20">
        <f>Q178 + R178 + S178</f>
        <v/>
      </c>
      <c r="U178" s="24">
        <f>MAX(0, -T178)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 t="n">
        <v>0</v>
      </c>
      <c r="J179" s="21" t="n">
        <v>0.4825916880813603</v>
      </c>
      <c r="K179" s="25">
        <f>1 / J179</f>
        <v/>
      </c>
      <c r="L179" s="25">
        <f>I179 * K179</f>
        <v/>
      </c>
      <c r="M179" s="25">
        <f>I179 * (0.01000000 / 12)</f>
        <v/>
      </c>
      <c r="N179" s="25">
        <f>I179 * (0.00664805 / 12) * 1.0</f>
        <v/>
      </c>
      <c r="O179" s="25">
        <f>I179 * (0.00400000 / 12) * 1.0</f>
        <v/>
      </c>
      <c r="P179" s="25">
        <f>I179 * (0.00500000 / 12) * 1.0</f>
        <v/>
      </c>
      <c r="Q179" s="25">
        <f>Q178 * (K179 / K178) + M179</f>
        <v/>
      </c>
      <c r="R179" s="25">
        <f>R178 * (K179 / K178) + N179</f>
        <v/>
      </c>
      <c r="S179" s="25">
        <f>S178 * (K179 / K178) + O179 + P179</f>
        <v/>
      </c>
      <c r="T179" s="22">
        <f>Q179 + R179 + S179</f>
        <v/>
      </c>
      <c r="U179" s="25">
        <f>MAX(0, -T179)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 t="n">
        <v>0</v>
      </c>
      <c r="J180" s="19" t="n">
        <v>0.4806252735177265</v>
      </c>
      <c r="K180" s="24">
        <f>1 / J180</f>
        <v/>
      </c>
      <c r="L180" s="24">
        <f>I180 * K180</f>
        <v/>
      </c>
      <c r="M180" s="24">
        <f>I180 * (0.01000000 / 12)</f>
        <v/>
      </c>
      <c r="N180" s="24">
        <f>I180 * (0.00664805 / 12) * 1.0</f>
        <v/>
      </c>
      <c r="O180" s="24">
        <f>I180 * (0.00400000 / 12) * 1.0</f>
        <v/>
      </c>
      <c r="P180" s="24">
        <f>I180 * (0.00500000 / 12) * 1.0</f>
        <v/>
      </c>
      <c r="Q180" s="24">
        <f>Q179 * (K180 / K179) + M180</f>
        <v/>
      </c>
      <c r="R180" s="24">
        <f>R179 * (K180 / K179) + N180</f>
        <v/>
      </c>
      <c r="S180" s="24">
        <f>S179 * (K180 / K179) + O180 + P180</f>
        <v/>
      </c>
      <c r="T180" s="20">
        <f>Q180 + R180 + S180</f>
        <v/>
      </c>
      <c r="U180" s="24">
        <f>MAX(0, -T180)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 t="n">
        <v>0</v>
      </c>
      <c r="J181" s="21" t="n">
        <v>0.4786668714962304</v>
      </c>
      <c r="K181" s="25">
        <f>1 / J181</f>
        <v/>
      </c>
      <c r="L181" s="25">
        <f>I181 * K181</f>
        <v/>
      </c>
      <c r="M181" s="25">
        <f>I181 * (0.01000000 / 12)</f>
        <v/>
      </c>
      <c r="N181" s="25">
        <f>I181 * (0.00664805 / 12) * 1.0</f>
        <v/>
      </c>
      <c r="O181" s="25">
        <f>I181 * (0.00400000 / 12) * 1.0</f>
        <v/>
      </c>
      <c r="P181" s="25">
        <f>I181 * (0.00500000 / 12) * 1.0</f>
        <v/>
      </c>
      <c r="Q181" s="25">
        <f>Q180 * (K181 / K180) + M181</f>
        <v/>
      </c>
      <c r="R181" s="25">
        <f>R180 * (K181 / K180) + N181</f>
        <v/>
      </c>
      <c r="S181" s="25">
        <f>S180 * (K181 / K180) + O181 + P181</f>
        <v/>
      </c>
      <c r="T181" s="22">
        <f>Q181 + R181 + S181</f>
        <v/>
      </c>
      <c r="U181" s="25">
        <f>MAX(0, -T181)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 t="n">
        <v>0</v>
      </c>
      <c r="J182" s="19" t="n">
        <v>0.4767164493681962</v>
      </c>
      <c r="K182" s="24">
        <f>1 / J182</f>
        <v/>
      </c>
      <c r="L182" s="24">
        <f>I182 * K182</f>
        <v/>
      </c>
      <c r="M182" s="24">
        <f>I182 * (0.01000000 / 12)</f>
        <v/>
      </c>
      <c r="N182" s="24">
        <f>I182 * (0.00664805 / 12) * 1.0</f>
        <v/>
      </c>
      <c r="O182" s="24">
        <f>I182 * (0.00400000 / 12) * 1.0</f>
        <v/>
      </c>
      <c r="P182" s="24">
        <f>I182 * (0.00500000 / 12) * 1.0</f>
        <v/>
      </c>
      <c r="Q182" s="24">
        <f>Q181 * (K182 / K181) + M182</f>
        <v/>
      </c>
      <c r="R182" s="24">
        <f>R181 * (K182 / K181) + N182</f>
        <v/>
      </c>
      <c r="S182" s="24">
        <f>S181 * (K182 / K181) + O182 + P182</f>
        <v/>
      </c>
      <c r="T182" s="20">
        <f>Q182 + R182 + S182</f>
        <v/>
      </c>
      <c r="U182" s="24">
        <f>MAX(0, -T182)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 t="n">
        <v>0</v>
      </c>
      <c r="J183" s="21" t="n">
        <v>0.4747739746179817</v>
      </c>
      <c r="K183" s="25">
        <f>1 / J183</f>
        <v/>
      </c>
      <c r="L183" s="25">
        <f>I183 * K183</f>
        <v/>
      </c>
      <c r="M183" s="25">
        <f>I183 * (0.01000000 / 12)</f>
        <v/>
      </c>
      <c r="N183" s="25">
        <f>I183 * (0.00664805 / 12) * 1.0</f>
        <v/>
      </c>
      <c r="O183" s="25">
        <f>I183 * (0.00400000 / 12) * 1.0</f>
        <v/>
      </c>
      <c r="P183" s="25">
        <f>I183 * (0.00500000 / 12) * 1.0</f>
        <v/>
      </c>
      <c r="Q183" s="25">
        <f>Q182 * (K183 / K182) + M183</f>
        <v/>
      </c>
      <c r="R183" s="25">
        <f>R182 * (K183 / K182) + N183</f>
        <v/>
      </c>
      <c r="S183" s="25">
        <f>S182 * (K183 / K182) + O183 + P183</f>
        <v/>
      </c>
      <c r="T183" s="22">
        <f>Q183 + R183 + S183</f>
        <v/>
      </c>
      <c r="U183" s="25">
        <f>MAX(0, -T183)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 t="n">
        <v>0</v>
      </c>
      <c r="J184" s="19" t="n">
        <v>0.4728394148624359</v>
      </c>
      <c r="K184" s="24">
        <f>1 / J184</f>
        <v/>
      </c>
      <c r="L184" s="24">
        <f>I184 * K184</f>
        <v/>
      </c>
      <c r="M184" s="24">
        <f>I184 * (0.01000000 / 12)</f>
        <v/>
      </c>
      <c r="N184" s="24">
        <f>I184 * (0.00664805 / 12) * 1.0</f>
        <v/>
      </c>
      <c r="O184" s="24">
        <f>I184 * (0.00400000 / 12) * 1.0</f>
        <v/>
      </c>
      <c r="P184" s="24">
        <f>I184 * (0.00500000 / 12) * 1.0</f>
        <v/>
      </c>
      <c r="Q184" s="24">
        <f>Q183 * (K184 / K183) + M184</f>
        <v/>
      </c>
      <c r="R184" s="24">
        <f>R183 * (K184 / K183) + N184</f>
        <v/>
      </c>
      <c r="S184" s="24">
        <f>S183 * (K184 / K183) + O184 + P184</f>
        <v/>
      </c>
      <c r="T184" s="20">
        <f>Q184 + R184 + S184</f>
        <v/>
      </c>
      <c r="U184" s="24">
        <f>MAX(0, -T184)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 t="n">
        <v>0</v>
      </c>
      <c r="J185" s="21" t="n">
        <v>0.4709127378503593</v>
      </c>
      <c r="K185" s="25">
        <f>1 / J185</f>
        <v/>
      </c>
      <c r="L185" s="25">
        <f>I185 * K185</f>
        <v/>
      </c>
      <c r="M185" s="25">
        <f>I185 * (0.01000000 / 12)</f>
        <v/>
      </c>
      <c r="N185" s="25">
        <f>I185 * (0.00664805 / 12) * 1.0</f>
        <v/>
      </c>
      <c r="O185" s="25">
        <f>I185 * (0.00400000 / 12) * 1.0</f>
        <v/>
      </c>
      <c r="P185" s="25">
        <f>I185 * (0.00500000 / 12) * 1.0</f>
        <v/>
      </c>
      <c r="Q185" s="25">
        <f>Q184 * (K185 / K184) + M185</f>
        <v/>
      </c>
      <c r="R185" s="25">
        <f>R184 * (K185 / K184) + N185</f>
        <v/>
      </c>
      <c r="S185" s="25">
        <f>S184 * (K185 / K184) + O185 + P185</f>
        <v/>
      </c>
      <c r="T185" s="22">
        <f>Q185 + R185 + S185</f>
        <v/>
      </c>
      <c r="U185" s="25">
        <f>MAX(0, -T185)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 t="n">
        <v>0</v>
      </c>
      <c r="J186" s="19" t="n">
        <v>0.4689939114619662</v>
      </c>
      <c r="K186" s="24">
        <f>1 / J186</f>
        <v/>
      </c>
      <c r="L186" s="24">
        <f>I186 * K186</f>
        <v/>
      </c>
      <c r="M186" s="24">
        <f>I186 * (0.01000000 / 12)</f>
        <v/>
      </c>
      <c r="N186" s="24">
        <f>I186 * (0.00664805 / 12) * 1.0</f>
        <v/>
      </c>
      <c r="O186" s="24">
        <f>I186 * (0.00400000 / 12) * 1.0</f>
        <v/>
      </c>
      <c r="P186" s="24">
        <f>I186 * (0.00500000 / 12) * 1.0</f>
        <v/>
      </c>
      <c r="Q186" s="24">
        <f>Q185 * (K186 / K185) + M186</f>
        <v/>
      </c>
      <c r="R186" s="24">
        <f>R185 * (K186 / K185) + N186</f>
        <v/>
      </c>
      <c r="S186" s="24">
        <f>S185 * (K186 / K185) + O186 + P186</f>
        <v/>
      </c>
      <c r="T186" s="20">
        <f>Q186 + R186 + S186</f>
        <v/>
      </c>
      <c r="U186" s="24">
        <f>MAX(0, -T186)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 t="n">
        <v>0</v>
      </c>
      <c r="J187" s="21" t="n">
        <v>0.4670829037083496</v>
      </c>
      <c r="K187" s="25">
        <f>1 / J187</f>
        <v/>
      </c>
      <c r="L187" s="25">
        <f>I187 * K187</f>
        <v/>
      </c>
      <c r="M187" s="25">
        <f>I187 * (0.01000000 / 12)</f>
        <v/>
      </c>
      <c r="N187" s="25">
        <f>I187 * (0.00664805 / 12) * 1.0</f>
        <v/>
      </c>
      <c r="O187" s="25">
        <f>I187 * (0.00400000 / 12) * 1.0</f>
        <v/>
      </c>
      <c r="P187" s="25">
        <f>I187 * (0.00500000 / 12) * 1.0</f>
        <v/>
      </c>
      <c r="Q187" s="25">
        <f>Q186 * (K187 / K186) + M187</f>
        <v/>
      </c>
      <c r="R187" s="25">
        <f>R186 * (K187 / K186) + N187</f>
        <v/>
      </c>
      <c r="S187" s="25">
        <f>S186 * (K187 / K186) + O187 + P187</f>
        <v/>
      </c>
      <c r="T187" s="22">
        <f>Q187 + R187 + S187</f>
        <v/>
      </c>
      <c r="U187" s="25">
        <f>MAX(0, -T187)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 t="n">
        <v>0</v>
      </c>
      <c r="J188" s="19" t="n">
        <v>0.4651796827309472</v>
      </c>
      <c r="K188" s="24">
        <f>1 / J188</f>
        <v/>
      </c>
      <c r="L188" s="24">
        <f>I188 * K188</f>
        <v/>
      </c>
      <c r="M188" s="24">
        <f>I188 * (0.01000000 / 12)</f>
        <v/>
      </c>
      <c r="N188" s="24">
        <f>I188 * (0.00664805 / 12) * 1.0</f>
        <v/>
      </c>
      <c r="O188" s="24">
        <f>I188 * (0.00400000 / 12) * 1.0</f>
        <v/>
      </c>
      <c r="P188" s="24">
        <f>I188 * (0.00500000 / 12) * 1.0</f>
        <v/>
      </c>
      <c r="Q188" s="24">
        <f>Q187 * (K188 / K187) + M188</f>
        <v/>
      </c>
      <c r="R188" s="24">
        <f>R187 * (K188 / K187) + N188</f>
        <v/>
      </c>
      <c r="S188" s="24">
        <f>S187 * (K188 / K187) + O188 + P188</f>
        <v/>
      </c>
      <c r="T188" s="20">
        <f>Q188 + R188 + S188</f>
        <v/>
      </c>
      <c r="U188" s="24">
        <f>MAX(0, -T188)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 t="n">
        <v>0</v>
      </c>
      <c r="J189" s="21" t="n">
        <v>0.4632842168010108</v>
      </c>
      <c r="K189" s="25">
        <f>1 / J189</f>
        <v/>
      </c>
      <c r="L189" s="25">
        <f>I189 * K189</f>
        <v/>
      </c>
      <c r="M189" s="25">
        <f>I189 * (0.01000000 / 12)</f>
        <v/>
      </c>
      <c r="N189" s="25">
        <f>I189 * (0.00664805 / 12) * 1.0</f>
        <v/>
      </c>
      <c r="O189" s="25">
        <f>I189 * (0.00400000 / 12) * 1.0</f>
        <v/>
      </c>
      <c r="P189" s="25">
        <f>I189 * (0.00500000 / 12) * 1.0</f>
        <v/>
      </c>
      <c r="Q189" s="25">
        <f>Q188 * (K189 / K188) + M189</f>
        <v/>
      </c>
      <c r="R189" s="25">
        <f>R188 * (K189 / K188) + N189</f>
        <v/>
      </c>
      <c r="S189" s="25">
        <f>S188 * (K189 / K188) + O189 + P189</f>
        <v/>
      </c>
      <c r="T189" s="22">
        <f>Q189 + R189 + S189</f>
        <v/>
      </c>
      <c r="U189" s="25">
        <f>MAX(0, -T189)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 t="n">
        <v>0</v>
      </c>
      <c r="J190" s="19" t="n">
        <v>0.4613964743190772</v>
      </c>
      <c r="K190" s="24">
        <f>1 / J190</f>
        <v/>
      </c>
      <c r="L190" s="24">
        <f>I190 * K190</f>
        <v/>
      </c>
      <c r="M190" s="24">
        <f>I190 * (0.01000000 / 12)</f>
        <v/>
      </c>
      <c r="N190" s="24">
        <f>I190 * (0.00664805 / 12) * 1.0</f>
        <v/>
      </c>
      <c r="O190" s="24">
        <f>I190 * (0.00400000 / 12) * 1.0</f>
        <v/>
      </c>
      <c r="P190" s="24">
        <f>I190 * (0.00500000 / 12) * 1.0</f>
        <v/>
      </c>
      <c r="Q190" s="24">
        <f>Q189 * (K190 / K189) + M190</f>
        <v/>
      </c>
      <c r="R190" s="24">
        <f>R189 * (K190 / K189) + N190</f>
        <v/>
      </c>
      <c r="S190" s="24">
        <f>S189 * (K190 / K189) + O190 + P190</f>
        <v/>
      </c>
      <c r="T190" s="20">
        <f>Q190 + R190 + S190</f>
        <v/>
      </c>
      <c r="U190" s="24">
        <f>MAX(0, -T190)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 t="n">
        <v>0</v>
      </c>
      <c r="J191" s="21" t="n">
        <v>0.4595164238144415</v>
      </c>
      <c r="K191" s="25">
        <f>1 / J191</f>
        <v/>
      </c>
      <c r="L191" s="25">
        <f>I191 * K191</f>
        <v/>
      </c>
      <c r="M191" s="25">
        <f>I191 * (0.01000000 / 12)</f>
        <v/>
      </c>
      <c r="N191" s="25">
        <f>I191 * (0.00664805 / 12) * 1.0</f>
        <v/>
      </c>
      <c r="O191" s="25">
        <f>I191 * (0.00400000 / 12) * 1.0</f>
        <v/>
      </c>
      <c r="P191" s="25">
        <f>I191 * (0.00500000 / 12) * 1.0</f>
        <v/>
      </c>
      <c r="Q191" s="25">
        <f>Q190 * (K191 / K190) + M191</f>
        <v/>
      </c>
      <c r="R191" s="25">
        <f>R190 * (K191 / K190) + N191</f>
        <v/>
      </c>
      <c r="S191" s="25">
        <f>S190 * (K191 / K190) + O191 + P191</f>
        <v/>
      </c>
      <c r="T191" s="22">
        <f>Q191 + R191 + S191</f>
        <v/>
      </c>
      <c r="U191" s="25">
        <f>MAX(0, -T191)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 t="n">
        <v>0</v>
      </c>
      <c r="J192" s="19" t="n">
        <v>0.4576440339446323</v>
      </c>
      <c r="K192" s="24">
        <f>1 / J192</f>
        <v/>
      </c>
      <c r="L192" s="24">
        <f>I192 * K192</f>
        <v/>
      </c>
      <c r="M192" s="24">
        <f>I192 * (0.01000000 / 12)</f>
        <v/>
      </c>
      <c r="N192" s="24">
        <f>I192 * (0.00664805 / 12) * 1.0</f>
        <v/>
      </c>
      <c r="O192" s="24">
        <f>I192 * (0.00400000 / 12) * 1.0</f>
        <v/>
      </c>
      <c r="P192" s="24">
        <f>I192 * (0.00500000 / 12) * 1.0</f>
        <v/>
      </c>
      <c r="Q192" s="24">
        <f>Q191 * (K192 / K191) + M192</f>
        <v/>
      </c>
      <c r="R192" s="24">
        <f>R191 * (K192 / K191) + N192</f>
        <v/>
      </c>
      <c r="S192" s="24">
        <f>S191 * (K192 / K191) + O192 + P192</f>
        <v/>
      </c>
      <c r="T192" s="20">
        <f>Q192 + R192 + S192</f>
        <v/>
      </c>
      <c r="U192" s="24">
        <f>MAX(0, -T192)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 t="n">
        <v>0</v>
      </c>
      <c r="J193" s="21" t="n">
        <v>0.4557792734948892</v>
      </c>
      <c r="K193" s="25">
        <f>1 / J193</f>
        <v/>
      </c>
      <c r="L193" s="25">
        <f>I193 * K193</f>
        <v/>
      </c>
      <c r="M193" s="25">
        <f>I193 * (0.01000000 / 12)</f>
        <v/>
      </c>
      <c r="N193" s="25">
        <f>I193 * (0.00664805 / 12) * 1.0</f>
        <v/>
      </c>
      <c r="O193" s="25">
        <f>I193 * (0.00400000 / 12) * 1.0</f>
        <v/>
      </c>
      <c r="P193" s="25">
        <f>I193 * (0.00500000 / 12) * 1.0</f>
        <v/>
      </c>
      <c r="Q193" s="25">
        <f>Q192 * (K193 / K192) + M193</f>
        <v/>
      </c>
      <c r="R193" s="25">
        <f>R192 * (K193 / K192) + N193</f>
        <v/>
      </c>
      <c r="S193" s="25">
        <f>S192 * (K193 / K192) + O193 + P193</f>
        <v/>
      </c>
      <c r="T193" s="22">
        <f>Q193 + R193 + S193</f>
        <v/>
      </c>
      <c r="U193" s="25">
        <f>MAX(0, -T193)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 t="n">
        <v>0</v>
      </c>
      <c r="J194" s="19" t="n">
        <v>0.4539221113776426</v>
      </c>
      <c r="K194" s="24">
        <f>1 / J194</f>
        <v/>
      </c>
      <c r="L194" s="24">
        <f>I194 * K194</f>
        <v/>
      </c>
      <c r="M194" s="24">
        <f>I194 * (0.01000000 / 12)</f>
        <v/>
      </c>
      <c r="N194" s="24">
        <f>I194 * (0.00664805 / 12) * 1.0</f>
        <v/>
      </c>
      <c r="O194" s="24">
        <f>I194 * (0.00400000 / 12) * 1.0</f>
        <v/>
      </c>
      <c r="P194" s="24">
        <f>I194 * (0.00500000 / 12) * 1.0</f>
        <v/>
      </c>
      <c r="Q194" s="24">
        <f>Q193 * (K194 / K193) + M194</f>
        <v/>
      </c>
      <c r="R194" s="24">
        <f>R193 * (K194 / K193) + N194</f>
        <v/>
      </c>
      <c r="S194" s="24">
        <f>S193 * (K194 / K193) + O194 + P194</f>
        <v/>
      </c>
      <c r="T194" s="20">
        <f>Q194 + R194 + S194</f>
        <v/>
      </c>
      <c r="U194" s="24">
        <f>MAX(0, -T194)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 t="n">
        <v>0</v>
      </c>
      <c r="J195" s="21" t="n">
        <v>0.4520725166319951</v>
      </c>
      <c r="K195" s="25">
        <f>1 / J195</f>
        <v/>
      </c>
      <c r="L195" s="25">
        <f>I195 * K195</f>
        <v/>
      </c>
      <c r="M195" s="25">
        <f>I195 * (0.01000000 / 12)</f>
        <v/>
      </c>
      <c r="N195" s="25">
        <f>I195 * (0.00664805 / 12) * 1.0</f>
        <v/>
      </c>
      <c r="O195" s="25">
        <f>I195 * (0.00400000 / 12) * 1.0</f>
        <v/>
      </c>
      <c r="P195" s="25">
        <f>I195 * (0.00500000 / 12) * 1.0</f>
        <v/>
      </c>
      <c r="Q195" s="25">
        <f>Q194 * (K195 / K194) + M195</f>
        <v/>
      </c>
      <c r="R195" s="25">
        <f>R194 * (K195 / K194) + N195</f>
        <v/>
      </c>
      <c r="S195" s="25">
        <f>S194 * (K195 / K194) + O195 + P195</f>
        <v/>
      </c>
      <c r="T195" s="22">
        <f>Q195 + R195 + S195</f>
        <v/>
      </c>
      <c r="U195" s="25">
        <f>MAX(0, -T195)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 t="n">
        <v>0</v>
      </c>
      <c r="J196" s="19" t="n">
        <v>0.4502304584232058</v>
      </c>
      <c r="K196" s="24">
        <f>1 / J196</f>
        <v/>
      </c>
      <c r="L196" s="24">
        <f>I196 * K196</f>
        <v/>
      </c>
      <c r="M196" s="24">
        <f>I196 * (0.01000000 / 12)</f>
        <v/>
      </c>
      <c r="N196" s="24">
        <f>I196 * (0.00664805 / 12) * 1.0</f>
        <v/>
      </c>
      <c r="O196" s="24">
        <f>I196 * (0.00400000 / 12) * 1.0</f>
        <v/>
      </c>
      <c r="P196" s="24">
        <f>I196 * (0.00500000 / 12) * 1.0</f>
        <v/>
      </c>
      <c r="Q196" s="24">
        <f>Q195 * (K196 / K195) + M196</f>
        <v/>
      </c>
      <c r="R196" s="24">
        <f>R195 * (K196 / K195) + N196</f>
        <v/>
      </c>
      <c r="S196" s="24">
        <f>S195 * (K196 / K195) + O196 + P196</f>
        <v/>
      </c>
      <c r="T196" s="20">
        <f>Q196 + R196 + S196</f>
        <v/>
      </c>
      <c r="U196" s="24">
        <f>MAX(0, -T196)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 t="n">
        <v>0</v>
      </c>
      <c r="J197" s="21" t="n">
        <v>0.4483959060421758</v>
      </c>
      <c r="K197" s="25">
        <f>1 / J197</f>
        <v/>
      </c>
      <c r="L197" s="25">
        <f>I197 * K197</f>
        <v/>
      </c>
      <c r="M197" s="25">
        <f>I197 * (0.01000000 / 12)</f>
        <v/>
      </c>
      <c r="N197" s="25">
        <f>I197 * (0.00664805 / 12) * 1.0</f>
        <v/>
      </c>
      <c r="O197" s="25">
        <f>I197 * (0.00400000 / 12) * 1.0</f>
        <v/>
      </c>
      <c r="P197" s="25">
        <f>I197 * (0.00500000 / 12) * 1.0</f>
        <v/>
      </c>
      <c r="Q197" s="25">
        <f>Q196 * (K197 / K196) + M197</f>
        <v/>
      </c>
      <c r="R197" s="25">
        <f>R196 * (K197 / K196) + N197</f>
        <v/>
      </c>
      <c r="S197" s="25">
        <f>S196 * (K197 / K196) + O197 + P197</f>
        <v/>
      </c>
      <c r="T197" s="22">
        <f>Q197 + R197 + S197</f>
        <v/>
      </c>
      <c r="U197" s="25">
        <f>MAX(0, -T197)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 t="n">
        <v>0</v>
      </c>
      <c r="J198" s="19" t="n">
        <v>0.4465688289049366</v>
      </c>
      <c r="K198" s="24">
        <f>1 / J198</f>
        <v/>
      </c>
      <c r="L198" s="24">
        <f>I198 * K198</f>
        <v/>
      </c>
      <c r="M198" s="24">
        <f>I198 * (0.01000000 / 12)</f>
        <v/>
      </c>
      <c r="N198" s="24">
        <f>I198 * (0.00664805 / 12) * 1.0</f>
        <v/>
      </c>
      <c r="O198" s="24">
        <f>I198 * (0.00400000 / 12) * 1.0</f>
        <v/>
      </c>
      <c r="P198" s="24">
        <f>I198 * (0.00500000 / 12) * 1.0</f>
        <v/>
      </c>
      <c r="Q198" s="24">
        <f>Q197 * (K198 / K197) + M198</f>
        <v/>
      </c>
      <c r="R198" s="24">
        <f>R197 * (K198 / K197) + N198</f>
        <v/>
      </c>
      <c r="S198" s="24">
        <f>S197 * (K198 / K197) + O198 + P198</f>
        <v/>
      </c>
      <c r="T198" s="20">
        <f>Q198 + R198 + S198</f>
        <v/>
      </c>
      <c r="U198" s="24">
        <f>MAX(0, -T198)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 t="n">
        <v>0</v>
      </c>
      <c r="J199" s="21" t="n">
        <v>0.44474919655214</v>
      </c>
      <c r="K199" s="25">
        <f>1 / J199</f>
        <v/>
      </c>
      <c r="L199" s="25">
        <f>I199 * K199</f>
        <v/>
      </c>
      <c r="M199" s="25">
        <f>I199 * (0.01000000 / 12)</f>
        <v/>
      </c>
      <c r="N199" s="25">
        <f>I199 * (0.00664805 / 12) * 1.0</f>
        <v/>
      </c>
      <c r="O199" s="25">
        <f>I199 * (0.00400000 / 12) * 1.0</f>
        <v/>
      </c>
      <c r="P199" s="25">
        <f>I199 * (0.00500000 / 12) * 1.0</f>
        <v/>
      </c>
      <c r="Q199" s="25">
        <f>Q198 * (K199 / K198) + M199</f>
        <v/>
      </c>
      <c r="R199" s="25">
        <f>R198 * (K199 / K198) + N199</f>
        <v/>
      </c>
      <c r="S199" s="25">
        <f>S198 * (K199 / K198) + O199 + P199</f>
        <v/>
      </c>
      <c r="T199" s="22">
        <f>Q199 + R199 + S199</f>
        <v/>
      </c>
      <c r="U199" s="25">
        <f>MAX(0, -T199)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 t="n">
        <v>0</v>
      </c>
      <c r="J200" s="19" t="n">
        <v>0.4429369786485503</v>
      </c>
      <c r="K200" s="24">
        <f>1 / J200</f>
        <v/>
      </c>
      <c r="L200" s="24">
        <f>I200 * K200</f>
        <v/>
      </c>
      <c r="M200" s="24">
        <f>I200 * (0.01000000 / 12)</f>
        <v/>
      </c>
      <c r="N200" s="24">
        <f>I200 * (0.00664805 / 12) * 1.0</f>
        <v/>
      </c>
      <c r="O200" s="24">
        <f>I200 * (0.00400000 / 12) * 1.0</f>
        <v/>
      </c>
      <c r="P200" s="24">
        <f>I200 * (0.00500000 / 12) * 1.0</f>
        <v/>
      </c>
      <c r="Q200" s="24">
        <f>Q199 * (K200 / K199) + M200</f>
        <v/>
      </c>
      <c r="R200" s="24">
        <f>R199 * (K200 / K199) + N200</f>
        <v/>
      </c>
      <c r="S200" s="24">
        <f>S199 * (K200 / K199) + O200 + P200</f>
        <v/>
      </c>
      <c r="T200" s="20">
        <f>Q200 + R200 + S200</f>
        <v/>
      </c>
      <c r="U200" s="24">
        <f>MAX(0, -T200)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 t="n">
        <v>0</v>
      </c>
      <c r="J201" s="21" t="n">
        <v>0.4411321449825389</v>
      </c>
      <c r="K201" s="25">
        <f>1 / J201</f>
        <v/>
      </c>
      <c r="L201" s="25">
        <f>I201 * K201</f>
        <v/>
      </c>
      <c r="M201" s="25">
        <f>I201 * (0.01000000 / 12)</f>
        <v/>
      </c>
      <c r="N201" s="25">
        <f>I201 * (0.00664805 / 12) * 1.0</f>
        <v/>
      </c>
      <c r="O201" s="25">
        <f>I201 * (0.00400000 / 12) * 1.0</f>
        <v/>
      </c>
      <c r="P201" s="25">
        <f>I201 * (0.00500000 / 12) * 1.0</f>
        <v/>
      </c>
      <c r="Q201" s="25">
        <f>Q200 * (K201 / K200) + M201</f>
        <v/>
      </c>
      <c r="R201" s="25">
        <f>R200 * (K201 / K200) + N201</f>
        <v/>
      </c>
      <c r="S201" s="25">
        <f>S200 * (K201 / K200) + O201 + P201</f>
        <v/>
      </c>
      <c r="T201" s="22">
        <f>Q201 + R201 + S201</f>
        <v/>
      </c>
      <c r="U201" s="25">
        <f>MAX(0, -T201)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 t="n">
        <v>0</v>
      </c>
      <c r="J202" s="19" t="n">
        <v>0.4393346654655804</v>
      </c>
      <c r="K202" s="24">
        <f>1 / J202</f>
        <v/>
      </c>
      <c r="L202" s="24">
        <f>I202 * K202</f>
        <v/>
      </c>
      <c r="M202" s="24">
        <f>I202 * (0.01000000 / 12)</f>
        <v/>
      </c>
      <c r="N202" s="24">
        <f>I202 * (0.00664805 / 12) * 1.0</f>
        <v/>
      </c>
      <c r="O202" s="24">
        <f>I202 * (0.00400000 / 12) * 1.0</f>
        <v/>
      </c>
      <c r="P202" s="24">
        <f>I202 * (0.00500000 / 12) * 1.0</f>
        <v/>
      </c>
      <c r="Q202" s="24">
        <f>Q201 * (K202 / K201) + M202</f>
        <v/>
      </c>
      <c r="R202" s="24">
        <f>R201 * (K202 / K201) + N202</f>
        <v/>
      </c>
      <c r="S202" s="24">
        <f>S201 * (K202 / K201) + O202 + P202</f>
        <v/>
      </c>
      <c r="T202" s="20">
        <f>Q202 + R202 + S202</f>
        <v/>
      </c>
      <c r="U202" s="24">
        <f>MAX(0, -T202)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 t="n">
        <v>0</v>
      </c>
      <c r="J203" s="21" t="n">
        <v>0.4375445101317507</v>
      </c>
      <c r="K203" s="25">
        <f>1 / J203</f>
        <v/>
      </c>
      <c r="L203" s="25">
        <f>I203 * K203</f>
        <v/>
      </c>
      <c r="M203" s="25">
        <f>I203 * (0.01000000 / 12)</f>
        <v/>
      </c>
      <c r="N203" s="25">
        <f>I203 * (0.00664805 / 12) * 1.0</f>
        <v/>
      </c>
      <c r="O203" s="25">
        <f>I203 * (0.00400000 / 12) * 1.0</f>
        <v/>
      </c>
      <c r="P203" s="25">
        <f>I203 * (0.00500000 / 12) * 1.0</f>
        <v/>
      </c>
      <c r="Q203" s="25">
        <f>Q202 * (K203 / K202) + M203</f>
        <v/>
      </c>
      <c r="R203" s="25">
        <f>R202 * (K203 / K202) + N203</f>
        <v/>
      </c>
      <c r="S203" s="25">
        <f>S202 * (K203 / K202) + O203 + P203</f>
        <v/>
      </c>
      <c r="T203" s="22">
        <f>Q203 + R203 + S203</f>
        <v/>
      </c>
      <c r="U203" s="25">
        <f>MAX(0, -T203)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 t="n">
        <v>0</v>
      </c>
      <c r="J204" s="19" t="n">
        <v>0.435761649137228</v>
      </c>
      <c r="K204" s="24">
        <f>1 / J204</f>
        <v/>
      </c>
      <c r="L204" s="24">
        <f>I204 * K204</f>
        <v/>
      </c>
      <c r="M204" s="24">
        <f>I204 * (0.01000000 / 12)</f>
        <v/>
      </c>
      <c r="N204" s="24">
        <f>I204 * (0.00664805 / 12) * 1.0</f>
        <v/>
      </c>
      <c r="O204" s="24">
        <f>I204 * (0.00400000 / 12) * 1.0</f>
        <v/>
      </c>
      <c r="P204" s="24">
        <f>I204 * (0.00500000 / 12) * 1.0</f>
        <v/>
      </c>
      <c r="Q204" s="24">
        <f>Q203 * (K204 / K203) + M204</f>
        <v/>
      </c>
      <c r="R204" s="24">
        <f>R203 * (K204 / K203) + N204</f>
        <v/>
      </c>
      <c r="S204" s="24">
        <f>S203 * (K204 / K203) + O204 + P204</f>
        <v/>
      </c>
      <c r="T204" s="20">
        <f>Q204 + R204 + S204</f>
        <v/>
      </c>
      <c r="U204" s="24">
        <f>MAX(0, -T204)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 t="n">
        <v>0</v>
      </c>
      <c r="J205" s="21" t="n">
        <v>0.433986052759795</v>
      </c>
      <c r="K205" s="25">
        <f>1 / J205</f>
        <v/>
      </c>
      <c r="L205" s="25">
        <f>I205 * K205</f>
        <v/>
      </c>
      <c r="M205" s="25">
        <f>I205 * (0.01000000 / 12)</f>
        <v/>
      </c>
      <c r="N205" s="25">
        <f>I205 * (0.00664805 / 12) * 1.0</f>
        <v/>
      </c>
      <c r="O205" s="25">
        <f>I205 * (0.00400000 / 12) * 1.0</f>
        <v/>
      </c>
      <c r="P205" s="25">
        <f>I205 * (0.00500000 / 12) * 1.0</f>
        <v/>
      </c>
      <c r="Q205" s="25">
        <f>Q204 * (K205 / K204) + M205</f>
        <v/>
      </c>
      <c r="R205" s="25">
        <f>R204 * (K205 / K204) + N205</f>
        <v/>
      </c>
      <c r="S205" s="25">
        <f>S204 * (K205 / K204) + O205 + P205</f>
        <v/>
      </c>
      <c r="T205" s="22">
        <f>Q205 + R205 + S205</f>
        <v/>
      </c>
      <c r="U205" s="25">
        <f>MAX(0, -T205)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 t="n">
        <v>0</v>
      </c>
      <c r="J206" s="19" t="n">
        <v>0.4322176913983433</v>
      </c>
      <c r="K206" s="24">
        <f>1 / J206</f>
        <v/>
      </c>
      <c r="L206" s="24">
        <f>I206 * K206</f>
        <v/>
      </c>
      <c r="M206" s="24">
        <f>I206 * (0.01000000 / 12)</f>
        <v/>
      </c>
      <c r="N206" s="24">
        <f>I206 * (0.00664805 / 12) * 1.0</f>
        <v/>
      </c>
      <c r="O206" s="24">
        <f>I206 * (0.00400000 / 12) * 1.0</f>
        <v/>
      </c>
      <c r="P206" s="24">
        <f>I206 * (0.00500000 / 12) * 1.0</f>
        <v/>
      </c>
      <c r="Q206" s="24">
        <f>Q205 * (K206 / K205) + M206</f>
        <v/>
      </c>
      <c r="R206" s="24">
        <f>R205 * (K206 / K205) + N206</f>
        <v/>
      </c>
      <c r="S206" s="24">
        <f>S205 * (K206 / K205) + O206 + P206</f>
        <v/>
      </c>
      <c r="T206" s="20">
        <f>Q206 + R206 + S206</f>
        <v/>
      </c>
      <c r="U206" s="24">
        <f>MAX(0, -T206)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 t="n">
        <v>0</v>
      </c>
      <c r="J207" s="21" t="n">
        <v>0.4304565355723801</v>
      </c>
      <c r="K207" s="25">
        <f>1 / J207</f>
        <v/>
      </c>
      <c r="L207" s="25">
        <f>I207 * K207</f>
        <v/>
      </c>
      <c r="M207" s="25">
        <f>I207 * (0.01000000 / 12)</f>
        <v/>
      </c>
      <c r="N207" s="25">
        <f>I207 * (0.00664805 / 12) * 1.0</f>
        <v/>
      </c>
      <c r="O207" s="25">
        <f>I207 * (0.00400000 / 12) * 1.0</f>
        <v/>
      </c>
      <c r="P207" s="25">
        <f>I207 * (0.00500000 / 12) * 1.0</f>
        <v/>
      </c>
      <c r="Q207" s="25">
        <f>Q206 * (K207 / K206) + M207</f>
        <v/>
      </c>
      <c r="R207" s="25">
        <f>R206 * (K207 / K206) + N207</f>
        <v/>
      </c>
      <c r="S207" s="25">
        <f>S206 * (K207 / K206) + O207 + P207</f>
        <v/>
      </c>
      <c r="T207" s="22">
        <f>Q207 + R207 + S207</f>
        <v/>
      </c>
      <c r="U207" s="25">
        <f>MAX(0, -T207)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 t="n">
        <v>0</v>
      </c>
      <c r="J208" s="19" t="n">
        <v>0.4287025559215366</v>
      </c>
      <c r="K208" s="24">
        <f>1 / J208</f>
        <v/>
      </c>
      <c r="L208" s="24">
        <f>I208 * K208</f>
        <v/>
      </c>
      <c r="M208" s="24">
        <f>I208 * (0.01000000 / 12)</f>
        <v/>
      </c>
      <c r="N208" s="24">
        <f>I208 * (0.00664805 / 12) * 1.0</f>
        <v/>
      </c>
      <c r="O208" s="24">
        <f>I208 * (0.00400000 / 12) * 1.0</f>
        <v/>
      </c>
      <c r="P208" s="24">
        <f>I208 * (0.00500000 / 12) * 1.0</f>
        <v/>
      </c>
      <c r="Q208" s="24">
        <f>Q207 * (K208 / K207) + M208</f>
        <v/>
      </c>
      <c r="R208" s="24">
        <f>R207 * (K208 / K207) + N208</f>
        <v/>
      </c>
      <c r="S208" s="24">
        <f>S207 * (K208 / K207) + O208 + P208</f>
        <v/>
      </c>
      <c r="T208" s="20">
        <f>Q208 + R208 + S208</f>
        <v/>
      </c>
      <c r="U208" s="24">
        <f>MAX(0, -T208)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 t="n">
        <v>0</v>
      </c>
      <c r="J209" s="21" t="n">
        <v>0.4269557232050787</v>
      </c>
      <c r="K209" s="25">
        <f>1 / J209</f>
        <v/>
      </c>
      <c r="L209" s="25">
        <f>I209 * K209</f>
        <v/>
      </c>
      <c r="M209" s="25">
        <f>I209 * (0.01000000 / 12)</f>
        <v/>
      </c>
      <c r="N209" s="25">
        <f>I209 * (0.00664805 / 12) * 1.0</f>
        <v/>
      </c>
      <c r="O209" s="25">
        <f>I209 * (0.00400000 / 12) * 1.0</f>
        <v/>
      </c>
      <c r="P209" s="25">
        <f>I209 * (0.00500000 / 12) * 1.0</f>
        <v/>
      </c>
      <c r="Q209" s="25">
        <f>Q208 * (K209 / K208) + M209</f>
        <v/>
      </c>
      <c r="R209" s="25">
        <f>R208 * (K209 / K208) + N209</f>
        <v/>
      </c>
      <c r="S209" s="25">
        <f>S208 * (K209 / K208) + O209 + P209</f>
        <v/>
      </c>
      <c r="T209" s="22">
        <f>Q209 + R209 + S209</f>
        <v/>
      </c>
      <c r="U209" s="25">
        <f>MAX(0, -T209)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 t="n">
        <v>0</v>
      </c>
      <c r="J210" s="19" t="n">
        <v>0.4252160083014193</v>
      </c>
      <c r="K210" s="24">
        <f>1 / J210</f>
        <v/>
      </c>
      <c r="L210" s="24">
        <f>I210 * K210</f>
        <v/>
      </c>
      <c r="M210" s="24">
        <f>I210 * (0.01000000 / 12)</f>
        <v/>
      </c>
      <c r="N210" s="24">
        <f>I210 * (0.00664805 / 12) * 1.0</f>
        <v/>
      </c>
      <c r="O210" s="24">
        <f>I210 * (0.00400000 / 12) * 1.0</f>
        <v/>
      </c>
      <c r="P210" s="24">
        <f>I210 * (0.00500000 / 12) * 1.0</f>
        <v/>
      </c>
      <c r="Q210" s="24">
        <f>Q209 * (K210 / K209) + M210</f>
        <v/>
      </c>
      <c r="R210" s="24">
        <f>R209 * (K210 / K209) + N210</f>
        <v/>
      </c>
      <c r="S210" s="24">
        <f>S209 * (K210 / K209) + O210 + P210</f>
        <v/>
      </c>
      <c r="T210" s="20">
        <f>Q210 + R210 + S210</f>
        <v/>
      </c>
      <c r="U210" s="24">
        <f>MAX(0, -T210)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 t="n">
        <v>0</v>
      </c>
      <c r="J211" s="21" t="n">
        <v>0.4234833822076329</v>
      </c>
      <c r="K211" s="25">
        <f>1 / J211</f>
        <v/>
      </c>
      <c r="L211" s="25">
        <f>I211 * K211</f>
        <v/>
      </c>
      <c r="M211" s="25">
        <f>I211 * (0.01000000 / 12)</f>
        <v/>
      </c>
      <c r="N211" s="25">
        <f>I211 * (0.00664805 / 12) * 1.0</f>
        <v/>
      </c>
      <c r="O211" s="25">
        <f>I211 * (0.00400000 / 12) * 1.0</f>
        <v/>
      </c>
      <c r="P211" s="25">
        <f>I211 * (0.00500000 / 12) * 1.0</f>
        <v/>
      </c>
      <c r="Q211" s="25">
        <f>Q210 * (K211 / K210) + M211</f>
        <v/>
      </c>
      <c r="R211" s="25">
        <f>R210 * (K211 / K210) + N211</f>
        <v/>
      </c>
      <c r="S211" s="25">
        <f>S210 * (K211 / K210) + O211 + P211</f>
        <v/>
      </c>
      <c r="T211" s="22">
        <f>Q211 + R211 + S211</f>
        <v/>
      </c>
      <c r="U211" s="25">
        <f>MAX(0, -T211)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 t="n">
        <v>0</v>
      </c>
      <c r="J212" s="19" t="n">
        <v>0.4217578160389723</v>
      </c>
      <c r="K212" s="24">
        <f>1 / J212</f>
        <v/>
      </c>
      <c r="L212" s="24">
        <f>I212 * K212</f>
        <v/>
      </c>
      <c r="M212" s="24">
        <f>I212 * (0.01000000 / 12)</f>
        <v/>
      </c>
      <c r="N212" s="24">
        <f>I212 * (0.00664805 / 12) * 1.0</f>
        <v/>
      </c>
      <c r="O212" s="24">
        <f>I212 * (0.00400000 / 12) * 1.0</f>
        <v/>
      </c>
      <c r="P212" s="24">
        <f>I212 * (0.00500000 / 12) * 1.0</f>
        <v/>
      </c>
      <c r="Q212" s="24">
        <f>Q211 * (K212 / K211) + M212</f>
        <v/>
      </c>
      <c r="R212" s="24">
        <f>R211 * (K212 / K211) + N212</f>
        <v/>
      </c>
      <c r="S212" s="24">
        <f>S211 * (K212 / K211) + O212 + P212</f>
        <v/>
      </c>
      <c r="T212" s="20">
        <f>Q212 + R212 + S212</f>
        <v/>
      </c>
      <c r="U212" s="24">
        <f>MAX(0, -T212)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 t="n">
        <v>0</v>
      </c>
      <c r="J213" s="21" t="n">
        <v>0.4200392810283867</v>
      </c>
      <c r="K213" s="25">
        <f>1 / J213</f>
        <v/>
      </c>
      <c r="L213" s="25">
        <f>I213 * K213</f>
        <v/>
      </c>
      <c r="M213" s="25">
        <f>I213 * (0.01000000 / 12)</f>
        <v/>
      </c>
      <c r="N213" s="25">
        <f>I213 * (0.00664805 / 12) * 1.0</f>
        <v/>
      </c>
      <c r="O213" s="25">
        <f>I213 * (0.00400000 / 12) * 1.0</f>
        <v/>
      </c>
      <c r="P213" s="25">
        <f>I213 * (0.00500000 / 12) * 1.0</f>
        <v/>
      </c>
      <c r="Q213" s="25">
        <f>Q212 * (K213 / K212) + M213</f>
        <v/>
      </c>
      <c r="R213" s="25">
        <f>R212 * (K213 / K212) + N213</f>
        <v/>
      </c>
      <c r="S213" s="25">
        <f>S212 * (K213 / K212) + O213 + P213</f>
        <v/>
      </c>
      <c r="T213" s="22">
        <f>Q213 + R213 + S213</f>
        <v/>
      </c>
      <c r="U213" s="25">
        <f>MAX(0, -T213)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 t="n">
        <v>0</v>
      </c>
      <c r="J214" s="19" t="n">
        <v>0.4183277485260422</v>
      </c>
      <c r="K214" s="24">
        <f>1 / J214</f>
        <v/>
      </c>
      <c r="L214" s="24">
        <f>I214 * K214</f>
        <v/>
      </c>
      <c r="M214" s="24">
        <f>I214 * (0.01000000 / 12)</f>
        <v/>
      </c>
      <c r="N214" s="24">
        <f>I214 * (0.00664805 / 12) * 1.0</f>
        <v/>
      </c>
      <c r="O214" s="24">
        <f>I214 * (0.00400000 / 12) * 1.0</f>
        <v/>
      </c>
      <c r="P214" s="24">
        <f>I214 * (0.00500000 / 12) * 1.0</f>
        <v/>
      </c>
      <c r="Q214" s="24">
        <f>Q213 * (K214 / K213) + M214</f>
        <v/>
      </c>
      <c r="R214" s="24">
        <f>R213 * (K214 / K213) + N214</f>
        <v/>
      </c>
      <c r="S214" s="24">
        <f>S213 * (K214 / K213) + O214 + P214</f>
        <v/>
      </c>
      <c r="T214" s="20">
        <f>Q214 + R214 + S214</f>
        <v/>
      </c>
      <c r="U214" s="24">
        <f>MAX(0, -T214)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 t="n">
        <v>0</v>
      </c>
      <c r="J215" s="21" t="n">
        <v>0.4166231899988446</v>
      </c>
      <c r="K215" s="25">
        <f>1 / J215</f>
        <v/>
      </c>
      <c r="L215" s="25">
        <f>I215 * K215</f>
        <v/>
      </c>
      <c r="M215" s="25">
        <f>I215 * (0.01000000 / 12)</f>
        <v/>
      </c>
      <c r="N215" s="25">
        <f>I215 * (0.00664805 / 12) * 1.0</f>
        <v/>
      </c>
      <c r="O215" s="25">
        <f>I215 * (0.00400000 / 12) * 1.0</f>
        <v/>
      </c>
      <c r="P215" s="25">
        <f>I215 * (0.00500000 / 12) * 1.0</f>
        <v/>
      </c>
      <c r="Q215" s="25">
        <f>Q214 * (K215 / K214) + M215</f>
        <v/>
      </c>
      <c r="R215" s="25">
        <f>R214 * (K215 / K214) + N215</f>
        <v/>
      </c>
      <c r="S215" s="25">
        <f>S214 * (K215 / K214) + O215 + P215</f>
        <v/>
      </c>
      <c r="T215" s="22">
        <f>Q215 + R215 + S215</f>
        <v/>
      </c>
      <c r="U215" s="25">
        <f>MAX(0, -T215)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 t="n">
        <v>0</v>
      </c>
      <c r="J216" s="19" t="n">
        <v>0.4149255770299631</v>
      </c>
      <c r="K216" s="24">
        <f>1 / J216</f>
        <v/>
      </c>
      <c r="L216" s="24">
        <f>I216 * K216</f>
        <v/>
      </c>
      <c r="M216" s="24">
        <f>I216 * (0.01000000 / 12)</f>
        <v/>
      </c>
      <c r="N216" s="24">
        <f>I216 * (0.00664805 / 12) * 1.0</f>
        <v/>
      </c>
      <c r="O216" s="24">
        <f>I216 * (0.00400000 / 12) * 1.0</f>
        <v/>
      </c>
      <c r="P216" s="24">
        <f>I216 * (0.00500000 / 12) * 1.0</f>
        <v/>
      </c>
      <c r="Q216" s="24">
        <f>Q215 * (K216 / K215) + M216</f>
        <v/>
      </c>
      <c r="R216" s="24">
        <f>R215 * (K216 / K215) + N216</f>
        <v/>
      </c>
      <c r="S216" s="24">
        <f>S215 * (K216 / K215) + O216 + P216</f>
        <v/>
      </c>
      <c r="T216" s="20">
        <f>Q216 + R216 + S216</f>
        <v/>
      </c>
      <c r="U216" s="24">
        <f>MAX(0, -T216)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 t="n">
        <v>0</v>
      </c>
      <c r="J217" s="21" t="n">
        <v>0.4132348813183571</v>
      </c>
      <c r="K217" s="25">
        <f>1 / J217</f>
        <v/>
      </c>
      <c r="L217" s="25">
        <f>I217 * K217</f>
        <v/>
      </c>
      <c r="M217" s="25">
        <f>I217 * (0.01000000 / 12)</f>
        <v/>
      </c>
      <c r="N217" s="25">
        <f>I217 * (0.00664805 / 12) * 1.0</f>
        <v/>
      </c>
      <c r="O217" s="25">
        <f>I217 * (0.00400000 / 12) * 1.0</f>
        <v/>
      </c>
      <c r="P217" s="25">
        <f>I217 * (0.00500000 / 12) * 1.0</f>
        <v/>
      </c>
      <c r="Q217" s="25">
        <f>Q216 * (K217 / K216) + M217</f>
        <v/>
      </c>
      <c r="R217" s="25">
        <f>R216 * (K217 / K216) + N217</f>
        <v/>
      </c>
      <c r="S217" s="25">
        <f>S216 * (K217 / K216) + O217 + P217</f>
        <v/>
      </c>
      <c r="T217" s="22">
        <f>Q217 + R217 + S217</f>
        <v/>
      </c>
      <c r="U217" s="25">
        <f>MAX(0, -T217)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 t="n">
        <v>0</v>
      </c>
      <c r="J218" s="19" t="n">
        <v>0.4115510746783038</v>
      </c>
      <c r="K218" s="24">
        <f>1 / J218</f>
        <v/>
      </c>
      <c r="L218" s="24">
        <f>I218 * K218</f>
        <v/>
      </c>
      <c r="M218" s="24">
        <f>I218 * (0.01000000 / 12)</f>
        <v/>
      </c>
      <c r="N218" s="24">
        <f>I218 * (0.00664805 / 12) * 1.0</f>
        <v/>
      </c>
      <c r="O218" s="24">
        <f>I218 * (0.00400000 / 12) * 1.0</f>
        <v/>
      </c>
      <c r="P218" s="24">
        <f>I218 * (0.00500000 / 12) * 1.0</f>
        <v/>
      </c>
      <c r="Q218" s="24">
        <f>Q217 * (K218 / K217) + M218</f>
        <v/>
      </c>
      <c r="R218" s="24">
        <f>R217 * (K218 / K217) + N218</f>
        <v/>
      </c>
      <c r="S218" s="24">
        <f>S217 * (K218 / K217) + O218 + P218</f>
        <v/>
      </c>
      <c r="T218" s="20">
        <f>Q218 + R218 + S218</f>
        <v/>
      </c>
      <c r="U218" s="24">
        <f>MAX(0, -T218)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 t="n">
        <v>0</v>
      </c>
      <c r="J219" s="21" t="n">
        <v>0.4098741290389289</v>
      </c>
      <c r="K219" s="25">
        <f>1 / J219</f>
        <v/>
      </c>
      <c r="L219" s="25">
        <f>I219 * K219</f>
        <v/>
      </c>
      <c r="M219" s="25">
        <f>I219 * (0.01000000 / 12)</f>
        <v/>
      </c>
      <c r="N219" s="25">
        <f>I219 * (0.00664805 / 12) * 1.0</f>
        <v/>
      </c>
      <c r="O219" s="25">
        <f>I219 * (0.00400000 / 12) * 1.0</f>
        <v/>
      </c>
      <c r="P219" s="25">
        <f>I219 * (0.00500000 / 12) * 1.0</f>
        <v/>
      </c>
      <c r="Q219" s="25">
        <f>Q218 * (K219 / K218) + M219</f>
        <v/>
      </c>
      <c r="R219" s="25">
        <f>R218 * (K219 / K218) + N219</f>
        <v/>
      </c>
      <c r="S219" s="25">
        <f>S218 * (K219 / K218) + O219 + P219</f>
        <v/>
      </c>
      <c r="T219" s="22">
        <f>Q219 + R219 + S219</f>
        <v/>
      </c>
      <c r="U219" s="25">
        <f>MAX(0, -T219)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 t="n">
        <v>0</v>
      </c>
      <c r="J220" s="19" t="n">
        <v>0.4082040164437384</v>
      </c>
      <c r="K220" s="24">
        <f>1 / J220</f>
        <v/>
      </c>
      <c r="L220" s="24">
        <f>I220 * K220</f>
        <v/>
      </c>
      <c r="M220" s="24">
        <f>I220 * (0.01000000 / 12)</f>
        <v/>
      </c>
      <c r="N220" s="24">
        <f>I220 * (0.00664805 / 12) * 1.0</f>
        <v/>
      </c>
      <c r="O220" s="24">
        <f>I220 * (0.00400000 / 12) * 1.0</f>
        <v/>
      </c>
      <c r="P220" s="24">
        <f>I220 * (0.00500000 / 12) * 1.0</f>
        <v/>
      </c>
      <c r="Q220" s="24">
        <f>Q219 * (K220 / K219) + M220</f>
        <v/>
      </c>
      <c r="R220" s="24">
        <f>R219 * (K220 / K219) + N220</f>
        <v/>
      </c>
      <c r="S220" s="24">
        <f>S219 * (K220 / K219) + O220 + P220</f>
        <v/>
      </c>
      <c r="T220" s="20">
        <f>Q220 + R220 + S220</f>
        <v/>
      </c>
      <c r="U220" s="24">
        <f>MAX(0, -T220)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 t="n">
        <v>0</v>
      </c>
      <c r="J221" s="21" t="n">
        <v>0.4065407090501526</v>
      </c>
      <c r="K221" s="25">
        <f>1 / J221</f>
        <v/>
      </c>
      <c r="L221" s="25">
        <f>I221 * K221</f>
        <v/>
      </c>
      <c r="M221" s="25">
        <f>I221 * (0.01000000 / 12)</f>
        <v/>
      </c>
      <c r="N221" s="25">
        <f>I221 * (0.00664805 / 12) * 1.0</f>
        <v/>
      </c>
      <c r="O221" s="25">
        <f>I221 * (0.00400000 / 12) * 1.0</f>
        <v/>
      </c>
      <c r="P221" s="25">
        <f>I221 * (0.00500000 / 12) * 1.0</f>
        <v/>
      </c>
      <c r="Q221" s="25">
        <f>Q220 * (K221 / K220) + M221</f>
        <v/>
      </c>
      <c r="R221" s="25">
        <f>R220 * (K221 / K220) + N221</f>
        <v/>
      </c>
      <c r="S221" s="25">
        <f>S220 * (K221 / K220) + O221 + P221</f>
        <v/>
      </c>
      <c r="T221" s="22">
        <f>Q221 + R221 + S221</f>
        <v/>
      </c>
      <c r="U221" s="25">
        <f>MAX(0, -T221)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 t="n">
        <v>0</v>
      </c>
      <c r="J222" s="19" t="n">
        <v>0.4048841791290416</v>
      </c>
      <c r="K222" s="24">
        <f>1 / J222</f>
        <v/>
      </c>
      <c r="L222" s="24">
        <f>I222 * K222</f>
        <v/>
      </c>
      <c r="M222" s="24">
        <f>I222 * (0.01000000 / 12)</f>
        <v/>
      </c>
      <c r="N222" s="24">
        <f>I222 * (0.00664805 / 12) * 1.0</f>
        <v/>
      </c>
      <c r="O222" s="24">
        <f>I222 * (0.00400000 / 12) * 1.0</f>
        <v/>
      </c>
      <c r="P222" s="24">
        <f>I222 * (0.00500000 / 12) * 1.0</f>
        <v/>
      </c>
      <c r="Q222" s="24">
        <f>Q221 * (K222 / K221) + M222</f>
        <v/>
      </c>
      <c r="R222" s="24">
        <f>R221 * (K222 / K221) + N222</f>
        <v/>
      </c>
      <c r="S222" s="24">
        <f>S221 * (K222 / K221) + O222 + P222</f>
        <v/>
      </c>
      <c r="T222" s="20">
        <f>Q222 + R222 + S222</f>
        <v/>
      </c>
      <c r="U222" s="24">
        <f>MAX(0, -T222)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 t="n">
        <v>0</v>
      </c>
      <c r="J223" s="21" t="n">
        <v>0.4032343990642634</v>
      </c>
      <c r="K223" s="25">
        <f>1 / J223</f>
        <v/>
      </c>
      <c r="L223" s="25">
        <f>I223 * K223</f>
        <v/>
      </c>
      <c r="M223" s="25">
        <f>I223 * (0.01000000 / 12)</f>
        <v/>
      </c>
      <c r="N223" s="25">
        <f>I223 * (0.00664805 / 12) * 1.0</f>
        <v/>
      </c>
      <c r="O223" s="25">
        <f>I223 * (0.00400000 / 12) * 1.0</f>
        <v/>
      </c>
      <c r="P223" s="25">
        <f>I223 * (0.00500000 / 12) * 1.0</f>
        <v/>
      </c>
      <c r="Q223" s="25">
        <f>Q222 * (K223 / K222) + M223</f>
        <v/>
      </c>
      <c r="R223" s="25">
        <f>R222 * (K223 / K222) + N223</f>
        <v/>
      </c>
      <c r="S223" s="25">
        <f>S222 * (K223 / K222) + O223 + P223</f>
        <v/>
      </c>
      <c r="T223" s="22">
        <f>Q223 + R223 + S223</f>
        <v/>
      </c>
      <c r="U223" s="25">
        <f>MAX(0, -T223)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 t="n">
        <v>0</v>
      </c>
      <c r="J224" s="19" t="n">
        <v>0.4015913413522034</v>
      </c>
      <c r="K224" s="24">
        <f>1 / J224</f>
        <v/>
      </c>
      <c r="L224" s="24">
        <f>I224 * K224</f>
        <v/>
      </c>
      <c r="M224" s="24">
        <f>I224 * (0.01000000 / 12)</f>
        <v/>
      </c>
      <c r="N224" s="24">
        <f>I224 * (0.00664805 / 12) * 1.0</f>
        <v/>
      </c>
      <c r="O224" s="24">
        <f>I224 * (0.00400000 / 12) * 1.0</f>
        <v/>
      </c>
      <c r="P224" s="24">
        <f>I224 * (0.00500000 / 12) * 1.0</f>
        <v/>
      </c>
      <c r="Q224" s="24">
        <f>Q223 * (K224 / K223) + M224</f>
        <v/>
      </c>
      <c r="R224" s="24">
        <f>R223 * (K224 / K223) + N224</f>
        <v/>
      </c>
      <c r="S224" s="24">
        <f>S223 * (K224 / K223) + O224 + P224</f>
        <v/>
      </c>
      <c r="T224" s="20">
        <f>Q224 + R224 + S224</f>
        <v/>
      </c>
      <c r="U224" s="24">
        <f>MAX(0, -T224)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 t="n">
        <v>0</v>
      </c>
      <c r="J225" s="21" t="n">
        <v>0.399954978601316</v>
      </c>
      <c r="K225" s="25">
        <f>1 / J225</f>
        <v/>
      </c>
      <c r="L225" s="25">
        <f>I225 * K225</f>
        <v/>
      </c>
      <c r="M225" s="25">
        <f>I225 * (0.01000000 / 12)</f>
        <v/>
      </c>
      <c r="N225" s="25">
        <f>I225 * (0.00664805 / 12) * 1.0</f>
        <v/>
      </c>
      <c r="O225" s="25">
        <f>I225 * (0.00400000 / 12) * 1.0</f>
        <v/>
      </c>
      <c r="P225" s="25">
        <f>I225 * (0.00500000 / 12) * 1.0</f>
        <v/>
      </c>
      <c r="Q225" s="25">
        <f>Q224 * (K225 / K224) + M225</f>
        <v/>
      </c>
      <c r="R225" s="25">
        <f>R224 * (K225 / K224) + N225</f>
        <v/>
      </c>
      <c r="S225" s="25">
        <f>S224 * (K225 / K224) + O225 + P225</f>
        <v/>
      </c>
      <c r="T225" s="22">
        <f>Q225 + R225 + S225</f>
        <v/>
      </c>
      <c r="U225" s="25">
        <f>MAX(0, -T225)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 t="n">
        <v>0</v>
      </c>
      <c r="J226" s="19" t="n">
        <v>0.3983252835316676</v>
      </c>
      <c r="K226" s="24">
        <f>1 / J226</f>
        <v/>
      </c>
      <c r="L226" s="24">
        <f>I226 * K226</f>
        <v/>
      </c>
      <c r="M226" s="24">
        <f>I226 * (0.01000000 / 12)</f>
        <v/>
      </c>
      <c r="N226" s="24">
        <f>I226 * (0.00664805 / 12) * 1.0</f>
        <v/>
      </c>
      <c r="O226" s="24">
        <f>I226 * (0.00400000 / 12) * 1.0</f>
        <v/>
      </c>
      <c r="P226" s="24">
        <f>I226 * (0.00500000 / 12) * 1.0</f>
        <v/>
      </c>
      <c r="Q226" s="24">
        <f>Q225 * (K226 / K225) + M226</f>
        <v/>
      </c>
      <c r="R226" s="24">
        <f>R225 * (K226 / K225) + N226</f>
        <v/>
      </c>
      <c r="S226" s="24">
        <f>S225 * (K226 / K225) + O226 + P226</f>
        <v/>
      </c>
      <c r="T226" s="20">
        <f>Q226 + R226 + S226</f>
        <v/>
      </c>
      <c r="U226" s="24">
        <f>MAX(0, -T226)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 t="n">
        <v>0</v>
      </c>
      <c r="J227" s="21" t="n">
        <v>0.3967022289744822</v>
      </c>
      <c r="K227" s="25">
        <f>1 / J227</f>
        <v/>
      </c>
      <c r="L227" s="25">
        <f>I227 * K227</f>
        <v/>
      </c>
      <c r="M227" s="25">
        <f>I227 * (0.01000000 / 12)</f>
        <v/>
      </c>
      <c r="N227" s="25">
        <f>I227 * (0.00664805 / 12) * 1.0</f>
        <v/>
      </c>
      <c r="O227" s="25">
        <f>I227 * (0.00400000 / 12) * 1.0</f>
        <v/>
      </c>
      <c r="P227" s="25">
        <f>I227 * (0.00500000 / 12) * 1.0</f>
        <v/>
      </c>
      <c r="Q227" s="25">
        <f>Q226 * (K227 / K226) + M227</f>
        <v/>
      </c>
      <c r="R227" s="25">
        <f>R226 * (K227 / K226) + N227</f>
        <v/>
      </c>
      <c r="S227" s="25">
        <f>S226 * (K227 / K226) + O227 + P227</f>
        <v/>
      </c>
      <c r="T227" s="22">
        <f>Q227 + R227 + S227</f>
        <v/>
      </c>
      <c r="U227" s="25">
        <f>MAX(0, -T227)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 t="n">
        <v>0</v>
      </c>
      <c r="J228" s="19" t="n">
        <v>0.3950857878716882</v>
      </c>
      <c r="K228" s="24">
        <f>1 / J228</f>
        <v/>
      </c>
      <c r="L228" s="24">
        <f>I228 * K228</f>
        <v/>
      </c>
      <c r="M228" s="24">
        <f>I228 * (0.01000000 / 12)</f>
        <v/>
      </c>
      <c r="N228" s="24">
        <f>I228 * (0.00664805 / 12) * 1.0</f>
        <v/>
      </c>
      <c r="O228" s="24">
        <f>I228 * (0.00400000 / 12) * 1.0</f>
        <v/>
      </c>
      <c r="P228" s="24">
        <f>I228 * (0.00500000 / 12) * 1.0</f>
        <v/>
      </c>
      <c r="Q228" s="24">
        <f>Q227 * (K228 / K227) + M228</f>
        <v/>
      </c>
      <c r="R228" s="24">
        <f>R227 * (K228 / K227) + N228</f>
        <v/>
      </c>
      <c r="S228" s="24">
        <f>S227 * (K228 / K227) + O228 + P228</f>
        <v/>
      </c>
      <c r="T228" s="20">
        <f>Q228 + R228 + S228</f>
        <v/>
      </c>
      <c r="U228" s="24">
        <f>MAX(0, -T228)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 t="n">
        <v>0</v>
      </c>
      <c r="J229" s="21" t="n">
        <v>0.3934759332754676</v>
      </c>
      <c r="K229" s="25">
        <f>1 / J229</f>
        <v/>
      </c>
      <c r="L229" s="25">
        <f>I229 * K229</f>
        <v/>
      </c>
      <c r="M229" s="25">
        <f>I229 * (0.01000000 / 12)</f>
        <v/>
      </c>
      <c r="N229" s="25">
        <f>I229 * (0.00664805 / 12) * 1.0</f>
        <v/>
      </c>
      <c r="O229" s="25">
        <f>I229 * (0.00400000 / 12) * 1.0</f>
        <v/>
      </c>
      <c r="P229" s="25">
        <f>I229 * (0.00500000 / 12) * 1.0</f>
        <v/>
      </c>
      <c r="Q229" s="25">
        <f>Q228 * (K229 / K228) + M229</f>
        <v/>
      </c>
      <c r="R229" s="25">
        <f>R228 * (K229 / K228) + N229</f>
        <v/>
      </c>
      <c r="S229" s="25">
        <f>S228 * (K229 / K228) + O229 + P229</f>
        <v/>
      </c>
      <c r="T229" s="22">
        <f>Q229 + R229 + S229</f>
        <v/>
      </c>
      <c r="U229" s="25">
        <f>MAX(0, -T229)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 t="n">
        <v>0</v>
      </c>
      <c r="J230" s="19" t="n">
        <v>0.3918726383478064</v>
      </c>
      <c r="K230" s="24">
        <f>1 / J230</f>
        <v/>
      </c>
      <c r="L230" s="24">
        <f>I230 * K230</f>
        <v/>
      </c>
      <c r="M230" s="24">
        <f>I230 * (0.01000000 / 12)</f>
        <v/>
      </c>
      <c r="N230" s="24">
        <f>I230 * (0.00664805 / 12) * 1.0</f>
        <v/>
      </c>
      <c r="O230" s="24">
        <f>I230 * (0.00400000 / 12) * 1.0</f>
        <v/>
      </c>
      <c r="P230" s="24">
        <f>I230 * (0.00500000 / 12) * 1.0</f>
        <v/>
      </c>
      <c r="Q230" s="24">
        <f>Q229 * (K230 / K229) + M230</f>
        <v/>
      </c>
      <c r="R230" s="24">
        <f>R229 * (K230 / K229) + N230</f>
        <v/>
      </c>
      <c r="S230" s="24">
        <f>S229 * (K230 / K229) + O230 + P230</f>
        <v/>
      </c>
      <c r="T230" s="20">
        <f>Q230 + R230 + S230</f>
        <v/>
      </c>
      <c r="U230" s="24">
        <f>MAX(0, -T230)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 t="n">
        <v>0</v>
      </c>
      <c r="J231" s="21" t="n">
        <v>0.3902758763600474</v>
      </c>
      <c r="K231" s="25">
        <f>1 / J231</f>
        <v/>
      </c>
      <c r="L231" s="25">
        <f>I231 * K231</f>
        <v/>
      </c>
      <c r="M231" s="25">
        <f>I231 * (0.01000000 / 12)</f>
        <v/>
      </c>
      <c r="N231" s="25">
        <f>I231 * (0.00664805 / 12) * 1.0</f>
        <v/>
      </c>
      <c r="O231" s="25">
        <f>I231 * (0.00400000 / 12) * 1.0</f>
        <v/>
      </c>
      <c r="P231" s="25">
        <f>I231 * (0.00500000 / 12) * 1.0</f>
        <v/>
      </c>
      <c r="Q231" s="25">
        <f>Q230 * (K231 / K230) + M231</f>
        <v/>
      </c>
      <c r="R231" s="25">
        <f>R230 * (K231 / K230) + N231</f>
        <v/>
      </c>
      <c r="S231" s="25">
        <f>S230 * (K231 / K230) + O231 + P231</f>
        <v/>
      </c>
      <c r="T231" s="22">
        <f>Q231 + R231 + S231</f>
        <v/>
      </c>
      <c r="U231" s="25">
        <f>MAX(0, -T231)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 t="n">
        <v>0</v>
      </c>
      <c r="J232" s="19" t="n">
        <v>0.3886856206924447</v>
      </c>
      <c r="K232" s="24">
        <f>1 / J232</f>
        <v/>
      </c>
      <c r="L232" s="24">
        <f>I232 * K232</f>
        <v/>
      </c>
      <c r="M232" s="24">
        <f>I232 * (0.01000000 / 12)</f>
        <v/>
      </c>
      <c r="N232" s="24">
        <f>I232 * (0.00664805 / 12) * 1.0</f>
        <v/>
      </c>
      <c r="O232" s="24">
        <f>I232 * (0.00400000 / 12) * 1.0</f>
        <v/>
      </c>
      <c r="P232" s="24">
        <f>I232 * (0.00500000 / 12) * 1.0</f>
        <v/>
      </c>
      <c r="Q232" s="24">
        <f>Q231 * (K232 / K231) + M232</f>
        <v/>
      </c>
      <c r="R232" s="24">
        <f>R231 * (K232 / K231) + N232</f>
        <v/>
      </c>
      <c r="S232" s="24">
        <f>S231 * (K232 / K231) + O232 + P232</f>
        <v/>
      </c>
      <c r="T232" s="20">
        <f>Q232 + R232 + S232</f>
        <v/>
      </c>
      <c r="U232" s="24">
        <f>MAX(0, -T232)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 t="n">
        <v>0</v>
      </c>
      <c r="J233" s="21" t="n">
        <v>0.3871018448337195</v>
      </c>
      <c r="K233" s="25">
        <f>1 / J233</f>
        <v/>
      </c>
      <c r="L233" s="25">
        <f>I233 * K233</f>
        <v/>
      </c>
      <c r="M233" s="25">
        <f>I233 * (0.01000000 / 12)</f>
        <v/>
      </c>
      <c r="N233" s="25">
        <f>I233 * (0.00664805 / 12) * 1.0</f>
        <v/>
      </c>
      <c r="O233" s="25">
        <f>I233 * (0.00400000 / 12) * 1.0</f>
        <v/>
      </c>
      <c r="P233" s="25">
        <f>I233 * (0.00500000 / 12) * 1.0</f>
        <v/>
      </c>
      <c r="Q233" s="25">
        <f>Q232 * (K233 / K232) + M233</f>
        <v/>
      </c>
      <c r="R233" s="25">
        <f>R232 * (K233 / K232) + N233</f>
        <v/>
      </c>
      <c r="S233" s="25">
        <f>S232 * (K233 / K232) + O233 + P233</f>
        <v/>
      </c>
      <c r="T233" s="22">
        <f>Q233 + R233 + S233</f>
        <v/>
      </c>
      <c r="U233" s="25">
        <f>MAX(0, -T233)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 t="n">
        <v>0</v>
      </c>
      <c r="J234" s="19" t="n">
        <v>0.3855245223806187</v>
      </c>
      <c r="K234" s="24">
        <f>1 / J234</f>
        <v/>
      </c>
      <c r="L234" s="24">
        <f>I234 * K234</f>
        <v/>
      </c>
      <c r="M234" s="24">
        <f>I234 * (0.01000000 / 12)</f>
        <v/>
      </c>
      <c r="N234" s="24">
        <f>I234 * (0.00664805 / 12) * 1.0</f>
        <v/>
      </c>
      <c r="O234" s="24">
        <f>I234 * (0.00400000 / 12) * 1.0</f>
        <v/>
      </c>
      <c r="P234" s="24">
        <f>I234 * (0.00500000 / 12) * 1.0</f>
        <v/>
      </c>
      <c r="Q234" s="24">
        <f>Q233 * (K234 / K233) + M234</f>
        <v/>
      </c>
      <c r="R234" s="24">
        <f>R233 * (K234 / K233) + N234</f>
        <v/>
      </c>
      <c r="S234" s="24">
        <f>S233 * (K234 / K233) + O234 + P234</f>
        <v/>
      </c>
      <c r="T234" s="20">
        <f>Q234 + R234 + S234</f>
        <v/>
      </c>
      <c r="U234" s="24">
        <f>MAX(0, -T234)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 t="n">
        <v>0</v>
      </c>
      <c r="J235" s="21" t="n">
        <v>0.3839536270374742</v>
      </c>
      <c r="K235" s="25">
        <f>1 / J235</f>
        <v/>
      </c>
      <c r="L235" s="25">
        <f>I235 * K235</f>
        <v/>
      </c>
      <c r="M235" s="25">
        <f>I235 * (0.01000000 / 12)</f>
        <v/>
      </c>
      <c r="N235" s="25">
        <f>I235 * (0.00664805 / 12) * 1.0</f>
        <v/>
      </c>
      <c r="O235" s="25">
        <f>I235 * (0.00400000 / 12) * 1.0</f>
        <v/>
      </c>
      <c r="P235" s="25">
        <f>I235 * (0.00500000 / 12) * 1.0</f>
        <v/>
      </c>
      <c r="Q235" s="25">
        <f>Q234 * (K235 / K234) + M235</f>
        <v/>
      </c>
      <c r="R235" s="25">
        <f>R234 * (K235 / K234) + N235</f>
        <v/>
      </c>
      <c r="S235" s="25">
        <f>S234 * (K235 / K234) + O235 + P235</f>
        <v/>
      </c>
      <c r="T235" s="22">
        <f>Q235 + R235 + S235</f>
        <v/>
      </c>
      <c r="U235" s="25">
        <f>MAX(0, -T235)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 t="n">
        <v>0</v>
      </c>
      <c r="J236" s="19" t="n">
        <v>0.382389132615765</v>
      </c>
      <c r="K236" s="24">
        <f>1 / J236</f>
        <v/>
      </c>
      <c r="L236" s="24">
        <f>I236 * K236</f>
        <v/>
      </c>
      <c r="M236" s="24">
        <f>I236 * (0.01000000 / 12)</f>
        <v/>
      </c>
      <c r="N236" s="24">
        <f>I236 * (0.00664805 / 12) * 1.0</f>
        <v/>
      </c>
      <c r="O236" s="24">
        <f>I236 * (0.00400000 / 12) * 1.0</f>
        <v/>
      </c>
      <c r="P236" s="24">
        <f>I236 * (0.00500000 / 12) * 1.0</f>
        <v/>
      </c>
      <c r="Q236" s="24">
        <f>Q235 * (K236 / K235) + M236</f>
        <v/>
      </c>
      <c r="R236" s="24">
        <f>R235 * (K236 / K235) + N236</f>
        <v/>
      </c>
      <c r="S236" s="24">
        <f>S235 * (K236 / K235) + O236 + P236</f>
        <v/>
      </c>
      <c r="T236" s="20">
        <f>Q236 + R236 + S236</f>
        <v/>
      </c>
      <c r="U236" s="24">
        <f>MAX(0, -T236)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 t="n">
        <v>0</v>
      </c>
      <c r="J237" s="21" t="n">
        <v>0.3808310130336801</v>
      </c>
      <c r="K237" s="25">
        <f>1 / J237</f>
        <v/>
      </c>
      <c r="L237" s="25">
        <f>I237 * K237</f>
        <v/>
      </c>
      <c r="M237" s="25">
        <f>I237 * (0.01000000 / 12)</f>
        <v/>
      </c>
      <c r="N237" s="25">
        <f>I237 * (0.00664805 / 12) * 1.0</f>
        <v/>
      </c>
      <c r="O237" s="25">
        <f>I237 * (0.00400000 / 12) * 1.0</f>
        <v/>
      </c>
      <c r="P237" s="25">
        <f>I237 * (0.00500000 / 12) * 1.0</f>
        <v/>
      </c>
      <c r="Q237" s="25">
        <f>Q236 * (K237 / K236) + M237</f>
        <v/>
      </c>
      <c r="R237" s="25">
        <f>R236 * (K237 / K236) + N237</f>
        <v/>
      </c>
      <c r="S237" s="25">
        <f>S236 * (K237 / K236) + O237 + P237</f>
        <v/>
      </c>
      <c r="T237" s="22">
        <f>Q237 + R237 + S237</f>
        <v/>
      </c>
      <c r="U237" s="25">
        <f>MAX(0, -T237)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 t="n">
        <v>0</v>
      </c>
      <c r="J238" s="19" t="n">
        <v>0.3792792423156842</v>
      </c>
      <c r="K238" s="24">
        <f>1 / J238</f>
        <v/>
      </c>
      <c r="L238" s="24">
        <f>I238 * K238</f>
        <v/>
      </c>
      <c r="M238" s="24">
        <f>I238 * (0.01000000 / 12)</f>
        <v/>
      </c>
      <c r="N238" s="24">
        <f>I238 * (0.00664805 / 12) * 1.0</f>
        <v/>
      </c>
      <c r="O238" s="24">
        <f>I238 * (0.00400000 / 12) * 1.0</f>
        <v/>
      </c>
      <c r="P238" s="24">
        <f>I238 * (0.00500000 / 12) * 1.0</f>
        <v/>
      </c>
      <c r="Q238" s="24">
        <f>Q237 * (K238 / K237) + M238</f>
        <v/>
      </c>
      <c r="R238" s="24">
        <f>R237 * (K238 / K237) + N238</f>
        <v/>
      </c>
      <c r="S238" s="24">
        <f>S237 * (K238 / K237) + O238 + P238</f>
        <v/>
      </c>
      <c r="T238" s="20">
        <f>Q238 + R238 + S238</f>
        <v/>
      </c>
      <c r="U238" s="24">
        <f>MAX(0, -T238)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 t="n">
        <v>0</v>
      </c>
      <c r="J239" s="21" t="n">
        <v>0.3777337945920843</v>
      </c>
      <c r="K239" s="25">
        <f>1 / J239</f>
        <v/>
      </c>
      <c r="L239" s="25">
        <f>I239 * K239</f>
        <v/>
      </c>
      <c r="M239" s="25">
        <f>I239 * (0.01000000 / 12)</f>
        <v/>
      </c>
      <c r="N239" s="25">
        <f>I239 * (0.00664805 / 12) * 1.0</f>
        <v/>
      </c>
      <c r="O239" s="25">
        <f>I239 * (0.00400000 / 12) * 1.0</f>
        <v/>
      </c>
      <c r="P239" s="25">
        <f>I239 * (0.00500000 / 12) * 1.0</f>
        <v/>
      </c>
      <c r="Q239" s="25">
        <f>Q238 * (K239 / K238) + M239</f>
        <v/>
      </c>
      <c r="R239" s="25">
        <f>R238 * (K239 / K238) + N239</f>
        <v/>
      </c>
      <c r="S239" s="25">
        <f>S238 * (K239 / K238) + O239 + P239</f>
        <v/>
      </c>
      <c r="T239" s="22">
        <f>Q239 + R239 + S239</f>
        <v/>
      </c>
      <c r="U239" s="25">
        <f>MAX(0, -T239)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 t="n">
        <v>0</v>
      </c>
      <c r="J240" s="19" t="n">
        <v>0.3761946440985985</v>
      </c>
      <c r="K240" s="24">
        <f>1 / J240</f>
        <v/>
      </c>
      <c r="L240" s="24">
        <f>I240 * K240</f>
        <v/>
      </c>
      <c r="M240" s="24">
        <f>I240 * (0.01000000 / 12)</f>
        <v/>
      </c>
      <c r="N240" s="24">
        <f>I240 * (0.00664805 / 12) * 1.0</f>
        <v/>
      </c>
      <c r="O240" s="24">
        <f>I240 * (0.00400000 / 12) * 1.0</f>
        <v/>
      </c>
      <c r="P240" s="24">
        <f>I240 * (0.00500000 / 12) * 1.0</f>
        <v/>
      </c>
      <c r="Q240" s="24">
        <f>Q239 * (K240 / K239) + M240</f>
        <v/>
      </c>
      <c r="R240" s="24">
        <f>R239 * (K240 / K239) + N240</f>
        <v/>
      </c>
      <c r="S240" s="24">
        <f>S239 * (K240 / K239) + O240 + P240</f>
        <v/>
      </c>
      <c r="T240" s="20">
        <f>Q240 + R240 + S240</f>
        <v/>
      </c>
      <c r="U240" s="24">
        <f>MAX(0, -T240)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 t="n">
        <v>0</v>
      </c>
      <c r="J241" s="21" t="n">
        <v>0.3746617651759267</v>
      </c>
      <c r="K241" s="25">
        <f>1 / J241</f>
        <v/>
      </c>
      <c r="L241" s="25">
        <f>I241 * K241</f>
        <v/>
      </c>
      <c r="M241" s="25">
        <f>I241 * (0.01000000 / 12)</f>
        <v/>
      </c>
      <c r="N241" s="25">
        <f>I241 * (0.00664805 / 12) * 1.0</f>
        <v/>
      </c>
      <c r="O241" s="25">
        <f>I241 * (0.00400000 / 12) * 1.0</f>
        <v/>
      </c>
      <c r="P241" s="25">
        <f>I241 * (0.00500000 / 12) * 1.0</f>
        <v/>
      </c>
      <c r="Q241" s="25">
        <f>Q240 * (K241 / K240) + M241</f>
        <v/>
      </c>
      <c r="R241" s="25">
        <f>R240 * (K241 / K240) + N241</f>
        <v/>
      </c>
      <c r="S241" s="25">
        <f>S240 * (K241 / K240) + O241 + P241</f>
        <v/>
      </c>
      <c r="T241" s="22">
        <f>Q241 + R241 + S241</f>
        <v/>
      </c>
      <c r="U241" s="25">
        <f>MAX(0, -T241)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 t="n">
        <v>0</v>
      </c>
      <c r="J242" s="19" t="n">
        <v>0.3731351322693224</v>
      </c>
      <c r="K242" s="24">
        <f>1 / J242</f>
        <v/>
      </c>
      <c r="L242" s="24">
        <f>I242 * K242</f>
        <v/>
      </c>
      <c r="M242" s="24">
        <f>I242 * (0.01000000 / 12)</f>
        <v/>
      </c>
      <c r="N242" s="24">
        <f>I242 * (0.00664805 / 12) * 1.0</f>
        <v/>
      </c>
      <c r="O242" s="24">
        <f>I242 * (0.00400000 / 12) * 1.0</f>
        <v/>
      </c>
      <c r="P242" s="24">
        <f>I242 * (0.00500000 / 12) * 1.0</f>
        <v/>
      </c>
      <c r="Q242" s="24">
        <f>Q241 * (K242 / K241) + M242</f>
        <v/>
      </c>
      <c r="R242" s="24">
        <f>R241 * (K242 / K241) + N242</f>
        <v/>
      </c>
      <c r="S242" s="24">
        <f>S241 * (K242 / K241) + O242 + P242</f>
        <v/>
      </c>
      <c r="T242" s="20">
        <f>Q242 + R242 + S242</f>
        <v/>
      </c>
      <c r="U242" s="24">
        <f>MAX(0, -T242)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 t="n">
        <v>0</v>
      </c>
      <c r="J243" s="21" t="n">
        <v>0.3716147199281672</v>
      </c>
      <c r="K243" s="25">
        <f>1 / J243</f>
        <v/>
      </c>
      <c r="L243" s="25">
        <f>I243 * K243</f>
        <v/>
      </c>
      <c r="M243" s="25">
        <f>I243 * (0.01000000 / 12)</f>
        <v/>
      </c>
      <c r="N243" s="25">
        <f>I243 * (0.00664805 / 12) * 1.0</f>
        <v/>
      </c>
      <c r="O243" s="25">
        <f>I243 * (0.00400000 / 12) * 1.0</f>
        <v/>
      </c>
      <c r="P243" s="25">
        <f>I243 * (0.00500000 / 12) * 1.0</f>
        <v/>
      </c>
      <c r="Q243" s="25">
        <f>Q242 * (K243 / K242) + M243</f>
        <v/>
      </c>
      <c r="R243" s="25">
        <f>R242 * (K243 / K242) + N243</f>
        <v/>
      </c>
      <c r="S243" s="25">
        <f>S242 * (K243 / K242) + O243 + P243</f>
        <v/>
      </c>
      <c r="T243" s="22">
        <f>Q243 + R243 + S243</f>
        <v/>
      </c>
      <c r="U243" s="25">
        <f>MAX(0, -T243)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 t="n">
        <v>0</v>
      </c>
      <c r="J244" s="19" t="n">
        <v>0.370100502805546</v>
      </c>
      <c r="K244" s="24">
        <f>1 / J244</f>
        <v/>
      </c>
      <c r="L244" s="24">
        <f>I244 * K244</f>
        <v/>
      </c>
      <c r="M244" s="24">
        <f>I244 * (0.01000000 / 12)</f>
        <v/>
      </c>
      <c r="N244" s="24">
        <f>I244 * (0.00664805 / 12) * 1.0</f>
        <v/>
      </c>
      <c r="O244" s="24">
        <f>I244 * (0.00400000 / 12) * 1.0</f>
        <v/>
      </c>
      <c r="P244" s="24">
        <f>I244 * (0.00500000 / 12) * 1.0</f>
        <v/>
      </c>
      <c r="Q244" s="24">
        <f>Q243 * (K244 / K243) + M244</f>
        <v/>
      </c>
      <c r="R244" s="24">
        <f>R243 * (K244 / K243) + N244</f>
        <v/>
      </c>
      <c r="S244" s="24">
        <f>S243 * (K244 / K243) + O244 + P244</f>
        <v/>
      </c>
      <c r="T244" s="20">
        <f>Q244 + R244 + S244</f>
        <v/>
      </c>
      <c r="U244" s="24">
        <f>MAX(0, -T244)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 t="n">
        <v>0</v>
      </c>
      <c r="J245" s="21" t="n">
        <v>0.3685924556578248</v>
      </c>
      <c r="K245" s="25">
        <f>1 / J245</f>
        <v/>
      </c>
      <c r="L245" s="25">
        <f>I245 * K245</f>
        <v/>
      </c>
      <c r="M245" s="25">
        <f>I245 * (0.01000000 / 12)</f>
        <v/>
      </c>
      <c r="N245" s="25">
        <f>I245 * (0.00664805 / 12) * 1.0</f>
        <v/>
      </c>
      <c r="O245" s="25">
        <f>I245 * (0.00400000 / 12) * 1.0</f>
        <v/>
      </c>
      <c r="P245" s="25">
        <f>I245 * (0.00500000 / 12) * 1.0</f>
        <v/>
      </c>
      <c r="Q245" s="25">
        <f>Q244 * (K245 / K244) + M245</f>
        <v/>
      </c>
      <c r="R245" s="25">
        <f>R244 * (K245 / K244) + N245</f>
        <v/>
      </c>
      <c r="S245" s="25">
        <f>S244 * (K245 / K244) + O245 + P245</f>
        <v/>
      </c>
      <c r="T245" s="22">
        <f>Q245 + R245 + S245</f>
        <v/>
      </c>
      <c r="U245" s="25">
        <f>MAX(0, -T245)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 t="n">
        <v>0</v>
      </c>
      <c r="J246" s="19" t="n">
        <v>0.3670905533442299</v>
      </c>
      <c r="K246" s="24">
        <f>1 / J246</f>
        <v/>
      </c>
      <c r="L246" s="24">
        <f>I246 * K246</f>
        <v/>
      </c>
      <c r="M246" s="24">
        <f>I246 * (0.01000000 / 12)</f>
        <v/>
      </c>
      <c r="N246" s="24">
        <f>I246 * (0.00664805 / 12) * 1.0</f>
        <v/>
      </c>
      <c r="O246" s="24">
        <f>I246 * (0.00400000 / 12) * 1.0</f>
        <v/>
      </c>
      <c r="P246" s="24">
        <f>I246 * (0.00500000 / 12) * 1.0</f>
        <v/>
      </c>
      <c r="Q246" s="24">
        <f>Q245 * (K246 / K245) + M246</f>
        <v/>
      </c>
      <c r="R246" s="24">
        <f>R245 * (K246 / K245) + N246</f>
        <v/>
      </c>
      <c r="S246" s="24">
        <f>S245 * (K246 / K245) + O246 + P246</f>
        <v/>
      </c>
      <c r="T246" s="20">
        <f>Q246 + R246 + S246</f>
        <v/>
      </c>
      <c r="U246" s="24">
        <f>MAX(0, -T246)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 t="n">
        <v>0</v>
      </c>
      <c r="J247" s="21" t="n">
        <v>0.3655947708264282</v>
      </c>
      <c r="K247" s="25">
        <f>1 / J247</f>
        <v/>
      </c>
      <c r="L247" s="25">
        <f>I247 * K247</f>
        <v/>
      </c>
      <c r="M247" s="25">
        <f>I247 * (0.01000000 / 12)</f>
        <v/>
      </c>
      <c r="N247" s="25">
        <f>I247 * (0.00664805 / 12) * 1.0</f>
        <v/>
      </c>
      <c r="O247" s="25">
        <f>I247 * (0.00400000 / 12) * 1.0</f>
        <v/>
      </c>
      <c r="P247" s="25">
        <f>I247 * (0.00500000 / 12) * 1.0</f>
        <v/>
      </c>
      <c r="Q247" s="25">
        <f>Q246 * (K247 / K246) + M247</f>
        <v/>
      </c>
      <c r="R247" s="25">
        <f>R246 * (K247 / K246) + N247</f>
        <v/>
      </c>
      <c r="S247" s="25">
        <f>S246 * (K247 / K246) + O247 + P247</f>
        <v/>
      </c>
      <c r="T247" s="22">
        <f>Q247 + R247 + S247</f>
        <v/>
      </c>
      <c r="U247" s="25">
        <f>MAX(0, -T247)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 t="n">
        <v>0</v>
      </c>
      <c r="J248" s="19" t="n">
        <v>0.3641050831681105</v>
      </c>
      <c r="K248" s="24">
        <f>1 / J248</f>
        <v/>
      </c>
      <c r="L248" s="24">
        <f>I248 * K248</f>
        <v/>
      </c>
      <c r="M248" s="24">
        <f>I248 * (0.01000000 / 12)</f>
        <v/>
      </c>
      <c r="N248" s="24">
        <f>I248 * (0.00664805 / 12) * 1.0</f>
        <v/>
      </c>
      <c r="O248" s="24">
        <f>I248 * (0.00400000 / 12) * 1.0</f>
        <v/>
      </c>
      <c r="P248" s="24">
        <f>I248 * (0.00500000 / 12) * 1.0</f>
        <v/>
      </c>
      <c r="Q248" s="24">
        <f>Q247 * (K248 / K247) + M248</f>
        <v/>
      </c>
      <c r="R248" s="24">
        <f>R247 * (K248 / K247) + N248</f>
        <v/>
      </c>
      <c r="S248" s="24">
        <f>S247 * (K248 / K247) + O248 + P248</f>
        <v/>
      </c>
      <c r="T248" s="20">
        <f>Q248 + R248 + S248</f>
        <v/>
      </c>
      <c r="U248" s="24">
        <f>MAX(0, -T248)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 t="n">
        <v>0</v>
      </c>
      <c r="J249" s="21" t="n">
        <v>0.3626214655345756</v>
      </c>
      <c r="K249" s="25">
        <f>1 / J249</f>
        <v/>
      </c>
      <c r="L249" s="25">
        <f>I249 * K249</f>
        <v/>
      </c>
      <c r="M249" s="25">
        <f>I249 * (0.01000000 / 12)</f>
        <v/>
      </c>
      <c r="N249" s="25">
        <f>I249 * (0.00664805 / 12) * 1.0</f>
        <v/>
      </c>
      <c r="O249" s="25">
        <f>I249 * (0.00400000 / 12) * 1.0</f>
        <v/>
      </c>
      <c r="P249" s="25">
        <f>I249 * (0.00500000 / 12) * 1.0</f>
        <v/>
      </c>
      <c r="Q249" s="25">
        <f>Q248 * (K249 / K248) + M249</f>
        <v/>
      </c>
      <c r="R249" s="25">
        <f>R248 * (K249 / K248) + N249</f>
        <v/>
      </c>
      <c r="S249" s="25">
        <f>S248 * (K249 / K248) + O249 + P249</f>
        <v/>
      </c>
      <c r="T249" s="22">
        <f>Q249 + R249 + S249</f>
        <v/>
      </c>
      <c r="U249" s="25">
        <f>MAX(0, -T249)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 t="n">
        <v>0</v>
      </c>
      <c r="J250" s="19" t="n">
        <v>0.3611438931923159</v>
      </c>
      <c r="K250" s="24">
        <f>1 / J250</f>
        <v/>
      </c>
      <c r="L250" s="24">
        <f>I250 * K250</f>
        <v/>
      </c>
      <c r="M250" s="24">
        <f>I250 * (0.01000000 / 12)</f>
        <v/>
      </c>
      <c r="N250" s="24">
        <f>I250 * (0.00664805 / 12) * 1.0</f>
        <v/>
      </c>
      <c r="O250" s="24">
        <f>I250 * (0.00400000 / 12) * 1.0</f>
        <v/>
      </c>
      <c r="P250" s="24">
        <f>I250 * (0.00500000 / 12) * 1.0</f>
        <v/>
      </c>
      <c r="Q250" s="24">
        <f>Q249 * (K250 / K249) + M250</f>
        <v/>
      </c>
      <c r="R250" s="24">
        <f>R249 * (K250 / K249) + N250</f>
        <v/>
      </c>
      <c r="S250" s="24">
        <f>S249 * (K250 / K249) + O250 + P250</f>
        <v/>
      </c>
      <c r="T250" s="20">
        <f>Q250 + R250 + S250</f>
        <v/>
      </c>
      <c r="U250" s="24">
        <f>MAX(0, -T250)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 t="n">
        <v>0</v>
      </c>
      <c r="J251" s="21" t="n">
        <v>0.3596723415086054</v>
      </c>
      <c r="K251" s="25">
        <f>1 / J251</f>
        <v/>
      </c>
      <c r="L251" s="25">
        <f>I251 * K251</f>
        <v/>
      </c>
      <c r="M251" s="25">
        <f>I251 * (0.01000000 / 12)</f>
        <v/>
      </c>
      <c r="N251" s="25">
        <f>I251 * (0.00664805 / 12) * 1.0</f>
        <v/>
      </c>
      <c r="O251" s="25">
        <f>I251 * (0.00400000 / 12) * 1.0</f>
        <v/>
      </c>
      <c r="P251" s="25">
        <f>I251 * (0.00500000 / 12) * 1.0</f>
        <v/>
      </c>
      <c r="Q251" s="25">
        <f>Q250 * (K251 / K250) + M251</f>
        <v/>
      </c>
      <c r="R251" s="25">
        <f>R250 * (K251 / K250) + N251</f>
        <v/>
      </c>
      <c r="S251" s="25">
        <f>S250 * (K251 / K250) + O251 + P251</f>
        <v/>
      </c>
      <c r="T251" s="22">
        <f>Q251 + R251 + S251</f>
        <v/>
      </c>
      <c r="U251" s="25">
        <f>MAX(0, -T251)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 t="n">
        <v>0</v>
      </c>
      <c r="J252" s="19" t="n">
        <v>0.3582067859510891</v>
      </c>
      <c r="K252" s="24">
        <f>1 / J252</f>
        <v/>
      </c>
      <c r="L252" s="24">
        <f>I252 * K252</f>
        <v/>
      </c>
      <c r="M252" s="24">
        <f>I252 * (0.01000000 / 12)</f>
        <v/>
      </c>
      <c r="N252" s="24">
        <f>I252 * (0.00664805 / 12) * 1.0</f>
        <v/>
      </c>
      <c r="O252" s="24">
        <f>I252 * (0.00400000 / 12) * 1.0</f>
        <v/>
      </c>
      <c r="P252" s="24">
        <f>I252 * (0.00500000 / 12) * 1.0</f>
        <v/>
      </c>
      <c r="Q252" s="24">
        <f>Q251 * (K252 / K251) + M252</f>
        <v/>
      </c>
      <c r="R252" s="24">
        <f>R251 * (K252 / K251) + N252</f>
        <v/>
      </c>
      <c r="S252" s="24">
        <f>S251 * (K252 / K251) + O252 + P252</f>
        <v/>
      </c>
      <c r="T252" s="20">
        <f>Q252 + R252 + S252</f>
        <v/>
      </c>
      <c r="U252" s="24">
        <f>MAX(0, -T252)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 t="n">
        <v>0</v>
      </c>
      <c r="J253" s="21" t="n">
        <v>0.3567472020873738</v>
      </c>
      <c r="K253" s="25">
        <f>1 / J253</f>
        <v/>
      </c>
      <c r="L253" s="25">
        <f>I253 * K253</f>
        <v/>
      </c>
      <c r="M253" s="25">
        <f>I253 * (0.01000000 / 12)</f>
        <v/>
      </c>
      <c r="N253" s="25">
        <f>I253 * (0.00664805 / 12) * 1.0</f>
        <v/>
      </c>
      <c r="O253" s="25">
        <f>I253 * (0.00400000 / 12) * 1.0</f>
        <v/>
      </c>
      <c r="P253" s="25">
        <f>I253 * (0.00500000 / 12) * 1.0</f>
        <v/>
      </c>
      <c r="Q253" s="25">
        <f>Q252 * (K253 / K252) + M253</f>
        <v/>
      </c>
      <c r="R253" s="25">
        <f>R252 * (K253 / K252) + N253</f>
        <v/>
      </c>
      <c r="S253" s="25">
        <f>S252 * (K253 / K252) + O253 + P253</f>
        <v/>
      </c>
      <c r="T253" s="22">
        <f>Q253 + R253 + S253</f>
        <v/>
      </c>
      <c r="U253" s="25">
        <f>MAX(0, -T253)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 t="n">
        <v>0</v>
      </c>
      <c r="J254" s="19" t="n">
        <v>0.3552935655846208</v>
      </c>
      <c r="K254" s="24">
        <f>1 / J254</f>
        <v/>
      </c>
      <c r="L254" s="24">
        <f>I254 * K254</f>
        <v/>
      </c>
      <c r="M254" s="24">
        <f>I254 * (0.01000000 / 12)</f>
        <v/>
      </c>
      <c r="N254" s="24">
        <f>I254 * (0.00664805 / 12) * 1.0</f>
        <v/>
      </c>
      <c r="O254" s="24">
        <f>I254 * (0.00400000 / 12) * 1.0</f>
        <v/>
      </c>
      <c r="P254" s="24">
        <f>I254 * (0.00500000 / 12) * 1.0</f>
        <v/>
      </c>
      <c r="Q254" s="24">
        <f>Q253 * (K254 / K253) + M254</f>
        <v/>
      </c>
      <c r="R254" s="24">
        <f>R253 * (K254 / K253) + N254</f>
        <v/>
      </c>
      <c r="S254" s="24">
        <f>S253 * (K254 / K253) + O254 + P254</f>
        <v/>
      </c>
      <c r="T254" s="20">
        <f>Q254 + R254 + S254</f>
        <v/>
      </c>
      <c r="U254" s="24">
        <f>MAX(0, -T254)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 t="n">
        <v>0</v>
      </c>
      <c r="J255" s="21" t="n">
        <v>0.3538458522091405</v>
      </c>
      <c r="K255" s="25">
        <f>1 / J255</f>
        <v/>
      </c>
      <c r="L255" s="25">
        <f>I255 * K255</f>
        <v/>
      </c>
      <c r="M255" s="25">
        <f>I255 * (0.01000000 / 12)</f>
        <v/>
      </c>
      <c r="N255" s="25">
        <f>I255 * (0.00664805 / 12) * 1.0</f>
        <v/>
      </c>
      <c r="O255" s="25">
        <f>I255 * (0.00400000 / 12) * 1.0</f>
        <v/>
      </c>
      <c r="P255" s="25">
        <f>I255 * (0.00500000 / 12) * 1.0</f>
        <v/>
      </c>
      <c r="Q255" s="25">
        <f>Q254 * (K255 / K254) + M255</f>
        <v/>
      </c>
      <c r="R255" s="25">
        <f>R254 * (K255 / K254) + N255</f>
        <v/>
      </c>
      <c r="S255" s="25">
        <f>S254 * (K255 / K254) + O255 + P255</f>
        <v/>
      </c>
      <c r="T255" s="22">
        <f>Q255 + R255 + S255</f>
        <v/>
      </c>
      <c r="U255" s="25">
        <f>MAX(0, -T255)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 t="n">
        <v>0</v>
      </c>
      <c r="J256" s="19" t="n">
        <v>0.3524040378259881</v>
      </c>
      <c r="K256" s="24">
        <f>1 / J256</f>
        <v/>
      </c>
      <c r="L256" s="24">
        <f>I256 * K256</f>
        <v/>
      </c>
      <c r="M256" s="24">
        <f>I256 * (0.01000000 / 12)</f>
        <v/>
      </c>
      <c r="N256" s="24">
        <f>I256 * (0.00664805 / 12) * 1.0</f>
        <v/>
      </c>
      <c r="O256" s="24">
        <f>I256 * (0.00400000 / 12) * 1.0</f>
        <v/>
      </c>
      <c r="P256" s="24">
        <f>I256 * (0.00500000 / 12) * 1.0</f>
        <v/>
      </c>
      <c r="Q256" s="24">
        <f>Q255 * (K256 / K255) + M256</f>
        <v/>
      </c>
      <c r="R256" s="24">
        <f>R255 * (K256 / K255) + N256</f>
        <v/>
      </c>
      <c r="S256" s="24">
        <f>S255 * (K256 / K255) + O256 + P256</f>
        <v/>
      </c>
      <c r="T256" s="20">
        <f>Q256 + R256 + S256</f>
        <v/>
      </c>
      <c r="U256" s="24">
        <f>MAX(0, -T256)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 t="n">
        <v>0</v>
      </c>
      <c r="J257" s="21" t="n">
        <v>0.3509680983985615</v>
      </c>
      <c r="K257" s="25">
        <f>1 / J257</f>
        <v/>
      </c>
      <c r="L257" s="25">
        <f>I257 * K257</f>
        <v/>
      </c>
      <c r="M257" s="25">
        <f>I257 * (0.01000000 / 12)</f>
        <v/>
      </c>
      <c r="N257" s="25">
        <f>I257 * (0.00664805 / 12) * 1.0</f>
        <v/>
      </c>
      <c r="O257" s="25">
        <f>I257 * (0.00400000 / 12) * 1.0</f>
        <v/>
      </c>
      <c r="P257" s="25">
        <f>I257 * (0.00500000 / 12) * 1.0</f>
        <v/>
      </c>
      <c r="Q257" s="25">
        <f>Q256 * (K257 / K256) + M257</f>
        <v/>
      </c>
      <c r="R257" s="25">
        <f>R256 * (K257 / K256) + N257</f>
        <v/>
      </c>
      <c r="S257" s="25">
        <f>S256 * (K257 / K256) + O257 + P257</f>
        <v/>
      </c>
      <c r="T257" s="22">
        <f>Q257 + R257 + S257</f>
        <v/>
      </c>
      <c r="U257" s="25">
        <f>MAX(0, -T257)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 t="n">
        <v>0</v>
      </c>
      <c r="J258" s="19" t="n">
        <v>0.3495380099882002</v>
      </c>
      <c r="K258" s="24">
        <f>1 / J258</f>
        <v/>
      </c>
      <c r="L258" s="24">
        <f>I258 * K258</f>
        <v/>
      </c>
      <c r="M258" s="24">
        <f>I258 * (0.01000000 / 12)</f>
        <v/>
      </c>
      <c r="N258" s="24">
        <f>I258 * (0.00664805 / 12) * 1.0</f>
        <v/>
      </c>
      <c r="O258" s="24">
        <f>I258 * (0.00400000 / 12) * 1.0</f>
        <v/>
      </c>
      <c r="P258" s="24">
        <f>I258 * (0.00500000 / 12) * 1.0</f>
        <v/>
      </c>
      <c r="Q258" s="24">
        <f>Q257 * (K258 / K257) + M258</f>
        <v/>
      </c>
      <c r="R258" s="24">
        <f>R257 * (K258 / K257) + N258</f>
        <v/>
      </c>
      <c r="S258" s="24">
        <f>S257 * (K258 / K257) + O258 + P258</f>
        <v/>
      </c>
      <c r="T258" s="20">
        <f>Q258 + R258 + S258</f>
        <v/>
      </c>
      <c r="U258" s="24">
        <f>MAX(0, -T258)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 t="n">
        <v>0</v>
      </c>
      <c r="J259" s="21" t="n">
        <v>0.3481137487537869</v>
      </c>
      <c r="K259" s="25">
        <f>1 / J259</f>
        <v/>
      </c>
      <c r="L259" s="25">
        <f>I259 * K259</f>
        <v/>
      </c>
      <c r="M259" s="25">
        <f>I259 * (0.01000000 / 12)</f>
        <v/>
      </c>
      <c r="N259" s="25">
        <f>I259 * (0.00664805 / 12) * 1.0</f>
        <v/>
      </c>
      <c r="O259" s="25">
        <f>I259 * (0.00400000 / 12) * 1.0</f>
        <v/>
      </c>
      <c r="P259" s="25">
        <f>I259 * (0.00500000 / 12) * 1.0</f>
        <v/>
      </c>
      <c r="Q259" s="25">
        <f>Q258 * (K259 / K258) + M259</f>
        <v/>
      </c>
      <c r="R259" s="25">
        <f>R258 * (K259 / K258) + N259</f>
        <v/>
      </c>
      <c r="S259" s="25">
        <f>S258 * (K259 / K258) + O259 + P259</f>
        <v/>
      </c>
      <c r="T259" s="22">
        <f>Q259 + R259 + S259</f>
        <v/>
      </c>
      <c r="U259" s="25">
        <f>MAX(0, -T259)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 t="n">
        <v>0</v>
      </c>
      <c r="J260" s="19" t="n">
        <v>0.3466952909513491</v>
      </c>
      <c r="K260" s="24">
        <f>1 / J260</f>
        <v/>
      </c>
      <c r="L260" s="24">
        <f>I260 * K260</f>
        <v/>
      </c>
      <c r="M260" s="24">
        <f>I260 * (0.01000000 / 12)</f>
        <v/>
      </c>
      <c r="N260" s="24">
        <f>I260 * (0.00664805 / 12) * 1.0</f>
        <v/>
      </c>
      <c r="O260" s="24">
        <f>I260 * (0.00400000 / 12) * 1.0</f>
        <v/>
      </c>
      <c r="P260" s="24">
        <f>I260 * (0.00500000 / 12) * 1.0</f>
        <v/>
      </c>
      <c r="Q260" s="24">
        <f>Q259 * (K260 / K259) + M260</f>
        <v/>
      </c>
      <c r="R260" s="24">
        <f>R259 * (K260 / K259) + N260</f>
        <v/>
      </c>
      <c r="S260" s="24">
        <f>S259 * (K260 / K259) + O260 + P260</f>
        <v/>
      </c>
      <c r="T260" s="20">
        <f>Q260 + R260 + S260</f>
        <v/>
      </c>
      <c r="U260" s="24">
        <f>MAX(0, -T260)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 t="n">
        <v>0</v>
      </c>
      <c r="J261" s="21" t="n">
        <v>0.3452826129336641</v>
      </c>
      <c r="K261" s="25">
        <f>1 / J261</f>
        <v/>
      </c>
      <c r="L261" s="25">
        <f>I261 * K261</f>
        <v/>
      </c>
      <c r="M261" s="25">
        <f>I261 * (0.01000000 / 12)</f>
        <v/>
      </c>
      <c r="N261" s="25">
        <f>I261 * (0.00664805 / 12) * 1.0</f>
        <v/>
      </c>
      <c r="O261" s="25">
        <f>I261 * (0.00400000 / 12) * 1.0</f>
        <v/>
      </c>
      <c r="P261" s="25">
        <f>I261 * (0.00500000 / 12) * 1.0</f>
        <v/>
      </c>
      <c r="Q261" s="25">
        <f>Q260 * (K261 / K260) + M261</f>
        <v/>
      </c>
      <c r="R261" s="25">
        <f>R260 * (K261 / K260) + N261</f>
        <v/>
      </c>
      <c r="S261" s="25">
        <f>S260 * (K261 / K260) + O261 + P261</f>
        <v/>
      </c>
      <c r="T261" s="22">
        <f>Q261 + R261 + S261</f>
        <v/>
      </c>
      <c r="U261" s="25">
        <f>MAX(0, -T261)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 t="n">
        <v>0</v>
      </c>
      <c r="J262" s="19" t="n">
        <v>0.3438756911498645</v>
      </c>
      <c r="K262" s="24">
        <f>1 / J262</f>
        <v/>
      </c>
      <c r="L262" s="24">
        <f>I262 * K262</f>
        <v/>
      </c>
      <c r="M262" s="24">
        <f>I262 * (0.01000000 / 12)</f>
        <v/>
      </c>
      <c r="N262" s="24">
        <f>I262 * (0.00664805 / 12) * 1.0</f>
        <v/>
      </c>
      <c r="O262" s="24">
        <f>I262 * (0.00400000 / 12) * 1.0</f>
        <v/>
      </c>
      <c r="P262" s="24">
        <f>I262 * (0.00500000 / 12) * 1.0</f>
        <v/>
      </c>
      <c r="Q262" s="24">
        <f>Q261 * (K262 / K261) + M262</f>
        <v/>
      </c>
      <c r="R262" s="24">
        <f>R261 * (K262 / K261) + N262</f>
        <v/>
      </c>
      <c r="S262" s="24">
        <f>S261 * (K262 / K261) + O262 + P262</f>
        <v/>
      </c>
      <c r="T262" s="20">
        <f>Q262 + R262 + S262</f>
        <v/>
      </c>
      <c r="U262" s="24">
        <f>MAX(0, -T262)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 t="n">
        <v>0</v>
      </c>
      <c r="J263" s="21" t="n">
        <v>0.3424745021450453</v>
      </c>
      <c r="K263" s="25">
        <f>1 / J263</f>
        <v/>
      </c>
      <c r="L263" s="25">
        <f>I263 * K263</f>
        <v/>
      </c>
      <c r="M263" s="25">
        <f>I263 * (0.01000000 / 12)</f>
        <v/>
      </c>
      <c r="N263" s="25">
        <f>I263 * (0.00664805 / 12) * 1.0</f>
        <v/>
      </c>
      <c r="O263" s="25">
        <f>I263 * (0.00400000 / 12) * 1.0</f>
        <v/>
      </c>
      <c r="P263" s="25">
        <f>I263 * (0.00500000 / 12) * 1.0</f>
        <v/>
      </c>
      <c r="Q263" s="25">
        <f>Q262 * (K263 / K262) + M263</f>
        <v/>
      </c>
      <c r="R263" s="25">
        <f>R262 * (K263 / K262) + N263</f>
        <v/>
      </c>
      <c r="S263" s="25">
        <f>S262 * (K263 / K262) + O263 + P263</f>
        <v/>
      </c>
      <c r="T263" s="22">
        <f>Q263 + R263 + S263</f>
        <v/>
      </c>
      <c r="U263" s="25">
        <f>MAX(0, -T263)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 t="n">
        <v>0</v>
      </c>
      <c r="J264" s="19" t="n">
        <v>0.3410790225598732</v>
      </c>
      <c r="K264" s="24">
        <f>1 / J264</f>
        <v/>
      </c>
      <c r="L264" s="24">
        <f>I264 * K264</f>
        <v/>
      </c>
      <c r="M264" s="24">
        <f>I264 * (0.01000000 / 12)</f>
        <v/>
      </c>
      <c r="N264" s="24">
        <f>I264 * (0.00664805 / 12) * 1.0</f>
        <v/>
      </c>
      <c r="O264" s="24">
        <f>I264 * (0.00400000 / 12) * 1.0</f>
        <v/>
      </c>
      <c r="P264" s="24">
        <f>I264 * (0.00500000 / 12) * 1.0</f>
        <v/>
      </c>
      <c r="Q264" s="24">
        <f>Q263 * (K264 / K263) + M264</f>
        <v/>
      </c>
      <c r="R264" s="24">
        <f>R263 * (K264 / K263) + N264</f>
        <v/>
      </c>
      <c r="S264" s="24">
        <f>S263 * (K264 / K263) + O264 + P264</f>
        <v/>
      </c>
      <c r="T264" s="20">
        <f>Q264 + R264 + S264</f>
        <v/>
      </c>
      <c r="U264" s="24">
        <f>MAX(0, -T264)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 t="n">
        <v>0</v>
      </c>
      <c r="J265" s="21" t="n">
        <v>0.3396892291301971</v>
      </c>
      <c r="K265" s="25">
        <f>1 / J265</f>
        <v/>
      </c>
      <c r="L265" s="25">
        <f>I265 * K265</f>
        <v/>
      </c>
      <c r="M265" s="25">
        <f>I265 * (0.01000000 / 12)</f>
        <v/>
      </c>
      <c r="N265" s="25">
        <f>I265 * (0.00664805 / 12) * 1.0</f>
        <v/>
      </c>
      <c r="O265" s="25">
        <f>I265 * (0.00400000 / 12) * 1.0</f>
        <v/>
      </c>
      <c r="P265" s="25">
        <f>I265 * (0.00500000 / 12) * 1.0</f>
        <v/>
      </c>
      <c r="Q265" s="25">
        <f>Q264 * (K265 / K264) + M265</f>
        <v/>
      </c>
      <c r="R265" s="25">
        <f>R264 * (K265 / K264) + N265</f>
        <v/>
      </c>
      <c r="S265" s="25">
        <f>S264 * (K265 / K264) + O265 + P265</f>
        <v/>
      </c>
      <c r="T265" s="22">
        <f>Q265 + R265 + S265</f>
        <v/>
      </c>
      <c r="U265" s="25">
        <f>MAX(0, -T265)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 t="n">
        <v>0</v>
      </c>
      <c r="J266" s="19" t="n">
        <v>0.3383050986866604</v>
      </c>
      <c r="K266" s="24">
        <f>1 / J266</f>
        <v/>
      </c>
      <c r="L266" s="24">
        <f>I266 * K266</f>
        <v/>
      </c>
      <c r="M266" s="24">
        <f>I266 * (0.01000000 / 12)</f>
        <v/>
      </c>
      <c r="N266" s="24">
        <f>I266 * (0.00664805 / 12) * 1.0</f>
        <v/>
      </c>
      <c r="O266" s="24">
        <f>I266 * (0.00400000 / 12) * 1.0</f>
        <v/>
      </c>
      <c r="P266" s="24">
        <f>I266 * (0.00500000 / 12) * 1.0</f>
        <v/>
      </c>
      <c r="Q266" s="24">
        <f>Q265 * (K266 / K265) + M266</f>
        <v/>
      </c>
      <c r="R266" s="24">
        <f>R265 * (K266 / K265) + N266</f>
        <v/>
      </c>
      <c r="S266" s="24">
        <f>S265 * (K266 / K265) + O266 + P266</f>
        <v/>
      </c>
      <c r="T266" s="20">
        <f>Q266 + R266 + S266</f>
        <v/>
      </c>
      <c r="U266" s="24">
        <f>MAX(0, -T266)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 t="n">
        <v>0</v>
      </c>
      <c r="J267" s="21" t="n">
        <v>0.3369266081543144</v>
      </c>
      <c r="K267" s="25">
        <f>1 / J267</f>
        <v/>
      </c>
      <c r="L267" s="25">
        <f>I267 * K267</f>
        <v/>
      </c>
      <c r="M267" s="25">
        <f>I267 * (0.01000000 / 12)</f>
        <v/>
      </c>
      <c r="N267" s="25">
        <f>I267 * (0.00664805 / 12) * 1.0</f>
        <v/>
      </c>
      <c r="O267" s="25">
        <f>I267 * (0.00400000 / 12) * 1.0</f>
        <v/>
      </c>
      <c r="P267" s="25">
        <f>I267 * (0.00500000 / 12) * 1.0</f>
        <v/>
      </c>
      <c r="Q267" s="25">
        <f>Q266 * (K267 / K266) + M267</f>
        <v/>
      </c>
      <c r="R267" s="25">
        <f>R266 * (K267 / K266) + N267</f>
        <v/>
      </c>
      <c r="S267" s="25">
        <f>S266 * (K267 / K266) + O267 + P267</f>
        <v/>
      </c>
      <c r="T267" s="22">
        <f>Q267 + R267 + S267</f>
        <v/>
      </c>
      <c r="U267" s="25">
        <f>MAX(0, -T267)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 t="n">
        <v>0</v>
      </c>
      <c r="J268" s="19" t="n">
        <v>0.3355537345522339</v>
      </c>
      <c r="K268" s="24">
        <f>1 / J268</f>
        <v/>
      </c>
      <c r="L268" s="24">
        <f>I268 * K268</f>
        <v/>
      </c>
      <c r="M268" s="24">
        <f>I268 * (0.01000000 / 12)</f>
        <v/>
      </c>
      <c r="N268" s="24">
        <f>I268 * (0.00664805 / 12) * 1.0</f>
        <v/>
      </c>
      <c r="O268" s="24">
        <f>I268 * (0.00400000 / 12) * 1.0</f>
        <v/>
      </c>
      <c r="P268" s="24">
        <f>I268 * (0.00500000 / 12) * 1.0</f>
        <v/>
      </c>
      <c r="Q268" s="24">
        <f>Q267 * (K268 / K267) + M268</f>
        <v/>
      </c>
      <c r="R268" s="24">
        <f>R267 * (K268 / K267) + N268</f>
        <v/>
      </c>
      <c r="S268" s="24">
        <f>S267 * (K268 / K267) + O268 + P268</f>
        <v/>
      </c>
      <c r="T268" s="20">
        <f>Q268 + R268 + S268</f>
        <v/>
      </c>
      <c r="U268" s="24">
        <f>MAX(0, -T268)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 t="n">
        <v>0</v>
      </c>
      <c r="J269" s="21" t="n">
        <v>0.3341864549931338</v>
      </c>
      <c r="K269" s="25">
        <f>1 / J269</f>
        <v/>
      </c>
      <c r="L269" s="25">
        <f>I269 * K269</f>
        <v/>
      </c>
      <c r="M269" s="25">
        <f>I269 * (0.01000000 / 12)</f>
        <v/>
      </c>
      <c r="N269" s="25">
        <f>I269 * (0.00664805 / 12) * 1.0</f>
        <v/>
      </c>
      <c r="O269" s="25">
        <f>I269 * (0.00400000 / 12) * 1.0</f>
        <v/>
      </c>
      <c r="P269" s="25">
        <f>I269 * (0.00500000 / 12) * 1.0</f>
        <v/>
      </c>
      <c r="Q269" s="25">
        <f>Q268 * (K269 / K268) + M269</f>
        <v/>
      </c>
      <c r="R269" s="25">
        <f>R268 * (K269 / K268) + N269</f>
        <v/>
      </c>
      <c r="S269" s="25">
        <f>S268 * (K269 / K268) + O269 + P269</f>
        <v/>
      </c>
      <c r="T269" s="22">
        <f>Q269 + R269 + S269</f>
        <v/>
      </c>
      <c r="U269" s="25">
        <f>MAX(0, -T269)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 t="n">
        <v>0</v>
      </c>
      <c r="J270" s="19" t="n">
        <v>0.332824746682988</v>
      </c>
      <c r="K270" s="24">
        <f>1 / J270</f>
        <v/>
      </c>
      <c r="L270" s="24">
        <f>I270 * K270</f>
        <v/>
      </c>
      <c r="M270" s="24">
        <f>I270 * (0.01000000 / 12)</f>
        <v/>
      </c>
      <c r="N270" s="24">
        <f>I270 * (0.00664805 / 12) * 1.0</f>
        <v/>
      </c>
      <c r="O270" s="24">
        <f>I270 * (0.00400000 / 12) * 1.0</f>
        <v/>
      </c>
      <c r="P270" s="24">
        <f>I270 * (0.00500000 / 12) * 1.0</f>
        <v/>
      </c>
      <c r="Q270" s="24">
        <f>Q269 * (K270 / K269) + M270</f>
        <v/>
      </c>
      <c r="R270" s="24">
        <f>R269 * (K270 / K269) + N270</f>
        <v/>
      </c>
      <c r="S270" s="24">
        <f>S269 * (K270 / K269) + O270 + P270</f>
        <v/>
      </c>
      <c r="T270" s="20">
        <f>Q270 + R270 + S270</f>
        <v/>
      </c>
      <c r="U270" s="24">
        <f>MAX(0, -T270)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 t="n">
        <v>0</v>
      </c>
      <c r="J271" s="21" t="n">
        <v>0.3314685869206491</v>
      </c>
      <c r="K271" s="25">
        <f>1 / J271</f>
        <v/>
      </c>
      <c r="L271" s="25">
        <f>I271 * K271</f>
        <v/>
      </c>
      <c r="M271" s="25">
        <f>I271 * (0.01000000 / 12)</f>
        <v/>
      </c>
      <c r="N271" s="25">
        <f>I271 * (0.00664805 / 12) * 1.0</f>
        <v/>
      </c>
      <c r="O271" s="25">
        <f>I271 * (0.00400000 / 12) * 1.0</f>
        <v/>
      </c>
      <c r="P271" s="25">
        <f>I271 * (0.00500000 / 12) * 1.0</f>
        <v/>
      </c>
      <c r="Q271" s="25">
        <f>Q270 * (K271 / K270) + M271</f>
        <v/>
      </c>
      <c r="R271" s="25">
        <f>R270 * (K271 / K270) + N271</f>
        <v/>
      </c>
      <c r="S271" s="25">
        <f>S270 * (K271 / K270) + O271 + P271</f>
        <v/>
      </c>
      <c r="T271" s="22">
        <f>Q271 + R271 + S271</f>
        <v/>
      </c>
      <c r="U271" s="25">
        <f>MAX(0, -T271)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 t="n">
        <v>0</v>
      </c>
      <c r="J272" s="19" t="n">
        <v>0.3301179530974697</v>
      </c>
      <c r="K272" s="24">
        <f>1 / J272</f>
        <v/>
      </c>
      <c r="L272" s="24">
        <f>I272 * K272</f>
        <v/>
      </c>
      <c r="M272" s="24">
        <f>I272 * (0.01000000 / 12)</f>
        <v/>
      </c>
      <c r="N272" s="24">
        <f>I272 * (0.00664805 / 12) * 1.0</f>
        <v/>
      </c>
      <c r="O272" s="24">
        <f>I272 * (0.00400000 / 12) * 1.0</f>
        <v/>
      </c>
      <c r="P272" s="24">
        <f>I272 * (0.00500000 / 12) * 1.0</f>
        <v/>
      </c>
      <c r="Q272" s="24">
        <f>Q271 * (K272 / K271) + M272</f>
        <v/>
      </c>
      <c r="R272" s="24">
        <f>R271 * (K272 / K271) + N272</f>
        <v/>
      </c>
      <c r="S272" s="24">
        <f>S271 * (K272 / K271) + O272 + P272</f>
        <v/>
      </c>
      <c r="T272" s="20">
        <f>Q272 + R272 + S272</f>
        <v/>
      </c>
      <c r="U272" s="24">
        <f>MAX(0, -T272)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 t="n">
        <v>0</v>
      </c>
      <c r="J273" s="21" t="n">
        <v>0.3287728226969262</v>
      </c>
      <c r="K273" s="25">
        <f>1 / J273</f>
        <v/>
      </c>
      <c r="L273" s="25">
        <f>I273 * K273</f>
        <v/>
      </c>
      <c r="M273" s="25">
        <f>I273 * (0.01000000 / 12)</f>
        <v/>
      </c>
      <c r="N273" s="25">
        <f>I273 * (0.00664805 / 12) * 1.0</f>
        <v/>
      </c>
      <c r="O273" s="25">
        <f>I273 * (0.00400000 / 12) * 1.0</f>
        <v/>
      </c>
      <c r="P273" s="25">
        <f>I273 * (0.00500000 / 12) * 1.0</f>
        <v/>
      </c>
      <c r="Q273" s="25">
        <f>Q272 * (K273 / K272) + M273</f>
        <v/>
      </c>
      <c r="R273" s="25">
        <f>R272 * (K273 / K272) + N273</f>
        <v/>
      </c>
      <c r="S273" s="25">
        <f>S272 * (K273 / K272) + O273 + P273</f>
        <v/>
      </c>
      <c r="T273" s="22">
        <f>Q273 + R273 + S273</f>
        <v/>
      </c>
      <c r="U273" s="25">
        <f>MAX(0, -T273)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 t="n">
        <v>0</v>
      </c>
      <c r="J274" s="19" t="n">
        <v>0.3274331732942427</v>
      </c>
      <c r="K274" s="24">
        <f>1 / J274</f>
        <v/>
      </c>
      <c r="L274" s="24">
        <f>I274 * K274</f>
        <v/>
      </c>
      <c r="M274" s="24">
        <f>I274 * (0.01000000 / 12)</f>
        <v/>
      </c>
      <c r="N274" s="24">
        <f>I274 * (0.00664805 / 12) * 1.0</f>
        <v/>
      </c>
      <c r="O274" s="24">
        <f>I274 * (0.00400000 / 12) * 1.0</f>
        <v/>
      </c>
      <c r="P274" s="24">
        <f>I274 * (0.00500000 / 12) * 1.0</f>
        <v/>
      </c>
      <c r="Q274" s="24">
        <f>Q273 * (K274 / K273) + M274</f>
        <v/>
      </c>
      <c r="R274" s="24">
        <f>R273 * (K274 / K273) + N274</f>
        <v/>
      </c>
      <c r="S274" s="24">
        <f>S273 * (K274 / K273) + O274 + P274</f>
        <v/>
      </c>
      <c r="T274" s="20">
        <f>Q274 + R274 + S274</f>
        <v/>
      </c>
      <c r="U274" s="24">
        <f>MAX(0, -T274)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 t="n">
        <v>0</v>
      </c>
      <c r="J275" s="21" t="n">
        <v>0.3260989825560174</v>
      </c>
      <c r="K275" s="25">
        <f>1 / J275</f>
        <v/>
      </c>
      <c r="L275" s="25">
        <f>I275 * K275</f>
        <v/>
      </c>
      <c r="M275" s="25">
        <f>I275 * (0.01000000 / 12)</f>
        <v/>
      </c>
      <c r="N275" s="25">
        <f>I275 * (0.00664805 / 12) * 1.0</f>
        <v/>
      </c>
      <c r="O275" s="25">
        <f>I275 * (0.00400000 / 12) * 1.0</f>
        <v/>
      </c>
      <c r="P275" s="25">
        <f>I275 * (0.00500000 / 12) * 1.0</f>
        <v/>
      </c>
      <c r="Q275" s="25">
        <f>Q274 * (K275 / K274) + M275</f>
        <v/>
      </c>
      <c r="R275" s="25">
        <f>R274 * (K275 / K274) + N275</f>
        <v/>
      </c>
      <c r="S275" s="25">
        <f>S274 * (K275 / K274) + O275 + P275</f>
        <v/>
      </c>
      <c r="T275" s="22">
        <f>Q275 + R275 + S275</f>
        <v/>
      </c>
      <c r="U275" s="25">
        <f>MAX(0, -T275)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 t="n">
        <v>0</v>
      </c>
      <c r="J276" s="19" t="n">
        <v>0.3247702282398506</v>
      </c>
      <c r="K276" s="24">
        <f>1 / J276</f>
        <v/>
      </c>
      <c r="L276" s="24">
        <f>I276 * K276</f>
        <v/>
      </c>
      <c r="M276" s="24">
        <f>I276 * (0.01000000 / 12)</f>
        <v/>
      </c>
      <c r="N276" s="24">
        <f>I276 * (0.00664805 / 12) * 1.0</f>
        <v/>
      </c>
      <c r="O276" s="24">
        <f>I276 * (0.00400000 / 12) * 1.0</f>
        <v/>
      </c>
      <c r="P276" s="24">
        <f>I276 * (0.00500000 / 12) * 1.0</f>
        <v/>
      </c>
      <c r="Q276" s="24">
        <f>Q275 * (K276 / K275) + M276</f>
        <v/>
      </c>
      <c r="R276" s="24">
        <f>R275 * (K276 / K275) + N276</f>
        <v/>
      </c>
      <c r="S276" s="24">
        <f>S275 * (K276 / K275) + O276 + P276</f>
        <v/>
      </c>
      <c r="T276" s="20">
        <f>Q276 + R276 + S276</f>
        <v/>
      </c>
      <c r="U276" s="24">
        <f>MAX(0, -T276)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 t="n">
        <v>0</v>
      </c>
      <c r="J277" s="21" t="n">
        <v>0.3234468881939734</v>
      </c>
      <c r="K277" s="25">
        <f>1 / J277</f>
        <v/>
      </c>
      <c r="L277" s="25">
        <f>I277 * K277</f>
        <v/>
      </c>
      <c r="M277" s="25">
        <f>I277 * (0.01000000 / 12)</f>
        <v/>
      </c>
      <c r="N277" s="25">
        <f>I277 * (0.00664805 / 12) * 1.0</f>
        <v/>
      </c>
      <c r="O277" s="25">
        <f>I277 * (0.00400000 / 12) * 1.0</f>
        <v/>
      </c>
      <c r="P277" s="25">
        <f>I277 * (0.00500000 / 12) * 1.0</f>
        <v/>
      </c>
      <c r="Q277" s="25">
        <f>Q276 * (K277 / K276) + M277</f>
        <v/>
      </c>
      <c r="R277" s="25">
        <f>R276 * (K277 / K276) + N277</f>
        <v/>
      </c>
      <c r="S277" s="25">
        <f>S276 * (K277 / K276) + O277 + P277</f>
        <v/>
      </c>
      <c r="T277" s="22">
        <f>Q277 + R277 + S277</f>
        <v/>
      </c>
      <c r="U277" s="25">
        <f>MAX(0, -T277)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 t="n">
        <v>0</v>
      </c>
      <c r="J278" s="19" t="n">
        <v>0.3221289403568787</v>
      </c>
      <c r="K278" s="24">
        <f>1 / J278</f>
        <v/>
      </c>
      <c r="L278" s="24">
        <f>I278 * K278</f>
        <v/>
      </c>
      <c r="M278" s="24">
        <f>I278 * (0.01000000 / 12)</f>
        <v/>
      </c>
      <c r="N278" s="24">
        <f>I278 * (0.00664805 / 12) * 1.0</f>
        <v/>
      </c>
      <c r="O278" s="24">
        <f>I278 * (0.00400000 / 12) * 1.0</f>
        <v/>
      </c>
      <c r="P278" s="24">
        <f>I278 * (0.00500000 / 12) * 1.0</f>
        <v/>
      </c>
      <c r="Q278" s="24">
        <f>Q277 * (K278 / K277) + M278</f>
        <v/>
      </c>
      <c r="R278" s="24">
        <f>R277 * (K278 / K277) + N278</f>
        <v/>
      </c>
      <c r="S278" s="24">
        <f>S277 * (K278 / K277) + O278 + P278</f>
        <v/>
      </c>
      <c r="T278" s="20">
        <f>Q278 + R278 + S278</f>
        <v/>
      </c>
      <c r="U278" s="24">
        <f>MAX(0, -T278)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 t="n">
        <v>0</v>
      </c>
      <c r="J279" s="21" t="n">
        <v>0.3208163627569535</v>
      </c>
      <c r="K279" s="25">
        <f>1 / J279</f>
        <v/>
      </c>
      <c r="L279" s="25">
        <f>I279 * K279</f>
        <v/>
      </c>
      <c r="M279" s="25">
        <f>I279 * (0.01000000 / 12)</f>
        <v/>
      </c>
      <c r="N279" s="25">
        <f>I279 * (0.00664805 / 12) * 1.0</f>
        <v/>
      </c>
      <c r="O279" s="25">
        <f>I279 * (0.00400000 / 12) * 1.0</f>
        <v/>
      </c>
      <c r="P279" s="25">
        <f>I279 * (0.00500000 / 12) * 1.0</f>
        <v/>
      </c>
      <c r="Q279" s="25">
        <f>Q278 * (K279 / K278) + M279</f>
        <v/>
      </c>
      <c r="R279" s="25">
        <f>R278 * (K279 / K278) + N279</f>
        <v/>
      </c>
      <c r="S279" s="25">
        <f>S278 * (K279 / K278) + O279 + P279</f>
        <v/>
      </c>
      <c r="T279" s="22">
        <f>Q279 + R279 + S279</f>
        <v/>
      </c>
      <c r="U279" s="25">
        <f>MAX(0, -T279)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 t="n">
        <v>0</v>
      </c>
      <c r="J280" s="19" t="n">
        <v>0.3195091335121121</v>
      </c>
      <c r="K280" s="24">
        <f>1 / J280</f>
        <v/>
      </c>
      <c r="L280" s="24">
        <f>I280 * K280</f>
        <v/>
      </c>
      <c r="M280" s="24">
        <f>I280 * (0.01000000 / 12)</f>
        <v/>
      </c>
      <c r="N280" s="24">
        <f>I280 * (0.00664805 / 12) * 1.0</f>
        <v/>
      </c>
      <c r="O280" s="24">
        <f>I280 * (0.00400000 / 12) * 1.0</f>
        <v/>
      </c>
      <c r="P280" s="24">
        <f>I280 * (0.00500000 / 12) * 1.0</f>
        <v/>
      </c>
      <c r="Q280" s="24">
        <f>Q279 * (K280 / K279) + M280</f>
        <v/>
      </c>
      <c r="R280" s="24">
        <f>R279 * (K280 / K279) + N280</f>
        <v/>
      </c>
      <c r="S280" s="24">
        <f>S279 * (K280 / K279) + O280 + P280</f>
        <v/>
      </c>
      <c r="T280" s="20">
        <f>Q280 + R280 + S280</f>
        <v/>
      </c>
      <c r="U280" s="24">
        <f>MAX(0, -T280)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 t="n">
        <v>0</v>
      </c>
      <c r="J281" s="21" t="n">
        <v>0.318207230829432</v>
      </c>
      <c r="K281" s="25">
        <f>1 / J281</f>
        <v/>
      </c>
      <c r="L281" s="25">
        <f>I281 * K281</f>
        <v/>
      </c>
      <c r="M281" s="25">
        <f>I281 * (0.01000000 / 12)</f>
        <v/>
      </c>
      <c r="N281" s="25">
        <f>I281 * (0.00664805 / 12) * 1.0</f>
        <v/>
      </c>
      <c r="O281" s="25">
        <f>I281 * (0.00400000 / 12) * 1.0</f>
        <v/>
      </c>
      <c r="P281" s="25">
        <f>I281 * (0.00500000 / 12) * 1.0</f>
        <v/>
      </c>
      <c r="Q281" s="25">
        <f>Q280 * (K281 / K280) + M281</f>
        <v/>
      </c>
      <c r="R281" s="25">
        <f>R280 * (K281 / K280) + N281</f>
        <v/>
      </c>
      <c r="S281" s="25">
        <f>S280 * (K281 / K280) + O281 + P281</f>
        <v/>
      </c>
      <c r="T281" s="22">
        <f>Q281 + R281 + S281</f>
        <v/>
      </c>
      <c r="U281" s="25">
        <f>MAX(0, -T281)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 t="n">
        <v>0</v>
      </c>
      <c r="J282" s="19" t="n">
        <v>0.31691063300479</v>
      </c>
      <c r="K282" s="24">
        <f>1 / J282</f>
        <v/>
      </c>
      <c r="L282" s="24">
        <f>I282 * K282</f>
        <v/>
      </c>
      <c r="M282" s="24">
        <f>I282 * (0.01000000 / 12)</f>
        <v/>
      </c>
      <c r="N282" s="24">
        <f>I282 * (0.00664805 / 12) * 1.0</f>
        <v/>
      </c>
      <c r="O282" s="24">
        <f>I282 * (0.00400000 / 12) * 1.0</f>
        <v/>
      </c>
      <c r="P282" s="24">
        <f>I282 * (0.00500000 / 12) * 1.0</f>
        <v/>
      </c>
      <c r="Q282" s="24">
        <f>Q281 * (K282 / K281) + M282</f>
        <v/>
      </c>
      <c r="R282" s="24">
        <f>R281 * (K282 / K281) + N282</f>
        <v/>
      </c>
      <c r="S282" s="24">
        <f>S281 * (K282 / K281) + O282 + P282</f>
        <v/>
      </c>
      <c r="T282" s="20">
        <f>Q282 + R282 + S282</f>
        <v/>
      </c>
      <c r="U282" s="24">
        <f>MAX(0, -T282)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 t="n">
        <v>0</v>
      </c>
      <c r="J283" s="21" t="n">
        <v>0.3156193184225007</v>
      </c>
      <c r="K283" s="25">
        <f>1 / J283</f>
        <v/>
      </c>
      <c r="L283" s="25">
        <f>I283 * K283</f>
        <v/>
      </c>
      <c r="M283" s="25">
        <f>I283 * (0.01000000 / 12)</f>
        <v/>
      </c>
      <c r="N283" s="25">
        <f>I283 * (0.00664805 / 12) * 1.0</f>
        <v/>
      </c>
      <c r="O283" s="25">
        <f>I283 * (0.00400000 / 12) * 1.0</f>
        <v/>
      </c>
      <c r="P283" s="25">
        <f>I283 * (0.00500000 / 12) * 1.0</f>
        <v/>
      </c>
      <c r="Q283" s="25">
        <f>Q282 * (K283 / K282) + M283</f>
        <v/>
      </c>
      <c r="R283" s="25">
        <f>R282 * (K283 / K282) + N283</f>
        <v/>
      </c>
      <c r="S283" s="25">
        <f>S282 * (K283 / K282) + O283 + P283</f>
        <v/>
      </c>
      <c r="T283" s="22">
        <f>Q283 + R283 + S283</f>
        <v/>
      </c>
      <c r="U283" s="25">
        <f>MAX(0, -T283)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 t="n">
        <v>0</v>
      </c>
      <c r="J284" s="19" t="n">
        <v>0.3143332655549562</v>
      </c>
      <c r="K284" s="24">
        <f>1 / J284</f>
        <v/>
      </c>
      <c r="L284" s="24">
        <f>I284 * K284</f>
        <v/>
      </c>
      <c r="M284" s="24">
        <f>I284 * (0.01000000 / 12)</f>
        <v/>
      </c>
      <c r="N284" s="24">
        <f>I284 * (0.00664805 / 12) * 1.0</f>
        <v/>
      </c>
      <c r="O284" s="24">
        <f>I284 * (0.00400000 / 12) * 1.0</f>
        <v/>
      </c>
      <c r="P284" s="24">
        <f>I284 * (0.00500000 / 12) * 1.0</f>
        <v/>
      </c>
      <c r="Q284" s="24">
        <f>Q283 * (K284 / K283) + M284</f>
        <v/>
      </c>
      <c r="R284" s="24">
        <f>R283 * (K284 / K283) + N284</f>
        <v/>
      </c>
      <c r="S284" s="24">
        <f>S283 * (K284 / K283) + O284 + P284</f>
        <v/>
      </c>
      <c r="T284" s="20">
        <f>Q284 + R284 + S284</f>
        <v/>
      </c>
      <c r="U284" s="24">
        <f>MAX(0, -T284)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 t="n">
        <v>0</v>
      </c>
      <c r="J285" s="21" t="n">
        <v>0.3130524529622667</v>
      </c>
      <c r="K285" s="25">
        <f>1 / J285</f>
        <v/>
      </c>
      <c r="L285" s="25">
        <f>I285 * K285</f>
        <v/>
      </c>
      <c r="M285" s="25">
        <f>I285 * (0.01000000 / 12)</f>
        <v/>
      </c>
      <c r="N285" s="25">
        <f>I285 * (0.00664805 / 12) * 1.0</f>
        <v/>
      </c>
      <c r="O285" s="25">
        <f>I285 * (0.00400000 / 12) * 1.0</f>
        <v/>
      </c>
      <c r="P285" s="25">
        <f>I285 * (0.00500000 / 12) * 1.0</f>
        <v/>
      </c>
      <c r="Q285" s="25">
        <f>Q284 * (K285 / K284) + M285</f>
        <v/>
      </c>
      <c r="R285" s="25">
        <f>R284 * (K285 / K284) + N285</f>
        <v/>
      </c>
      <c r="S285" s="25">
        <f>S284 * (K285 / K284) + O285 + P285</f>
        <v/>
      </c>
      <c r="T285" s="22">
        <f>Q285 + R285 + S285</f>
        <v/>
      </c>
      <c r="U285" s="25">
        <f>MAX(0, -T285)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 t="n">
        <v>0</v>
      </c>
      <c r="J286" s="19" t="n">
        <v>0.3117768592919039</v>
      </c>
      <c r="K286" s="24">
        <f>1 / J286</f>
        <v/>
      </c>
      <c r="L286" s="24">
        <f>I286 * K286</f>
        <v/>
      </c>
      <c r="M286" s="24">
        <f>I286 * (0.01000000 / 12)</f>
        <v/>
      </c>
      <c r="N286" s="24">
        <f>I286 * (0.00664805 / 12) * 1.0</f>
        <v/>
      </c>
      <c r="O286" s="24">
        <f>I286 * (0.00400000 / 12) * 1.0</f>
        <v/>
      </c>
      <c r="P286" s="24">
        <f>I286 * (0.00500000 / 12) * 1.0</f>
        <v/>
      </c>
      <c r="Q286" s="24">
        <f>Q285 * (K286 / K285) + M286</f>
        <v/>
      </c>
      <c r="R286" s="24">
        <f>R285 * (K286 / K285) + N286</f>
        <v/>
      </c>
      <c r="S286" s="24">
        <f>S285 * (K286 / K285) + O286 + P286</f>
        <v/>
      </c>
      <c r="T286" s="20">
        <f>Q286 + R286 + S286</f>
        <v/>
      </c>
      <c r="U286" s="24">
        <f>MAX(0, -T286)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 t="n">
        <v>0</v>
      </c>
      <c r="J287" s="21" t="n">
        <v>0.3105064632783442</v>
      </c>
      <c r="K287" s="25">
        <f>1 / J287</f>
        <v/>
      </c>
      <c r="L287" s="25">
        <f>I287 * K287</f>
        <v/>
      </c>
      <c r="M287" s="25">
        <f>I287 * (0.01000000 / 12)</f>
        <v/>
      </c>
      <c r="N287" s="25">
        <f>I287 * (0.00664805 / 12) * 1.0</f>
        <v/>
      </c>
      <c r="O287" s="25">
        <f>I287 * (0.00400000 / 12) * 1.0</f>
        <v/>
      </c>
      <c r="P287" s="25">
        <f>I287 * (0.00500000 / 12) * 1.0</f>
        <v/>
      </c>
      <c r="Q287" s="25">
        <f>Q286 * (K287 / K286) + M287</f>
        <v/>
      </c>
      <c r="R287" s="25">
        <f>R286 * (K287 / K286) + N287</f>
        <v/>
      </c>
      <c r="S287" s="25">
        <f>S286 * (K287 / K286) + O287 + P287</f>
        <v/>
      </c>
      <c r="T287" s="22">
        <f>Q287 + R287 + S287</f>
        <v/>
      </c>
      <c r="U287" s="25">
        <f>MAX(0, -T287)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 t="n">
        <v>0</v>
      </c>
      <c r="J288" s="19" t="n">
        <v>0.3092412437427147</v>
      </c>
      <c r="K288" s="24">
        <f>1 / J288</f>
        <v/>
      </c>
      <c r="L288" s="24">
        <f>I288 * K288</f>
        <v/>
      </c>
      <c r="M288" s="24">
        <f>I288 * (0.01000000 / 12)</f>
        <v/>
      </c>
      <c r="N288" s="24">
        <f>I288 * (0.00664805 / 12) * 1.0</f>
        <v/>
      </c>
      <c r="O288" s="24">
        <f>I288 * (0.00400000 / 12) * 1.0</f>
        <v/>
      </c>
      <c r="P288" s="24">
        <f>I288 * (0.00500000 / 12) * 1.0</f>
        <v/>
      </c>
      <c r="Q288" s="24">
        <f>Q287 * (K288 / K287) + M288</f>
        <v/>
      </c>
      <c r="R288" s="24">
        <f>R287 * (K288 / K287) + N288</f>
        <v/>
      </c>
      <c r="S288" s="24">
        <f>S287 * (K288 / K287) + O288 + P288</f>
        <v/>
      </c>
      <c r="T288" s="20">
        <f>Q288 + R288 + S288</f>
        <v/>
      </c>
      <c r="U288" s="24">
        <f>MAX(0, -T288)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 t="n">
        <v>0</v>
      </c>
      <c r="J289" s="21" t="n">
        <v>0.3079811795924399</v>
      </c>
      <c r="K289" s="25">
        <f>1 / J289</f>
        <v/>
      </c>
      <c r="L289" s="25">
        <f>I289 * K289</f>
        <v/>
      </c>
      <c r="M289" s="25">
        <f>I289 * (0.01000000 / 12)</f>
        <v/>
      </c>
      <c r="N289" s="25">
        <f>I289 * (0.00664805 / 12) * 1.0</f>
        <v/>
      </c>
      <c r="O289" s="25">
        <f>I289 * (0.00400000 / 12) * 1.0</f>
        <v/>
      </c>
      <c r="P289" s="25">
        <f>I289 * (0.00500000 / 12) * 1.0</f>
        <v/>
      </c>
      <c r="Q289" s="25">
        <f>Q288 * (K289 / K288) + M289</f>
        <v/>
      </c>
      <c r="R289" s="25">
        <f>R288 * (K289 / K288) + N289</f>
        <v/>
      </c>
      <c r="S289" s="25">
        <f>S288 * (K289 / K288) + O289 + P289</f>
        <v/>
      </c>
      <c r="T289" s="22">
        <f>Q289 + R289 + S289</f>
        <v/>
      </c>
      <c r="U289" s="25">
        <f>MAX(0, -T289)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 t="n">
        <v>0</v>
      </c>
      <c r="J290" s="19" t="n">
        <v>0.3067262498208902</v>
      </c>
      <c r="K290" s="24">
        <f>1 / J290</f>
        <v/>
      </c>
      <c r="L290" s="24">
        <f>I290 * K290</f>
        <v/>
      </c>
      <c r="M290" s="24">
        <f>I290 * (0.01000000 / 12)</f>
        <v/>
      </c>
      <c r="N290" s="24">
        <f>I290 * (0.00664805 / 12) * 1.0</f>
        <v/>
      </c>
      <c r="O290" s="24">
        <f>I290 * (0.00400000 / 12) * 1.0</f>
        <v/>
      </c>
      <c r="P290" s="24">
        <f>I290 * (0.00500000 / 12) * 1.0</f>
        <v/>
      </c>
      <c r="Q290" s="24">
        <f>Q289 * (K290 / K289) + M290</f>
        <v/>
      </c>
      <c r="R290" s="24">
        <f>R289 * (K290 / K289) + N290</f>
        <v/>
      </c>
      <c r="S290" s="24">
        <f>S289 * (K290 / K289) + O290 + P290</f>
        <v/>
      </c>
      <c r="T290" s="20">
        <f>Q290 + R290 + S290</f>
        <v/>
      </c>
      <c r="U290" s="24">
        <f>MAX(0, -T290)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 t="n">
        <v>0</v>
      </c>
      <c r="J291" s="21" t="n">
        <v>0.3054764335070317</v>
      </c>
      <c r="K291" s="25">
        <f>1 / J291</f>
        <v/>
      </c>
      <c r="L291" s="25">
        <f>I291 * K291</f>
        <v/>
      </c>
      <c r="M291" s="25">
        <f>I291 * (0.01000000 / 12)</f>
        <v/>
      </c>
      <c r="N291" s="25">
        <f>I291 * (0.00664805 / 12) * 1.0</f>
        <v/>
      </c>
      <c r="O291" s="25">
        <f>I291 * (0.00400000 / 12) * 1.0</f>
        <v/>
      </c>
      <c r="P291" s="25">
        <f>I291 * (0.00500000 / 12) * 1.0</f>
        <v/>
      </c>
      <c r="Q291" s="25">
        <f>Q290 * (K291 / K290) + M291</f>
        <v/>
      </c>
      <c r="R291" s="25">
        <f>R290 * (K291 / K290) + N291</f>
        <v/>
      </c>
      <c r="S291" s="25">
        <f>S290 * (K291 / K290) + O291 + P291</f>
        <v/>
      </c>
      <c r="T291" s="22">
        <f>Q291 + R291 + S291</f>
        <v/>
      </c>
      <c r="U291" s="25">
        <f>MAX(0, -T291)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 t="n">
        <v>0</v>
      </c>
      <c r="J292" s="19" t="n">
        <v>0.3042317098150772</v>
      </c>
      <c r="K292" s="24">
        <f>1 / J292</f>
        <v/>
      </c>
      <c r="L292" s="24">
        <f>I292 * K292</f>
        <v/>
      </c>
      <c r="M292" s="24">
        <f>I292 * (0.01000000 / 12)</f>
        <v/>
      </c>
      <c r="N292" s="24">
        <f>I292 * (0.00664805 / 12) * 1.0</f>
        <v/>
      </c>
      <c r="O292" s="24">
        <f>I292 * (0.00400000 / 12) * 1.0</f>
        <v/>
      </c>
      <c r="P292" s="24">
        <f>I292 * (0.00500000 / 12) * 1.0</f>
        <v/>
      </c>
      <c r="Q292" s="24">
        <f>Q291 * (K292 / K291) + M292</f>
        <v/>
      </c>
      <c r="R292" s="24">
        <f>R291 * (K292 / K291) + N292</f>
        <v/>
      </c>
      <c r="S292" s="24">
        <f>S291 * (K292 / K291) + O292 + P292</f>
        <v/>
      </c>
      <c r="T292" s="20">
        <f>Q292 + R292 + S292</f>
        <v/>
      </c>
      <c r="U292" s="24">
        <f>MAX(0, -T292)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 t="n">
        <v>0</v>
      </c>
      <c r="J293" s="21" t="n">
        <v>0.3029920579941393</v>
      </c>
      <c r="K293" s="25">
        <f>1 / J293</f>
        <v/>
      </c>
      <c r="L293" s="25">
        <f>I293 * K293</f>
        <v/>
      </c>
      <c r="M293" s="25">
        <f>I293 * (0.01000000 / 12)</f>
        <v/>
      </c>
      <c r="N293" s="25">
        <f>I293 * (0.00664805 / 12) * 1.0</f>
        <v/>
      </c>
      <c r="O293" s="25">
        <f>I293 * (0.00400000 / 12) * 1.0</f>
        <v/>
      </c>
      <c r="P293" s="25">
        <f>I293 * (0.00500000 / 12) * 1.0</f>
        <v/>
      </c>
      <c r="Q293" s="25">
        <f>Q292 * (K293 / K292) + M293</f>
        <v/>
      </c>
      <c r="R293" s="25">
        <f>R292 * (K293 / K292) + N293</f>
        <v/>
      </c>
      <c r="S293" s="25">
        <f>S292 * (K293 / K292) + O293 + P293</f>
        <v/>
      </c>
      <c r="T293" s="22">
        <f>Q293 + R293 + S293</f>
        <v/>
      </c>
      <c r="U293" s="25">
        <f>MAX(0, -T293)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 t="n">
        <v>0</v>
      </c>
      <c r="J294" s="19" t="n">
        <v>0.3017574573778837</v>
      </c>
      <c r="K294" s="24">
        <f>1 / J294</f>
        <v/>
      </c>
      <c r="L294" s="24">
        <f>I294 * K294</f>
        <v/>
      </c>
      <c r="M294" s="24">
        <f>I294 * (0.01000000 / 12)</f>
        <v/>
      </c>
      <c r="N294" s="24">
        <f>I294 * (0.00664805 / 12) * 1.0</f>
        <v/>
      </c>
      <c r="O294" s="24">
        <f>I294 * (0.00400000 / 12) * 1.0</f>
        <v/>
      </c>
      <c r="P294" s="24">
        <f>I294 * (0.00500000 / 12) * 1.0</f>
        <v/>
      </c>
      <c r="Q294" s="24">
        <f>Q293 * (K294 / K293) + M294</f>
        <v/>
      </c>
      <c r="R294" s="24">
        <f>R293 * (K294 / K293) + N294</f>
        <v/>
      </c>
      <c r="S294" s="24">
        <f>S293 * (K294 / K293) + O294 + P294</f>
        <v/>
      </c>
      <c r="T294" s="20">
        <f>Q294 + R294 + S294</f>
        <v/>
      </c>
      <c r="U294" s="24">
        <f>MAX(0, -T294)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 t="n">
        <v>0</v>
      </c>
      <c r="J295" s="21" t="n">
        <v>0.3005278873841855</v>
      </c>
      <c r="K295" s="25">
        <f>1 / J295</f>
        <v/>
      </c>
      <c r="L295" s="25">
        <f>I295 * K295</f>
        <v/>
      </c>
      <c r="M295" s="25">
        <f>I295 * (0.01000000 / 12)</f>
        <v/>
      </c>
      <c r="N295" s="25">
        <f>I295 * (0.00664805 / 12) * 1.0</f>
        <v/>
      </c>
      <c r="O295" s="25">
        <f>I295 * (0.00400000 / 12) * 1.0</f>
        <v/>
      </c>
      <c r="P295" s="25">
        <f>I295 * (0.00500000 / 12) * 1.0</f>
        <v/>
      </c>
      <c r="Q295" s="25">
        <f>Q294 * (K295 / K294) + M295</f>
        <v/>
      </c>
      <c r="R295" s="25">
        <f>R294 * (K295 / K294) + N295</f>
        <v/>
      </c>
      <c r="S295" s="25">
        <f>S294 * (K295 / K294) + O295 + P295</f>
        <v/>
      </c>
      <c r="T295" s="22">
        <f>Q295 + R295 + S295</f>
        <v/>
      </c>
      <c r="U295" s="25">
        <f>MAX(0, -T295)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 t="n">
        <v>0</v>
      </c>
      <c r="J296" s="19" t="n">
        <v>0.2993033275147856</v>
      </c>
      <c r="K296" s="24">
        <f>1 / J296</f>
        <v/>
      </c>
      <c r="L296" s="24">
        <f>I296 * K296</f>
        <v/>
      </c>
      <c r="M296" s="24">
        <f>I296 * (0.01000000 / 12)</f>
        <v/>
      </c>
      <c r="N296" s="24">
        <f>I296 * (0.00664805 / 12) * 1.0</f>
        <v/>
      </c>
      <c r="O296" s="24">
        <f>I296 * (0.00400000 / 12) * 1.0</f>
        <v/>
      </c>
      <c r="P296" s="24">
        <f>I296 * (0.00500000 / 12) * 1.0</f>
        <v/>
      </c>
      <c r="Q296" s="24">
        <f>Q295 * (K296 / K295) + M296</f>
        <v/>
      </c>
      <c r="R296" s="24">
        <f>R295 * (K296 / K295) + N296</f>
        <v/>
      </c>
      <c r="S296" s="24">
        <f>S295 * (K296 / K295) + O296 + P296</f>
        <v/>
      </c>
      <c r="T296" s="20">
        <f>Q296 + R296 + S296</f>
        <v/>
      </c>
      <c r="U296" s="24">
        <f>MAX(0, -T296)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 t="n">
        <v>0</v>
      </c>
      <c r="J297" s="21" t="n">
        <v>0.2980837573549491</v>
      </c>
      <c r="K297" s="25">
        <f>1 / J297</f>
        <v/>
      </c>
      <c r="L297" s="25">
        <f>I297 * K297</f>
        <v/>
      </c>
      <c r="M297" s="25">
        <f>I297 * (0.01000000 / 12)</f>
        <v/>
      </c>
      <c r="N297" s="25">
        <f>I297 * (0.00664805 / 12) * 1.0</f>
        <v/>
      </c>
      <c r="O297" s="25">
        <f>I297 * (0.00400000 / 12) * 1.0</f>
        <v/>
      </c>
      <c r="P297" s="25">
        <f>I297 * (0.00500000 / 12) * 1.0</f>
        <v/>
      </c>
      <c r="Q297" s="25">
        <f>Q296 * (K297 / K296) + M297</f>
        <v/>
      </c>
      <c r="R297" s="25">
        <f>R296 * (K297 / K296) + N297</f>
        <v/>
      </c>
      <c r="S297" s="25">
        <f>S296 * (K297 / K296) + O297 + P297</f>
        <v/>
      </c>
      <c r="T297" s="22">
        <f>Q297 + R297 + S297</f>
        <v/>
      </c>
      <c r="U297" s="25">
        <f>MAX(0, -T297)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 t="n">
        <v>0</v>
      </c>
      <c r="J298" s="19" t="n">
        <v>0.296869156573125</v>
      </c>
      <c r="K298" s="24">
        <f>1 / J298</f>
        <v/>
      </c>
      <c r="L298" s="24">
        <f>I298 * K298</f>
        <v/>
      </c>
      <c r="M298" s="24">
        <f>I298 * (0.01000000 / 12)</f>
        <v/>
      </c>
      <c r="N298" s="24">
        <f>I298 * (0.00664805 / 12) * 1.0</f>
        <v/>
      </c>
      <c r="O298" s="24">
        <f>I298 * (0.00400000 / 12) * 1.0</f>
        <v/>
      </c>
      <c r="P298" s="24">
        <f>I298 * (0.00500000 / 12) * 1.0</f>
        <v/>
      </c>
      <c r="Q298" s="24">
        <f>Q297 * (K298 / K297) + M298</f>
        <v/>
      </c>
      <c r="R298" s="24">
        <f>R297 * (K298 / K297) + N298</f>
        <v/>
      </c>
      <c r="S298" s="24">
        <f>S297 * (K298 / K297) + O298 + P298</f>
        <v/>
      </c>
      <c r="T298" s="20">
        <f>Q298 + R298 + S298</f>
        <v/>
      </c>
      <c r="U298" s="24">
        <f>MAX(0, -T298)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 t="n">
        <v>0</v>
      </c>
      <c r="J299" s="21" t="n">
        <v>0.2956595049206069</v>
      </c>
      <c r="K299" s="25">
        <f>1 / J299</f>
        <v/>
      </c>
      <c r="L299" s="25">
        <f>I299 * K299</f>
        <v/>
      </c>
      <c r="M299" s="25">
        <f>I299 * (0.01000000 / 12)</f>
        <v/>
      </c>
      <c r="N299" s="25">
        <f>I299 * (0.00664805 / 12) * 1.0</f>
        <v/>
      </c>
      <c r="O299" s="25">
        <f>I299 * (0.00400000 / 12) * 1.0</f>
        <v/>
      </c>
      <c r="P299" s="25">
        <f>I299 * (0.00500000 / 12) * 1.0</f>
        <v/>
      </c>
      <c r="Q299" s="25">
        <f>Q298 * (K299 / K298) + M299</f>
        <v/>
      </c>
      <c r="R299" s="25">
        <f>R298 * (K299 / K298) + N299</f>
        <v/>
      </c>
      <c r="S299" s="25">
        <f>S298 * (K299 / K298) + O299 + P299</f>
        <v/>
      </c>
      <c r="T299" s="22">
        <f>Q299 + R299 + S299</f>
        <v/>
      </c>
      <c r="U299" s="25">
        <f>MAX(0, -T299)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 t="n">
        <v>0</v>
      </c>
      <c r="J300" s="19" t="n">
        <v>0.2944547822311961</v>
      </c>
      <c r="K300" s="24">
        <f>1 / J300</f>
        <v/>
      </c>
      <c r="L300" s="24">
        <f>I300 * K300</f>
        <v/>
      </c>
      <c r="M300" s="24">
        <f>I300 * (0.01000000 / 12)</f>
        <v/>
      </c>
      <c r="N300" s="24">
        <f>I300 * (0.00664805 / 12) * 1.0</f>
        <v/>
      </c>
      <c r="O300" s="24">
        <f>I300 * (0.00400000 / 12) * 1.0</f>
        <v/>
      </c>
      <c r="P300" s="24">
        <f>I300 * (0.00500000 / 12) * 1.0</f>
        <v/>
      </c>
      <c r="Q300" s="24">
        <f>Q299 * (K300 / K299) + M300</f>
        <v/>
      </c>
      <c r="R300" s="24">
        <f>R299 * (K300 / K299) + N300</f>
        <v/>
      </c>
      <c r="S300" s="24">
        <f>S299 * (K300 / K299) + O300 + P300</f>
        <v/>
      </c>
      <c r="T300" s="20">
        <f>Q300 + R300 + S300</f>
        <v/>
      </c>
      <c r="U300" s="24">
        <f>MAX(0, -T300)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 t="n">
        <v>0</v>
      </c>
      <c r="J301" s="21" t="n">
        <v>0.293254968420865</v>
      </c>
      <c r="K301" s="25">
        <f>1 / J301</f>
        <v/>
      </c>
      <c r="L301" s="25">
        <f>I301 * K301</f>
        <v/>
      </c>
      <c r="M301" s="25">
        <f>I301 * (0.01000000 / 12)</f>
        <v/>
      </c>
      <c r="N301" s="25">
        <f>I301 * (0.00664805 / 12) * 1.0</f>
        <v/>
      </c>
      <c r="O301" s="25">
        <f>I301 * (0.00400000 / 12) * 1.0</f>
        <v/>
      </c>
      <c r="P301" s="25">
        <f>I301 * (0.00500000 / 12) * 1.0</f>
        <v/>
      </c>
      <c r="Q301" s="25">
        <f>Q300 * (K301 / K300) + M301</f>
        <v/>
      </c>
      <c r="R301" s="25">
        <f>R300 * (K301 / K300) + N301</f>
        <v/>
      </c>
      <c r="S301" s="25">
        <f>S300 * (K301 / K300) + O301 + P301</f>
        <v/>
      </c>
      <c r="T301" s="22">
        <f>Q301 + R301 + S301</f>
        <v/>
      </c>
      <c r="U301" s="25">
        <f>MAX(0, -T301)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 t="n">
        <v>0</v>
      </c>
      <c r="J302" s="19" t="n">
        <v>0.2920600434874219</v>
      </c>
      <c r="K302" s="24">
        <f>1 / J302</f>
        <v/>
      </c>
      <c r="L302" s="24">
        <f>I302 * K302</f>
        <v/>
      </c>
      <c r="M302" s="24">
        <f>I302 * (0.01000000 / 12)</f>
        <v/>
      </c>
      <c r="N302" s="24">
        <f>I302 * (0.00664805 / 12) * 1.0</f>
        <v/>
      </c>
      <c r="O302" s="24">
        <f>I302 * (0.00400000 / 12) * 1.0</f>
        <v/>
      </c>
      <c r="P302" s="24">
        <f>I302 * (0.00500000 / 12) * 1.0</f>
        <v/>
      </c>
      <c r="Q302" s="24">
        <f>Q301 * (K302 / K301) + M302</f>
        <v/>
      </c>
      <c r="R302" s="24">
        <f>R301 * (K302 / K301) + N302</f>
        <v/>
      </c>
      <c r="S302" s="24">
        <f>S301 * (K302 / K301) + O302 + P302</f>
        <v/>
      </c>
      <c r="T302" s="20">
        <f>Q302 + R302 + S302</f>
        <v/>
      </c>
      <c r="U302" s="24">
        <f>MAX(0, -T302)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 t="n">
        <v>0</v>
      </c>
      <c r="J303" s="21" t="n">
        <v>0.2908699875101785</v>
      </c>
      <c r="K303" s="25">
        <f>1 / J303</f>
        <v/>
      </c>
      <c r="L303" s="25">
        <f>I303 * K303</f>
        <v/>
      </c>
      <c r="M303" s="25">
        <f>I303 * (0.01000000 / 12)</f>
        <v/>
      </c>
      <c r="N303" s="25">
        <f>I303 * (0.00664805 / 12) * 1.0</f>
        <v/>
      </c>
      <c r="O303" s="25">
        <f>I303 * (0.00400000 / 12) * 1.0</f>
        <v/>
      </c>
      <c r="P303" s="25">
        <f>I303 * (0.00500000 / 12) * 1.0</f>
        <v/>
      </c>
      <c r="Q303" s="25">
        <f>Q302 * (K303 / K302) + M303</f>
        <v/>
      </c>
      <c r="R303" s="25">
        <f>R302 * (K303 / K302) + N303</f>
        <v/>
      </c>
      <c r="S303" s="25">
        <f>S302 * (K303 / K302) + O303 + P303</f>
        <v/>
      </c>
      <c r="T303" s="22">
        <f>Q303 + R303 + S303</f>
        <v/>
      </c>
      <c r="U303" s="25">
        <f>MAX(0, -T303)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 t="n">
        <v>0</v>
      </c>
      <c r="J304" s="19" t="n">
        <v>0.2896847806496169</v>
      </c>
      <c r="K304" s="24">
        <f>1 / J304</f>
        <v/>
      </c>
      <c r="L304" s="24">
        <f>I304 * K304</f>
        <v/>
      </c>
      <c r="M304" s="24">
        <f>I304 * (0.01000000 / 12)</f>
        <v/>
      </c>
      <c r="N304" s="24">
        <f>I304 * (0.00664805 / 12) * 1.0</f>
        <v/>
      </c>
      <c r="O304" s="24">
        <f>I304 * (0.00400000 / 12) * 1.0</f>
        <v/>
      </c>
      <c r="P304" s="24">
        <f>I304 * (0.00500000 / 12) * 1.0</f>
        <v/>
      </c>
      <c r="Q304" s="24">
        <f>Q303 * (K304 / K303) + M304</f>
        <v/>
      </c>
      <c r="R304" s="24">
        <f>R303 * (K304 / K303) + N304</f>
        <v/>
      </c>
      <c r="S304" s="24">
        <f>S303 * (K304 / K303) + O304 + P304</f>
        <v/>
      </c>
      <c r="T304" s="20">
        <f>Q304 + R304 + S304</f>
        <v/>
      </c>
      <c r="U304" s="24">
        <f>MAX(0, -T304)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 t="n">
        <v>0</v>
      </c>
      <c r="J305" s="21" t="n">
        <v>0.2885044031470594</v>
      </c>
      <c r="K305" s="25">
        <f>1 / J305</f>
        <v/>
      </c>
      <c r="L305" s="25">
        <f>I305 * K305</f>
        <v/>
      </c>
      <c r="M305" s="25">
        <f>I305 * (0.01000000 / 12)</f>
        <v/>
      </c>
      <c r="N305" s="25">
        <f>I305 * (0.00664805 / 12) * 1.0</f>
        <v/>
      </c>
      <c r="O305" s="25">
        <f>I305 * (0.00400000 / 12) * 1.0</f>
        <v/>
      </c>
      <c r="P305" s="25">
        <f>I305 * (0.00500000 / 12) * 1.0</f>
        <v/>
      </c>
      <c r="Q305" s="25">
        <f>Q304 * (K305 / K304) + M305</f>
        <v/>
      </c>
      <c r="R305" s="25">
        <f>R304 * (K305 / K304) + N305</f>
        <v/>
      </c>
      <c r="S305" s="25">
        <f>S304 * (K305 / K304) + O305 + P305</f>
        <v/>
      </c>
      <c r="T305" s="22">
        <f>Q305 + R305 + S305</f>
        <v/>
      </c>
      <c r="U305" s="25">
        <f>MAX(0, -T305)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 t="n">
        <v>0</v>
      </c>
      <c r="J306" s="19" t="n">
        <v>0.2873288353243388</v>
      </c>
      <c r="K306" s="24">
        <f>1 / J306</f>
        <v/>
      </c>
      <c r="L306" s="24">
        <f>I306 * K306</f>
        <v/>
      </c>
      <c r="M306" s="24">
        <f>I306 * (0.01000000 / 12)</f>
        <v/>
      </c>
      <c r="N306" s="24">
        <f>I306 * (0.00664805 / 12) * 1.0</f>
        <v/>
      </c>
      <c r="O306" s="24">
        <f>I306 * (0.00400000 / 12) * 1.0</f>
        <v/>
      </c>
      <c r="P306" s="24">
        <f>I306 * (0.00500000 / 12) * 1.0</f>
        <v/>
      </c>
      <c r="Q306" s="24">
        <f>Q305 * (K306 / K305) + M306</f>
        <v/>
      </c>
      <c r="R306" s="24">
        <f>R305 * (K306 / K305) + N306</f>
        <v/>
      </c>
      <c r="S306" s="24">
        <f>S305 * (K306 / K305) + O306 + P306</f>
        <v/>
      </c>
      <c r="T306" s="20">
        <f>Q306 + R306 + S306</f>
        <v/>
      </c>
      <c r="U306" s="24">
        <f>MAX(0, -T306)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 t="n">
        <v>0</v>
      </c>
      <c r="J307" s="21" t="n">
        <v>0.2861580575834705</v>
      </c>
      <c r="K307" s="25">
        <f>1 / J307</f>
        <v/>
      </c>
      <c r="L307" s="25">
        <f>I307 * K307</f>
        <v/>
      </c>
      <c r="M307" s="25">
        <f>I307 * (0.01000000 / 12)</f>
        <v/>
      </c>
      <c r="N307" s="25">
        <f>I307 * (0.00664805 / 12) * 1.0</f>
        <v/>
      </c>
      <c r="O307" s="25">
        <f>I307 * (0.00400000 / 12) * 1.0</f>
        <v/>
      </c>
      <c r="P307" s="25">
        <f>I307 * (0.00500000 / 12) * 1.0</f>
        <v/>
      </c>
      <c r="Q307" s="25">
        <f>Q306 * (K307 / K306) + M307</f>
        <v/>
      </c>
      <c r="R307" s="25">
        <f>R306 * (K307 / K306) + N307</f>
        <v/>
      </c>
      <c r="S307" s="25">
        <f>S306 * (K307 / K306) + O307 + P307</f>
        <v/>
      </c>
      <c r="T307" s="22">
        <f>Q307 + R307 + S307</f>
        <v/>
      </c>
      <c r="U307" s="25">
        <f>MAX(0, -T307)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 t="n">
        <v>0</v>
      </c>
      <c r="J308" s="19" t="n">
        <v>0.2849920504063257</v>
      </c>
      <c r="K308" s="24">
        <f>1 / J308</f>
        <v/>
      </c>
      <c r="L308" s="24">
        <f>I308 * K308</f>
        <v/>
      </c>
      <c r="M308" s="24">
        <f>I308 * (0.01000000 / 12)</f>
        <v/>
      </c>
      <c r="N308" s="24">
        <f>I308 * (0.00664805 / 12) * 1.0</f>
        <v/>
      </c>
      <c r="O308" s="24">
        <f>I308 * (0.00400000 / 12) * 1.0</f>
        <v/>
      </c>
      <c r="P308" s="24">
        <f>I308 * (0.00500000 / 12) * 1.0</f>
        <v/>
      </c>
      <c r="Q308" s="24">
        <f>Q307 * (K308 / K307) + M308</f>
        <v/>
      </c>
      <c r="R308" s="24">
        <f>R307 * (K308 / K307) + N308</f>
        <v/>
      </c>
      <c r="S308" s="24">
        <f>S307 * (K308 / K307) + O308 + P308</f>
        <v/>
      </c>
      <c r="T308" s="20">
        <f>Q308 + R308 + S308</f>
        <v/>
      </c>
      <c r="U308" s="24">
        <f>MAX(0, -T308)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 t="n">
        <v>0</v>
      </c>
      <c r="J309" s="21" t="n">
        <v>0.283830794354306</v>
      </c>
      <c r="K309" s="25">
        <f>1 / J309</f>
        <v/>
      </c>
      <c r="L309" s="25">
        <f>I309 * K309</f>
        <v/>
      </c>
      <c r="M309" s="25">
        <f>I309 * (0.01000000 / 12)</f>
        <v/>
      </c>
      <c r="N309" s="25">
        <f>I309 * (0.00664805 / 12) * 1.0</f>
        <v/>
      </c>
      <c r="O309" s="25">
        <f>I309 * (0.00400000 / 12) * 1.0</f>
        <v/>
      </c>
      <c r="P309" s="25">
        <f>I309 * (0.00500000 / 12) * 1.0</f>
        <v/>
      </c>
      <c r="Q309" s="25">
        <f>Q308 * (K309 / K308) + M309</f>
        <v/>
      </c>
      <c r="R309" s="25">
        <f>R308 * (K309 / K308) + N309</f>
        <v/>
      </c>
      <c r="S309" s="25">
        <f>S308 * (K309 / K308) + O309 + P309</f>
        <v/>
      </c>
      <c r="T309" s="22">
        <f>Q309 + R309 + S309</f>
        <v/>
      </c>
      <c r="U309" s="25">
        <f>MAX(0, -T309)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 t="n">
        <v>0</v>
      </c>
      <c r="J310" s="19" t="n">
        <v>0.2826742700680195</v>
      </c>
      <c r="K310" s="24">
        <f>1 / J310</f>
        <v/>
      </c>
      <c r="L310" s="24">
        <f>I310 * K310</f>
        <v/>
      </c>
      <c r="M310" s="24">
        <f>I310 * (0.01000000 / 12)</f>
        <v/>
      </c>
      <c r="N310" s="24">
        <f>I310 * (0.00664805 / 12) * 1.0</f>
        <v/>
      </c>
      <c r="O310" s="24">
        <f>I310 * (0.00400000 / 12) * 1.0</f>
        <v/>
      </c>
      <c r="P310" s="24">
        <f>I310 * (0.00500000 / 12) * 1.0</f>
        <v/>
      </c>
      <c r="Q310" s="24">
        <f>Q309 * (K310 / K309) + M310</f>
        <v/>
      </c>
      <c r="R310" s="24">
        <f>R309 * (K310 / K309) + N310</f>
        <v/>
      </c>
      <c r="S310" s="24">
        <f>S309 * (K310 / K309) + O310 + P310</f>
        <v/>
      </c>
      <c r="T310" s="20">
        <f>Q310 + R310 + S310</f>
        <v/>
      </c>
      <c r="U310" s="24">
        <f>MAX(0, -T310)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 t="n">
        <v>0</v>
      </c>
      <c r="J311" s="21" t="n">
        <v>0.281522458266958</v>
      </c>
      <c r="K311" s="25">
        <f>1 / J311</f>
        <v/>
      </c>
      <c r="L311" s="25">
        <f>I311 * K311</f>
        <v/>
      </c>
      <c r="M311" s="25">
        <f>I311 * (0.01000000 / 12)</f>
        <v/>
      </c>
      <c r="N311" s="25">
        <f>I311 * (0.00664805 / 12) * 1.0</f>
        <v/>
      </c>
      <c r="O311" s="25">
        <f>I311 * (0.00400000 / 12) * 1.0</f>
        <v/>
      </c>
      <c r="P311" s="25">
        <f>I311 * (0.00500000 / 12) * 1.0</f>
        <v/>
      </c>
      <c r="Q311" s="25">
        <f>Q310 * (K311 / K310) + M311</f>
        <v/>
      </c>
      <c r="R311" s="25">
        <f>R310 * (K311 / K310) + N311</f>
        <v/>
      </c>
      <c r="S311" s="25">
        <f>S310 * (K311 / K310) + O311 + P311</f>
        <v/>
      </c>
      <c r="T311" s="22">
        <f>Q311 + R311 + S311</f>
        <v/>
      </c>
      <c r="U311" s="25">
        <f>MAX(0, -T311)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 t="n">
        <v>0</v>
      </c>
      <c r="J312" s="19" t="n">
        <v>0.2803753397491753</v>
      </c>
      <c r="K312" s="24">
        <f>1 / J312</f>
        <v/>
      </c>
      <c r="L312" s="24">
        <f>I312 * K312</f>
        <v/>
      </c>
      <c r="M312" s="24">
        <f>I312 * (0.01000000 / 12)</f>
        <v/>
      </c>
      <c r="N312" s="24">
        <f>I312 * (0.00664805 / 12) * 1.0</f>
        <v/>
      </c>
      <c r="O312" s="24">
        <f>I312 * (0.00400000 / 12) * 1.0</f>
        <v/>
      </c>
      <c r="P312" s="24">
        <f>I312 * (0.00500000 / 12) * 1.0</f>
        <v/>
      </c>
      <c r="Q312" s="24">
        <f>Q311 * (K312 / K311) + M312</f>
        <v/>
      </c>
      <c r="R312" s="24">
        <f>R311 * (K312 / K311) + N312</f>
        <v/>
      </c>
      <c r="S312" s="24">
        <f>S311 * (K312 / K311) + O312 + P312</f>
        <v/>
      </c>
      <c r="T312" s="20">
        <f>Q312 + R312 + S312</f>
        <v/>
      </c>
      <c r="U312" s="24">
        <f>MAX(0, -T312)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 t="n">
        <v>0</v>
      </c>
      <c r="J313" s="21" t="n">
        <v>0.2792328953909674</v>
      </c>
      <c r="K313" s="25">
        <f>1 / J313</f>
        <v/>
      </c>
      <c r="L313" s="25">
        <f>I313 * K313</f>
        <v/>
      </c>
      <c r="M313" s="25">
        <f>I313 * (0.01000000 / 12)</f>
        <v/>
      </c>
      <c r="N313" s="25">
        <f>I313 * (0.00664805 / 12) * 1.0</f>
        <v/>
      </c>
      <c r="O313" s="25">
        <f>I313 * (0.00400000 / 12) * 1.0</f>
        <v/>
      </c>
      <c r="P313" s="25">
        <f>I313 * (0.00500000 / 12) * 1.0</f>
        <v/>
      </c>
      <c r="Q313" s="25">
        <f>Q312 * (K313 / K312) + M313</f>
        <v/>
      </c>
      <c r="R313" s="25">
        <f>R312 * (K313 / K312) + N313</f>
        <v/>
      </c>
      <c r="S313" s="25">
        <f>S312 * (K313 / K312) + O313 + P313</f>
        <v/>
      </c>
      <c r="T313" s="22">
        <f>Q313 + R313 + S313</f>
        <v/>
      </c>
      <c r="U313" s="25">
        <f>MAX(0, -T313)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 t="n">
        <v>0</v>
      </c>
      <c r="J314" s="19" t="n">
        <v>0.2780951061465536</v>
      </c>
      <c r="K314" s="24">
        <f>1 / J314</f>
        <v/>
      </c>
      <c r="L314" s="24">
        <f>I314 * K314</f>
        <v/>
      </c>
      <c r="M314" s="24">
        <f>I314 * (0.01000000 / 12)</f>
        <v/>
      </c>
      <c r="N314" s="24">
        <f>I314 * (0.00664805 / 12) * 1.0</f>
        <v/>
      </c>
      <c r="O314" s="24">
        <f>I314 * (0.00400000 / 12) * 1.0</f>
        <v/>
      </c>
      <c r="P314" s="24">
        <f>I314 * (0.00500000 / 12) * 1.0</f>
        <v/>
      </c>
      <c r="Q314" s="24">
        <f>Q313 * (K314 / K313) + M314</f>
        <v/>
      </c>
      <c r="R314" s="24">
        <f>R313 * (K314 / K313) + N314</f>
        <v/>
      </c>
      <c r="S314" s="24">
        <f>S313 * (K314 / K313) + O314 + P314</f>
        <v/>
      </c>
      <c r="T314" s="20">
        <f>Q314 + R314 + S314</f>
        <v/>
      </c>
      <c r="U314" s="24">
        <f>MAX(0, -T314)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 t="n">
        <v>0</v>
      </c>
      <c r="J315" s="21" t="n">
        <v>0.2769619530477591</v>
      </c>
      <c r="K315" s="25">
        <f>1 / J315</f>
        <v/>
      </c>
      <c r="L315" s="25">
        <f>I315 * K315</f>
        <v/>
      </c>
      <c r="M315" s="25">
        <f>I315 * (0.01000000 / 12)</f>
        <v/>
      </c>
      <c r="N315" s="25">
        <f>I315 * (0.00664805 / 12) * 1.0</f>
        <v/>
      </c>
      <c r="O315" s="25">
        <f>I315 * (0.00400000 / 12) * 1.0</f>
        <v/>
      </c>
      <c r="P315" s="25">
        <f>I315 * (0.00500000 / 12) * 1.0</f>
        <v/>
      </c>
      <c r="Q315" s="25">
        <f>Q314 * (K315 / K314) + M315</f>
        <v/>
      </c>
      <c r="R315" s="25">
        <f>R314 * (K315 / K314) + N315</f>
        <v/>
      </c>
      <c r="S315" s="25">
        <f>S314 * (K315 / K314) + O315 + P315</f>
        <v/>
      </c>
      <c r="T315" s="22">
        <f>Q315 + R315 + S315</f>
        <v/>
      </c>
      <c r="U315" s="25">
        <f>MAX(0, -T315)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 t="n">
        <v>0</v>
      </c>
      <c r="J316" s="19" t="n">
        <v>0.2758334172036984</v>
      </c>
      <c r="K316" s="24">
        <f>1 / J316</f>
        <v/>
      </c>
      <c r="L316" s="24">
        <f>I316 * K316</f>
        <v/>
      </c>
      <c r="M316" s="24">
        <f>I316 * (0.01000000 / 12)</f>
        <v/>
      </c>
      <c r="N316" s="24">
        <f>I316 * (0.00664805 / 12) * 1.0</f>
        <v/>
      </c>
      <c r="O316" s="24">
        <f>I316 * (0.00400000 / 12) * 1.0</f>
        <v/>
      </c>
      <c r="P316" s="24">
        <f>I316 * (0.00500000 / 12) * 1.0</f>
        <v/>
      </c>
      <c r="Q316" s="24">
        <f>Q315 * (K316 / K315) + M316</f>
        <v/>
      </c>
      <c r="R316" s="24">
        <f>R315 * (K316 / K315) + N316</f>
        <v/>
      </c>
      <c r="S316" s="24">
        <f>S315 * (K316 / K315) + O316 + P316</f>
        <v/>
      </c>
      <c r="T316" s="20">
        <f>Q316 + R316 + S316</f>
        <v/>
      </c>
      <c r="U316" s="24">
        <f>MAX(0, -T316)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 t="n">
        <v>0</v>
      </c>
      <c r="J317" s="21" t="n">
        <v>0.2747094798004607</v>
      </c>
      <c r="K317" s="25">
        <f>1 / J317</f>
        <v/>
      </c>
      <c r="L317" s="25">
        <f>I317 * K317</f>
        <v/>
      </c>
      <c r="M317" s="25">
        <f>I317 * (0.01000000 / 12)</f>
        <v/>
      </c>
      <c r="N317" s="25">
        <f>I317 * (0.00664805 / 12) * 1.0</f>
        <v/>
      </c>
      <c r="O317" s="25">
        <f>I317 * (0.00400000 / 12) * 1.0</f>
        <v/>
      </c>
      <c r="P317" s="25">
        <f>I317 * (0.00500000 / 12) * 1.0</f>
        <v/>
      </c>
      <c r="Q317" s="25">
        <f>Q316 * (K317 / K316) + M317</f>
        <v/>
      </c>
      <c r="R317" s="25">
        <f>R316 * (K317 / K316) + N317</f>
        <v/>
      </c>
      <c r="S317" s="25">
        <f>S316 * (K317 / K316) + O317 + P317</f>
        <v/>
      </c>
      <c r="T317" s="22">
        <f>Q317 + R317 + S317</f>
        <v/>
      </c>
      <c r="U317" s="25">
        <f>MAX(0, -T317)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 t="n">
        <v>0</v>
      </c>
      <c r="J318" s="19" t="n">
        <v>0.2735901221007963</v>
      </c>
      <c r="K318" s="24">
        <f>1 / J318</f>
        <v/>
      </c>
      <c r="L318" s="24">
        <f>I318 * K318</f>
        <v/>
      </c>
      <c r="M318" s="24">
        <f>I318 * (0.01000000 / 12)</f>
        <v/>
      </c>
      <c r="N318" s="24">
        <f>I318 * (0.00664805 / 12) * 1.0</f>
        <v/>
      </c>
      <c r="O318" s="24">
        <f>I318 * (0.00400000 / 12) * 1.0</f>
        <v/>
      </c>
      <c r="P318" s="24">
        <f>I318 * (0.00500000 / 12) * 1.0</f>
        <v/>
      </c>
      <c r="Q318" s="24">
        <f>Q317 * (K318 / K317) + M318</f>
        <v/>
      </c>
      <c r="R318" s="24">
        <f>R317 * (K318 / K317) + N318</f>
        <v/>
      </c>
      <c r="S318" s="24">
        <f>S317 * (K318 / K317) + O318 + P318</f>
        <v/>
      </c>
      <c r="T318" s="20">
        <f>Q318 + R318 + S318</f>
        <v/>
      </c>
      <c r="U318" s="24">
        <f>MAX(0, -T318)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 t="n">
        <v>0</v>
      </c>
      <c r="J319" s="21" t="n">
        <v>0.272475325443804</v>
      </c>
      <c r="K319" s="25">
        <f>1 / J319</f>
        <v/>
      </c>
      <c r="L319" s="25">
        <f>I319 * K319</f>
        <v/>
      </c>
      <c r="M319" s="25">
        <f>I319 * (0.01000000 / 12)</f>
        <v/>
      </c>
      <c r="N319" s="25">
        <f>I319 * (0.00664805 / 12) * 1.0</f>
        <v/>
      </c>
      <c r="O319" s="25">
        <f>I319 * (0.00400000 / 12) * 1.0</f>
        <v/>
      </c>
      <c r="P319" s="25">
        <f>I319 * (0.00500000 / 12) * 1.0</f>
        <v/>
      </c>
      <c r="Q319" s="25">
        <f>Q318 * (K319 / K318) + M319</f>
        <v/>
      </c>
      <c r="R319" s="25">
        <f>R318 * (K319 / K318) + N319</f>
        <v/>
      </c>
      <c r="S319" s="25">
        <f>S318 * (K319 / K318) + O319 + P319</f>
        <v/>
      </c>
      <c r="T319" s="22">
        <f>Q319 + R319 + S319</f>
        <v/>
      </c>
      <c r="U319" s="25">
        <f>MAX(0, -T319)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 t="n">
        <v>0</v>
      </c>
      <c r="J320" s="19" t="n">
        <v>0.2713650712446201</v>
      </c>
      <c r="K320" s="24">
        <f>1 / J320</f>
        <v/>
      </c>
      <c r="L320" s="24">
        <f>I320 * K320</f>
        <v/>
      </c>
      <c r="M320" s="24">
        <f>I320 * (0.01000000 / 12)</f>
        <v/>
      </c>
      <c r="N320" s="24">
        <f>I320 * (0.00664805 / 12) * 1.0</f>
        <v/>
      </c>
      <c r="O320" s="24">
        <f>I320 * (0.00400000 / 12) * 1.0</f>
        <v/>
      </c>
      <c r="P320" s="24">
        <f>I320 * (0.00500000 / 12) * 1.0</f>
        <v/>
      </c>
      <c r="Q320" s="24">
        <f>Q319 * (K320 / K319) + M320</f>
        <v/>
      </c>
      <c r="R320" s="24">
        <f>R319 * (K320 / K319) + N320</f>
        <v/>
      </c>
      <c r="S320" s="24">
        <f>S319 * (K320 / K319) + O320 + P320</f>
        <v/>
      </c>
      <c r="T320" s="20">
        <f>Q320 + R320 + S320</f>
        <v/>
      </c>
      <c r="U320" s="24">
        <f>MAX(0, -T320)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 t="n">
        <v>0</v>
      </c>
      <c r="J321" s="21" t="n">
        <v>0.2702593409941086</v>
      </c>
      <c r="K321" s="25">
        <f>1 / J321</f>
        <v/>
      </c>
      <c r="L321" s="25">
        <f>I321 * K321</f>
        <v/>
      </c>
      <c r="M321" s="25">
        <f>I321 * (0.01000000 / 12)</f>
        <v/>
      </c>
      <c r="N321" s="25">
        <f>I321 * (0.00664805 / 12) * 1.0</f>
        <v/>
      </c>
      <c r="O321" s="25">
        <f>I321 * (0.00400000 / 12) * 1.0</f>
        <v/>
      </c>
      <c r="P321" s="25">
        <f>I321 * (0.00500000 / 12) * 1.0</f>
        <v/>
      </c>
      <c r="Q321" s="25">
        <f>Q320 * (K321 / K320) + M321</f>
        <v/>
      </c>
      <c r="R321" s="25">
        <f>R320 * (K321 / K320) + N321</f>
        <v/>
      </c>
      <c r="S321" s="25">
        <f>S320 * (K321 / K320) + O321 + P321</f>
        <v/>
      </c>
      <c r="T321" s="22">
        <f>Q321 + R321 + S321</f>
        <v/>
      </c>
      <c r="U321" s="25">
        <f>MAX(0, -T321)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 t="n">
        <v>0</v>
      </c>
      <c r="J322" s="19" t="n">
        <v>0.2691581162585527</v>
      </c>
      <c r="K322" s="24">
        <f>1 / J322</f>
        <v/>
      </c>
      <c r="L322" s="24">
        <f>I322 * K322</f>
        <v/>
      </c>
      <c r="M322" s="24">
        <f>I322 * (0.01000000 / 12)</f>
        <v/>
      </c>
      <c r="N322" s="24">
        <f>I322 * (0.00664805 / 12) * 1.0</f>
        <v/>
      </c>
      <c r="O322" s="24">
        <f>I322 * (0.00400000 / 12) * 1.0</f>
        <v/>
      </c>
      <c r="P322" s="24">
        <f>I322 * (0.00500000 / 12) * 1.0</f>
        <v/>
      </c>
      <c r="Q322" s="24">
        <f>Q321 * (K322 / K321) + M322</f>
        <v/>
      </c>
      <c r="R322" s="24">
        <f>R321 * (K322 / K321) + N322</f>
        <v/>
      </c>
      <c r="S322" s="24">
        <f>S321 * (K322 / K321) + O322 + P322</f>
        <v/>
      </c>
      <c r="T322" s="20">
        <f>Q322 + R322 + S322</f>
        <v/>
      </c>
      <c r="U322" s="24">
        <f>MAX(0, -T322)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 t="n">
        <v>0</v>
      </c>
      <c r="J323" s="21" t="n">
        <v>0.2680613786793472</v>
      </c>
      <c r="K323" s="25">
        <f>1 / J323</f>
        <v/>
      </c>
      <c r="L323" s="25">
        <f>I323 * K323</f>
        <v/>
      </c>
      <c r="M323" s="25">
        <f>I323 * (0.01000000 / 12)</f>
        <v/>
      </c>
      <c r="N323" s="25">
        <f>I323 * (0.00664805 / 12) * 1.0</f>
        <v/>
      </c>
      <c r="O323" s="25">
        <f>I323 * (0.00400000 / 12) * 1.0</f>
        <v/>
      </c>
      <c r="P323" s="25">
        <f>I323 * (0.00500000 / 12) * 1.0</f>
        <v/>
      </c>
      <c r="Q323" s="25">
        <f>Q322 * (K323 / K322) + M323</f>
        <v/>
      </c>
      <c r="R323" s="25">
        <f>R322 * (K323 / K322) + N323</f>
        <v/>
      </c>
      <c r="S323" s="25">
        <f>S322 * (K323 / K322) + O323 + P323</f>
        <v/>
      </c>
      <c r="T323" s="22">
        <f>Q323 + R323 + S323</f>
        <v/>
      </c>
      <c r="U323" s="25">
        <f>MAX(0, -T323)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 t="n">
        <v>0</v>
      </c>
      <c r="J324" s="19" t="n">
        <v>0.2669691099726926</v>
      </c>
      <c r="K324" s="24">
        <f>1 / J324</f>
        <v/>
      </c>
      <c r="L324" s="24">
        <f>I324 * K324</f>
        <v/>
      </c>
      <c r="M324" s="24">
        <f>I324 * (0.01000000 / 12)</f>
        <v/>
      </c>
      <c r="N324" s="24">
        <f>I324 * (0.00664805 / 12) * 1.0</f>
        <v/>
      </c>
      <c r="O324" s="24">
        <f>I324 * (0.00400000 / 12) * 1.0</f>
        <v/>
      </c>
      <c r="P324" s="24">
        <f>I324 * (0.00500000 / 12) * 1.0</f>
        <v/>
      </c>
      <c r="Q324" s="24">
        <f>Q323 * (K324 / K323) + M324</f>
        <v/>
      </c>
      <c r="R324" s="24">
        <f>R323 * (K324 / K323) + N324</f>
        <v/>
      </c>
      <c r="S324" s="24">
        <f>S323 * (K324 / K323) + O324 + P324</f>
        <v/>
      </c>
      <c r="T324" s="20">
        <f>Q324 + R324 + S324</f>
        <v/>
      </c>
      <c r="U324" s="24">
        <f>MAX(0, -T324)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 t="n">
        <v>0</v>
      </c>
      <c r="J325" s="21" t="n">
        <v>0.2658812919292908</v>
      </c>
      <c r="K325" s="25">
        <f>1 / J325</f>
        <v/>
      </c>
      <c r="L325" s="25">
        <f>I325 * K325</f>
        <v/>
      </c>
      <c r="M325" s="25">
        <f>I325 * (0.01000000 / 12)</f>
        <v/>
      </c>
      <c r="N325" s="25">
        <f>I325 * (0.00664805 / 12) * 1.0</f>
        <v/>
      </c>
      <c r="O325" s="25">
        <f>I325 * (0.00400000 / 12) * 1.0</f>
        <v/>
      </c>
      <c r="P325" s="25">
        <f>I325 * (0.00500000 / 12) * 1.0</f>
        <v/>
      </c>
      <c r="Q325" s="25">
        <f>Q324 * (K325 / K324) + M325</f>
        <v/>
      </c>
      <c r="R325" s="25">
        <f>R324 * (K325 / K324) + N325</f>
        <v/>
      </c>
      <c r="S325" s="25">
        <f>S324 * (K325 / K324) + O325 + P325</f>
        <v/>
      </c>
      <c r="T325" s="22">
        <f>Q325 + R325 + S325</f>
        <v/>
      </c>
      <c r="U325" s="25">
        <f>MAX(0, -T325)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 t="n">
        <v>0</v>
      </c>
      <c r="J326" s="19" t="n">
        <v>0.2647979064140404</v>
      </c>
      <c r="K326" s="24">
        <f>1 / J326</f>
        <v/>
      </c>
      <c r="L326" s="24">
        <f>I326 * K326</f>
        <v/>
      </c>
      <c r="M326" s="24">
        <f>I326 * (0.01000000 / 12)</f>
        <v/>
      </c>
      <c r="N326" s="24">
        <f>I326 * (0.00664805 / 12) * 1.0</f>
        <v/>
      </c>
      <c r="O326" s="24">
        <f>I326 * (0.00400000 / 12) * 1.0</f>
        <v/>
      </c>
      <c r="P326" s="24">
        <f>I326 * (0.00500000 / 12) * 1.0</f>
        <v/>
      </c>
      <c r="Q326" s="24">
        <f>Q325 * (K326 / K325) + M326</f>
        <v/>
      </c>
      <c r="R326" s="24">
        <f>R325 * (K326 / K325) + N326</f>
        <v/>
      </c>
      <c r="S326" s="24">
        <f>S325 * (K326 / K325) + O326 + P326</f>
        <v/>
      </c>
      <c r="T326" s="20">
        <f>Q326 + R326 + S326</f>
        <v/>
      </c>
      <c r="U326" s="24">
        <f>MAX(0, -T326)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 t="n">
        <v>0</v>
      </c>
      <c r="J327" s="21" t="n">
        <v>0.2637189353657357</v>
      </c>
      <c r="K327" s="25">
        <f>1 / J327</f>
        <v/>
      </c>
      <c r="L327" s="25">
        <f>I327 * K327</f>
        <v/>
      </c>
      <c r="M327" s="25">
        <f>I327 * (0.01000000 / 12)</f>
        <v/>
      </c>
      <c r="N327" s="25">
        <f>I327 * (0.00664805 / 12) * 1.0</f>
        <v/>
      </c>
      <c r="O327" s="25">
        <f>I327 * (0.00400000 / 12) * 1.0</f>
        <v/>
      </c>
      <c r="P327" s="25">
        <f>I327 * (0.00500000 / 12) * 1.0</f>
        <v/>
      </c>
      <c r="Q327" s="25">
        <f>Q326 * (K327 / K326) + M327</f>
        <v/>
      </c>
      <c r="R327" s="25">
        <f>R326 * (K327 / K326) + N327</f>
        <v/>
      </c>
      <c r="S327" s="25">
        <f>S326 * (K327 / K326) + O327 + P327</f>
        <v/>
      </c>
      <c r="T327" s="22">
        <f>Q327 + R327 + S327</f>
        <v/>
      </c>
      <c r="U327" s="25">
        <f>MAX(0, -T327)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 t="n">
        <v>0</v>
      </c>
      <c r="J328" s="19" t="n">
        <v>0.2626443607967643</v>
      </c>
      <c r="K328" s="24">
        <f>1 / J328</f>
        <v/>
      </c>
      <c r="L328" s="24">
        <f>I328 * K328</f>
        <v/>
      </c>
      <c r="M328" s="24">
        <f>I328 * (0.01000000 / 12)</f>
        <v/>
      </c>
      <c r="N328" s="24">
        <f>I328 * (0.00664805 / 12) * 1.0</f>
        <v/>
      </c>
      <c r="O328" s="24">
        <f>I328 * (0.00400000 / 12) * 1.0</f>
        <v/>
      </c>
      <c r="P328" s="24">
        <f>I328 * (0.00500000 / 12) * 1.0</f>
        <v/>
      </c>
      <c r="Q328" s="24">
        <f>Q327 * (K328 / K327) + M328</f>
        <v/>
      </c>
      <c r="R328" s="24">
        <f>R327 * (K328 / K327) + N328</f>
        <v/>
      </c>
      <c r="S328" s="24">
        <f>S327 * (K328 / K327) + O328 + P328</f>
        <v/>
      </c>
      <c r="T328" s="20">
        <f>Q328 + R328 + S328</f>
        <v/>
      </c>
      <c r="U328" s="24">
        <f>MAX(0, -T328)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 t="n">
        <v>0</v>
      </c>
      <c r="J329" s="21" t="n">
        <v>0.2615741647928083</v>
      </c>
      <c r="K329" s="25">
        <f>1 / J329</f>
        <v/>
      </c>
      <c r="L329" s="25">
        <f>I329 * K329</f>
        <v/>
      </c>
      <c r="M329" s="25">
        <f>I329 * (0.01000000 / 12)</f>
        <v/>
      </c>
      <c r="N329" s="25">
        <f>I329 * (0.00664805 / 12) * 1.0</f>
        <v/>
      </c>
      <c r="O329" s="25">
        <f>I329 * (0.00400000 / 12) * 1.0</f>
        <v/>
      </c>
      <c r="P329" s="25">
        <f>I329 * (0.00500000 / 12) * 1.0</f>
        <v/>
      </c>
      <c r="Q329" s="25">
        <f>Q328 * (K329 / K328) + M329</f>
        <v/>
      </c>
      <c r="R329" s="25">
        <f>R328 * (K329 / K328) + N329</f>
        <v/>
      </c>
      <c r="S329" s="25">
        <f>S328 * (K329 / K328) + O329 + P329</f>
        <v/>
      </c>
      <c r="T329" s="22">
        <f>Q329 + R329 + S329</f>
        <v/>
      </c>
      <c r="U329" s="25">
        <f>MAX(0, -T329)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 t="n">
        <v>0</v>
      </c>
      <c r="J330" s="19" t="n">
        <v>0.2605083295125449</v>
      </c>
      <c r="K330" s="24">
        <f>1 / J330</f>
        <v/>
      </c>
      <c r="L330" s="24">
        <f>I330 * K330</f>
        <v/>
      </c>
      <c r="M330" s="24">
        <f>I330 * (0.01000000 / 12)</f>
        <v/>
      </c>
      <c r="N330" s="24">
        <f>I330 * (0.00664805 / 12) * 1.0</f>
        <v/>
      </c>
      <c r="O330" s="24">
        <f>I330 * (0.00400000 / 12) * 1.0</f>
        <v/>
      </c>
      <c r="P330" s="24">
        <f>I330 * (0.00500000 / 12) * 1.0</f>
        <v/>
      </c>
      <c r="Q330" s="24">
        <f>Q329 * (K330 / K329) + M330</f>
        <v/>
      </c>
      <c r="R330" s="24">
        <f>R329 * (K330 / K329) + N330</f>
        <v/>
      </c>
      <c r="S330" s="24">
        <f>S329 * (K330 / K329) + O330 + P330</f>
        <v/>
      </c>
      <c r="T330" s="20">
        <f>Q330 + R330 + S330</f>
        <v/>
      </c>
      <c r="U330" s="24">
        <f>MAX(0, -T330)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 t="n">
        <v>0</v>
      </c>
      <c r="J331" s="21" t="n">
        <v>0.2594468371873497</v>
      </c>
      <c r="K331" s="25">
        <f>1 / J331</f>
        <v/>
      </c>
      <c r="L331" s="25">
        <f>I331 * K331</f>
        <v/>
      </c>
      <c r="M331" s="25">
        <f>I331 * (0.01000000 / 12)</f>
        <v/>
      </c>
      <c r="N331" s="25">
        <f>I331 * (0.00664805 / 12) * 1.0</f>
        <v/>
      </c>
      <c r="O331" s="25">
        <f>I331 * (0.00400000 / 12) * 1.0</f>
        <v/>
      </c>
      <c r="P331" s="25">
        <f>I331 * (0.00500000 / 12) * 1.0</f>
        <v/>
      </c>
      <c r="Q331" s="25">
        <f>Q330 * (K331 / K330) + M331</f>
        <v/>
      </c>
      <c r="R331" s="25">
        <f>R330 * (K331 / K330) + N331</f>
        <v/>
      </c>
      <c r="S331" s="25">
        <f>S330 * (K331 / K330) + O331 + P331</f>
        <v/>
      </c>
      <c r="T331" s="22">
        <f>Q331 + R331 + S331</f>
        <v/>
      </c>
      <c r="U331" s="25">
        <f>MAX(0, -T331)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 t="n">
        <v>0</v>
      </c>
      <c r="J332" s="19" t="n">
        <v>0.2583896701209995</v>
      </c>
      <c r="K332" s="24">
        <f>1 / J332</f>
        <v/>
      </c>
      <c r="L332" s="24">
        <f>I332 * K332</f>
        <v/>
      </c>
      <c r="M332" s="24">
        <f>I332 * (0.01000000 / 12)</f>
        <v/>
      </c>
      <c r="N332" s="24">
        <f>I332 * (0.00664805 / 12) * 1.0</f>
        <v/>
      </c>
      <c r="O332" s="24">
        <f>I332 * (0.00400000 / 12) * 1.0</f>
        <v/>
      </c>
      <c r="P332" s="24">
        <f>I332 * (0.00500000 / 12) * 1.0</f>
        <v/>
      </c>
      <c r="Q332" s="24">
        <f>Q331 * (K332 / K331) + M332</f>
        <v/>
      </c>
      <c r="R332" s="24">
        <f>R331 * (K332 / K331) + N332</f>
        <v/>
      </c>
      <c r="S332" s="24">
        <f>S331 * (K332 / K331) + O332 + P332</f>
        <v/>
      </c>
      <c r="T332" s="20">
        <f>Q332 + R332 + S332</f>
        <v/>
      </c>
      <c r="U332" s="24">
        <f>MAX(0, -T332)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 t="n">
        <v>0</v>
      </c>
      <c r="J333" s="21" t="n">
        <v>0.2573368106893782</v>
      </c>
      <c r="K333" s="25">
        <f>1 / J333</f>
        <v/>
      </c>
      <c r="L333" s="25">
        <f>I333 * K333</f>
        <v/>
      </c>
      <c r="M333" s="25">
        <f>I333 * (0.01000000 / 12)</f>
        <v/>
      </c>
      <c r="N333" s="25">
        <f>I333 * (0.00664805 / 12) * 1.0</f>
        <v/>
      </c>
      <c r="O333" s="25">
        <f>I333 * (0.00400000 / 12) * 1.0</f>
        <v/>
      </c>
      <c r="P333" s="25">
        <f>I333 * (0.00500000 / 12) * 1.0</f>
        <v/>
      </c>
      <c r="Q333" s="25">
        <f>Q332 * (K333 / K332) + M333</f>
        <v/>
      </c>
      <c r="R333" s="25">
        <f>R332 * (K333 / K332) + N333</f>
        <v/>
      </c>
      <c r="S333" s="25">
        <f>S332 * (K333 / K332) + O333 + P333</f>
        <v/>
      </c>
      <c r="T333" s="22">
        <f>Q333 + R333 + S333</f>
        <v/>
      </c>
      <c r="U333" s="25">
        <f>MAX(0, -T333)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 t="n">
        <v>0</v>
      </c>
      <c r="J334" s="19" t="n">
        <v>0.2562882413401826</v>
      </c>
      <c r="K334" s="24">
        <f>1 / J334</f>
        <v/>
      </c>
      <c r="L334" s="24">
        <f>I334 * K334</f>
        <v/>
      </c>
      <c r="M334" s="24">
        <f>I334 * (0.01000000 / 12)</f>
        <v/>
      </c>
      <c r="N334" s="24">
        <f>I334 * (0.00664805 / 12) * 1.0</f>
        <v/>
      </c>
      <c r="O334" s="24">
        <f>I334 * (0.00400000 / 12) * 1.0</f>
        <v/>
      </c>
      <c r="P334" s="24">
        <f>I334 * (0.00500000 / 12) * 1.0</f>
        <v/>
      </c>
      <c r="Q334" s="24">
        <f>Q333 * (K334 / K333) + M334</f>
        <v/>
      </c>
      <c r="R334" s="24">
        <f>R333 * (K334 / K333) + N334</f>
        <v/>
      </c>
      <c r="S334" s="24">
        <f>S333 * (K334 / K333) + O334 + P334</f>
        <v/>
      </c>
      <c r="T334" s="20">
        <f>Q334 + R334 + S334</f>
        <v/>
      </c>
      <c r="U334" s="24">
        <f>MAX(0, -T334)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 t="n">
        <v>0</v>
      </c>
      <c r="J335" s="21" t="n">
        <v>0.2552439445926297</v>
      </c>
      <c r="K335" s="25">
        <f>1 / J335</f>
        <v/>
      </c>
      <c r="L335" s="25">
        <f>I335 * K335</f>
        <v/>
      </c>
      <c r="M335" s="25">
        <f>I335 * (0.01000000 / 12)</f>
        <v/>
      </c>
      <c r="N335" s="25">
        <f>I335 * (0.00664805 / 12) * 1.0</f>
        <v/>
      </c>
      <c r="O335" s="25">
        <f>I335 * (0.00400000 / 12) * 1.0</f>
        <v/>
      </c>
      <c r="P335" s="25">
        <f>I335 * (0.00500000 / 12) * 1.0</f>
        <v/>
      </c>
      <c r="Q335" s="25">
        <f>Q334 * (K335 / K334) + M335</f>
        <v/>
      </c>
      <c r="R335" s="25">
        <f>R334 * (K335 / K334) + N335</f>
        <v/>
      </c>
      <c r="S335" s="25">
        <f>S334 * (K335 / K334) + O335 + P335</f>
        <v/>
      </c>
      <c r="T335" s="22">
        <f>Q335 + R335 + S335</f>
        <v/>
      </c>
      <c r="U335" s="25">
        <f>MAX(0, -T335)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 t="n">
        <v>0</v>
      </c>
      <c r="J336" s="19" t="n">
        <v>0.2542039030371654</v>
      </c>
      <c r="K336" s="24">
        <f>1 / J336</f>
        <v/>
      </c>
      <c r="L336" s="24">
        <f>I336 * K336</f>
        <v/>
      </c>
      <c r="M336" s="24">
        <f>I336 * (0.01000000 / 12)</f>
        <v/>
      </c>
      <c r="N336" s="24">
        <f>I336 * (0.00664805 / 12) * 1.0</f>
        <v/>
      </c>
      <c r="O336" s="24">
        <f>I336 * (0.00400000 / 12) * 1.0</f>
        <v/>
      </c>
      <c r="P336" s="24">
        <f>I336 * (0.00500000 / 12) * 1.0</f>
        <v/>
      </c>
      <c r="Q336" s="24">
        <f>Q335 * (K336 / K335) + M336</f>
        <v/>
      </c>
      <c r="R336" s="24">
        <f>R335 * (K336 / K335) + N336</f>
        <v/>
      </c>
      <c r="S336" s="24">
        <f>S335 * (K336 / K335) + O336 + P336</f>
        <v/>
      </c>
      <c r="T336" s="20">
        <f>Q336 + R336 + S336</f>
        <v/>
      </c>
      <c r="U336" s="24">
        <f>MAX(0, -T336)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 t="n">
        <v>0</v>
      </c>
      <c r="J337" s="21" t="n">
        <v>0.2531680993351742</v>
      </c>
      <c r="K337" s="25">
        <f>1 / J337</f>
        <v/>
      </c>
      <c r="L337" s="25">
        <f>I337 * K337</f>
        <v/>
      </c>
      <c r="M337" s="25">
        <f>I337 * (0.01000000 / 12)</f>
        <v/>
      </c>
      <c r="N337" s="25">
        <f>I337 * (0.00664805 / 12) * 1.0</f>
        <v/>
      </c>
      <c r="O337" s="25">
        <f>I337 * (0.00400000 / 12) * 1.0</f>
        <v/>
      </c>
      <c r="P337" s="25">
        <f>I337 * (0.00500000 / 12) * 1.0</f>
        <v/>
      </c>
      <c r="Q337" s="25">
        <f>Q336 * (K337 / K336) + M337</f>
        <v/>
      </c>
      <c r="R337" s="25">
        <f>R336 * (K337 / K336) + N337</f>
        <v/>
      </c>
      <c r="S337" s="25">
        <f>S336 * (K337 / K336) + O337 + P337</f>
        <v/>
      </c>
      <c r="T337" s="22">
        <f>Q337 + R337 + S337</f>
        <v/>
      </c>
      <c r="U337" s="25">
        <f>MAX(0, -T337)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 t="n">
        <v>0</v>
      </c>
      <c r="J338" s="19" t="n">
        <v>0.2521365162186903</v>
      </c>
      <c r="K338" s="24">
        <f>1 / J338</f>
        <v/>
      </c>
      <c r="L338" s="24">
        <f>I338 * K338</f>
        <v/>
      </c>
      <c r="M338" s="24">
        <f>I338 * (0.01000000 / 12)</f>
        <v/>
      </c>
      <c r="N338" s="24">
        <f>I338 * (0.00664805 / 12) * 1.0</f>
        <v/>
      </c>
      <c r="O338" s="24">
        <f>I338 * (0.00400000 / 12) * 1.0</f>
        <v/>
      </c>
      <c r="P338" s="24">
        <f>I338 * (0.00500000 / 12) * 1.0</f>
        <v/>
      </c>
      <c r="Q338" s="24">
        <f>Q337 * (K338 / K337) + M338</f>
        <v/>
      </c>
      <c r="R338" s="24">
        <f>R337 * (K338 / K337) + N338</f>
        <v/>
      </c>
      <c r="S338" s="24">
        <f>S337 * (K338 / K337) + O338 + P338</f>
        <v/>
      </c>
      <c r="T338" s="20">
        <f>Q338 + R338 + S338</f>
        <v/>
      </c>
      <c r="U338" s="24">
        <f>MAX(0, -T338)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 t="n">
        <v>0</v>
      </c>
      <c r="J339" s="21" t="n">
        <v>0.2511091364901096</v>
      </c>
      <c r="K339" s="25">
        <f>1 / J339</f>
        <v/>
      </c>
      <c r="L339" s="25">
        <f>I339 * K339</f>
        <v/>
      </c>
      <c r="M339" s="25">
        <f>I339 * (0.01000000 / 12)</f>
        <v/>
      </c>
      <c r="N339" s="25">
        <f>I339 * (0.00664805 / 12) * 1.0</f>
        <v/>
      </c>
      <c r="O339" s="25">
        <f>I339 * (0.00400000 / 12) * 1.0</f>
        <v/>
      </c>
      <c r="P339" s="25">
        <f>I339 * (0.00500000 / 12) * 1.0</f>
        <v/>
      </c>
      <c r="Q339" s="25">
        <f>Q338 * (K339 / K338) + M339</f>
        <v/>
      </c>
      <c r="R339" s="25">
        <f>R338 * (K339 / K338) + N339</f>
        <v/>
      </c>
      <c r="S339" s="25">
        <f>S338 * (K339 / K338) + O339 + P339</f>
        <v/>
      </c>
      <c r="T339" s="22">
        <f>Q339 + R339 + S339</f>
        <v/>
      </c>
      <c r="U339" s="25">
        <f>MAX(0, -T339)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 t="n">
        <v>0</v>
      </c>
      <c r="J340" s="19" t="n">
        <v>0.250085943021903</v>
      </c>
      <c r="K340" s="24">
        <f>1 / J340</f>
        <v/>
      </c>
      <c r="L340" s="24">
        <f>I340 * K340</f>
        <v/>
      </c>
      <c r="M340" s="24">
        <f>I340 * (0.01000000 / 12)</f>
        <v/>
      </c>
      <c r="N340" s="24">
        <f>I340 * (0.00664805 / 12) * 1.0</f>
        <v/>
      </c>
      <c r="O340" s="24">
        <f>I340 * (0.00400000 / 12) * 1.0</f>
        <v/>
      </c>
      <c r="P340" s="24">
        <f>I340 * (0.00500000 / 12) * 1.0</f>
        <v/>
      </c>
      <c r="Q340" s="24">
        <f>Q339 * (K340 / K339) + M340</f>
        <v/>
      </c>
      <c r="R340" s="24">
        <f>R339 * (K340 / K339) + N340</f>
        <v/>
      </c>
      <c r="S340" s="24">
        <f>S339 * (K340 / K339) + O340 + P340</f>
        <v/>
      </c>
      <c r="T340" s="20">
        <f>Q340 + R340 + S340</f>
        <v/>
      </c>
      <c r="U340" s="24">
        <f>MAX(0, -T340)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 t="n">
        <v>0</v>
      </c>
      <c r="J341" s="21" t="n">
        <v>0.2490669187563307</v>
      </c>
      <c r="K341" s="25">
        <f>1 / J341</f>
        <v/>
      </c>
      <c r="L341" s="25">
        <f>I341 * K341</f>
        <v/>
      </c>
      <c r="M341" s="25">
        <f>I341 * (0.01000000 / 12)</f>
        <v/>
      </c>
      <c r="N341" s="25">
        <f>I341 * (0.00664805 / 12) * 1.0</f>
        <v/>
      </c>
      <c r="O341" s="25">
        <f>I341 * (0.00400000 / 12) * 1.0</f>
        <v/>
      </c>
      <c r="P341" s="25">
        <f>I341 * (0.00500000 / 12) * 1.0</f>
        <v/>
      </c>
      <c r="Q341" s="25">
        <f>Q340 * (K341 / K340) + M341</f>
        <v/>
      </c>
      <c r="R341" s="25">
        <f>R340 * (K341 / K340) + N341</f>
        <v/>
      </c>
      <c r="S341" s="25">
        <f>S340 * (K341 / K340) + O341 + P341</f>
        <v/>
      </c>
      <c r="T341" s="22">
        <f>Q341 + R341 + S341</f>
        <v/>
      </c>
      <c r="U341" s="25">
        <f>MAX(0, -T341)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 t="n">
        <v>0</v>
      </c>
      <c r="J342" s="19" t="n">
        <v>0.2480520467051584</v>
      </c>
      <c r="K342" s="24">
        <f>1 / J342</f>
        <v/>
      </c>
      <c r="L342" s="24">
        <f>I342 * K342</f>
        <v/>
      </c>
      <c r="M342" s="24">
        <f>I342 * (0.01000000 / 12)</f>
        <v/>
      </c>
      <c r="N342" s="24">
        <f>I342 * (0.00664805 / 12) * 1.0</f>
        <v/>
      </c>
      <c r="O342" s="24">
        <f>I342 * (0.00400000 / 12) * 1.0</f>
        <v/>
      </c>
      <c r="P342" s="24">
        <f>I342 * (0.00500000 / 12) * 1.0</f>
        <v/>
      </c>
      <c r="Q342" s="24">
        <f>Q341 * (K342 / K341) + M342</f>
        <v/>
      </c>
      <c r="R342" s="24">
        <f>R341 * (K342 / K341) + N342</f>
        <v/>
      </c>
      <c r="S342" s="24">
        <f>S341 * (K342 / K341) + O342 + P342</f>
        <v/>
      </c>
      <c r="T342" s="20">
        <f>Q342 + R342 + S342</f>
        <v/>
      </c>
      <c r="U342" s="24">
        <f>MAX(0, -T342)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 t="n">
        <v>0</v>
      </c>
      <c r="J343" s="21" t="n">
        <v>0.2470413099493733</v>
      </c>
      <c r="K343" s="25">
        <f>1 / J343</f>
        <v/>
      </c>
      <c r="L343" s="25">
        <f>I343 * K343</f>
        <v/>
      </c>
      <c r="M343" s="25">
        <f>I343 * (0.01000000 / 12)</f>
        <v/>
      </c>
      <c r="N343" s="25">
        <f>I343 * (0.00664805 / 12) * 1.0</f>
        <v/>
      </c>
      <c r="O343" s="25">
        <f>I343 * (0.00400000 / 12) * 1.0</f>
        <v/>
      </c>
      <c r="P343" s="25">
        <f>I343 * (0.00500000 / 12) * 1.0</f>
        <v/>
      </c>
      <c r="Q343" s="25">
        <f>Q342 * (K343 / K342) + M343</f>
        <v/>
      </c>
      <c r="R343" s="25">
        <f>R342 * (K343 / K342) + N343</f>
        <v/>
      </c>
      <c r="S343" s="25">
        <f>S342 * (K343 / K342) + O343 + P343</f>
        <v/>
      </c>
      <c r="T343" s="22">
        <f>Q343 + R343 + S343</f>
        <v/>
      </c>
      <c r="U343" s="25">
        <f>MAX(0, -T343)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 t="n">
        <v>0</v>
      </c>
      <c r="J344" s="19" t="n">
        <v>0.2460346916389026</v>
      </c>
      <c r="K344" s="24">
        <f>1 / J344</f>
        <v/>
      </c>
      <c r="L344" s="24">
        <f>I344 * K344</f>
        <v/>
      </c>
      <c r="M344" s="24">
        <f>I344 * (0.01000000 / 12)</f>
        <v/>
      </c>
      <c r="N344" s="24">
        <f>I344 * (0.00664805 / 12) * 1.0</f>
        <v/>
      </c>
      <c r="O344" s="24">
        <f>I344 * (0.00400000 / 12) * 1.0</f>
        <v/>
      </c>
      <c r="P344" s="24">
        <f>I344 * (0.00500000 / 12) * 1.0</f>
        <v/>
      </c>
      <c r="Q344" s="24">
        <f>Q343 * (K344 / K343) + M344</f>
        <v/>
      </c>
      <c r="R344" s="24">
        <f>R343 * (K344 / K343) + N344</f>
        <v/>
      </c>
      <c r="S344" s="24">
        <f>S343 * (K344 / K343) + O344 + P344</f>
        <v/>
      </c>
      <c r="T344" s="20">
        <f>Q344 + R344 + S344</f>
        <v/>
      </c>
      <c r="U344" s="24">
        <f>MAX(0, -T344)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 t="n">
        <v>0</v>
      </c>
      <c r="J345" s="21" t="n">
        <v>0.2450321749923326</v>
      </c>
      <c r="K345" s="25">
        <f>1 / J345</f>
        <v/>
      </c>
      <c r="L345" s="25">
        <f>I345 * K345</f>
        <v/>
      </c>
      <c r="M345" s="25">
        <f>I345 * (0.01000000 / 12)</f>
        <v/>
      </c>
      <c r="N345" s="25">
        <f>I345 * (0.00664805 / 12) * 1.0</f>
        <v/>
      </c>
      <c r="O345" s="25">
        <f>I345 * (0.00400000 / 12) * 1.0</f>
        <v/>
      </c>
      <c r="P345" s="25">
        <f>I345 * (0.00500000 / 12) * 1.0</f>
        <v/>
      </c>
      <c r="Q345" s="25">
        <f>Q344 * (K345 / K344) + M345</f>
        <v/>
      </c>
      <c r="R345" s="25">
        <f>R344 * (K345 / K344) + N345</f>
        <v/>
      </c>
      <c r="S345" s="25">
        <f>S344 * (K345 / K344) + O345 + P345</f>
        <v/>
      </c>
      <c r="T345" s="22">
        <f>Q345 + R345 + S345</f>
        <v/>
      </c>
      <c r="U345" s="25">
        <f>MAX(0, -T345)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 t="n">
        <v>0</v>
      </c>
      <c r="J346" s="19" t="n">
        <v>0.2440337432966284</v>
      </c>
      <c r="K346" s="24">
        <f>1 / J346</f>
        <v/>
      </c>
      <c r="L346" s="24">
        <f>I346 * K346</f>
        <v/>
      </c>
      <c r="M346" s="24">
        <f>I346 * (0.01000000 / 12)</f>
        <v/>
      </c>
      <c r="N346" s="24">
        <f>I346 * (0.00664805 / 12) * 1.0</f>
        <v/>
      </c>
      <c r="O346" s="24">
        <f>I346 * (0.00400000 / 12) * 1.0</f>
        <v/>
      </c>
      <c r="P346" s="24">
        <f>I346 * (0.00500000 / 12) * 1.0</f>
        <v/>
      </c>
      <c r="Q346" s="24">
        <f>Q345 * (K346 / K345) + M346</f>
        <v/>
      </c>
      <c r="R346" s="24">
        <f>R345 * (K346 / K345) + N346</f>
        <v/>
      </c>
      <c r="S346" s="24">
        <f>S345 * (K346 / K345) + O346 + P346</f>
        <v/>
      </c>
      <c r="T346" s="20">
        <f>Q346 + R346 + S346</f>
        <v/>
      </c>
      <c r="U346" s="24">
        <f>MAX(0, -T346)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 t="n">
        <v>0</v>
      </c>
      <c r="J347" s="21" t="n">
        <v>0.243039379906856</v>
      </c>
      <c r="K347" s="25">
        <f>1 / J347</f>
        <v/>
      </c>
      <c r="L347" s="25">
        <f>I347 * K347</f>
        <v/>
      </c>
      <c r="M347" s="25">
        <f>I347 * (0.01000000 / 12)</f>
        <v/>
      </c>
      <c r="N347" s="25">
        <f>I347 * (0.00664805 / 12) * 1.0</f>
        <v/>
      </c>
      <c r="O347" s="25">
        <f>I347 * (0.00400000 / 12) * 1.0</f>
        <v/>
      </c>
      <c r="P347" s="25">
        <f>I347 * (0.00500000 / 12) * 1.0</f>
        <v/>
      </c>
      <c r="Q347" s="25">
        <f>Q346 * (K347 / K346) + M347</f>
        <v/>
      </c>
      <c r="R347" s="25">
        <f>R346 * (K347 / K346) + N347</f>
        <v/>
      </c>
      <c r="S347" s="25">
        <f>S346 * (K347 / K346) + O347 + P347</f>
        <v/>
      </c>
      <c r="T347" s="22">
        <f>Q347 + R347 + S347</f>
        <v/>
      </c>
      <c r="U347" s="25">
        <f>MAX(0, -T347)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 t="n">
        <v>0</v>
      </c>
      <c r="J348" s="19" t="n">
        <v>0.2420490682459042</v>
      </c>
      <c r="K348" s="24">
        <f>1 / J348</f>
        <v/>
      </c>
      <c r="L348" s="24">
        <f>I348 * K348</f>
        <v/>
      </c>
      <c r="M348" s="24">
        <f>I348 * (0.01000000 / 12)</f>
        <v/>
      </c>
      <c r="N348" s="24">
        <f>I348 * (0.00664805 / 12) * 1.0</f>
        <v/>
      </c>
      <c r="O348" s="24">
        <f>I348 * (0.00400000 / 12) * 1.0</f>
        <v/>
      </c>
      <c r="P348" s="24">
        <f>I348 * (0.00500000 / 12) * 1.0</f>
        <v/>
      </c>
      <c r="Q348" s="24">
        <f>Q347 * (K348 / K347) + M348</f>
        <v/>
      </c>
      <c r="R348" s="24">
        <f>R347 * (K348 / K347) + N348</f>
        <v/>
      </c>
      <c r="S348" s="24">
        <f>S347 * (K348 / K347) + O348 + P348</f>
        <v/>
      </c>
      <c r="T348" s="20">
        <f>Q348 + R348 + S348</f>
        <v/>
      </c>
      <c r="U348" s="24">
        <f>MAX(0, -T348)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 t="n">
        <v>0</v>
      </c>
      <c r="J349" s="21" t="n">
        <v>0.2410627918042086</v>
      </c>
      <c r="K349" s="25">
        <f>1 / J349</f>
        <v/>
      </c>
      <c r="L349" s="25">
        <f>I349 * K349</f>
        <v/>
      </c>
      <c r="M349" s="25">
        <f>I349 * (0.01000000 / 12)</f>
        <v/>
      </c>
      <c r="N349" s="25">
        <f>I349 * (0.00664805 / 12) * 1.0</f>
        <v/>
      </c>
      <c r="O349" s="25">
        <f>I349 * (0.00400000 / 12) * 1.0</f>
        <v/>
      </c>
      <c r="P349" s="25">
        <f>I349 * (0.00500000 / 12) * 1.0</f>
        <v/>
      </c>
      <c r="Q349" s="25">
        <f>Q348 * (K349 / K348) + M349</f>
        <v/>
      </c>
      <c r="R349" s="25">
        <f>R348 * (K349 / K348) + N349</f>
        <v/>
      </c>
      <c r="S349" s="25">
        <f>S348 * (K349 / K348) + O349 + P349</f>
        <v/>
      </c>
      <c r="T349" s="22">
        <f>Q349 + R349 + S349</f>
        <v/>
      </c>
      <c r="U349" s="25">
        <f>MAX(0, -T349)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 t="n">
        <v>0</v>
      </c>
      <c r="J350" s="19" t="n">
        <v>0.2400805341394763</v>
      </c>
      <c r="K350" s="24">
        <f>1 / J350</f>
        <v/>
      </c>
      <c r="L350" s="24">
        <f>I350 * K350</f>
        <v/>
      </c>
      <c r="M350" s="24">
        <f>I350 * (0.01000000 / 12)</f>
        <v/>
      </c>
      <c r="N350" s="24">
        <f>I350 * (0.00664805 / 12) * 1.0</f>
        <v/>
      </c>
      <c r="O350" s="24">
        <f>I350 * (0.00400000 / 12) * 1.0</f>
        <v/>
      </c>
      <c r="P350" s="24">
        <f>I350 * (0.00500000 / 12) * 1.0</f>
        <v/>
      </c>
      <c r="Q350" s="24">
        <f>Q349 * (K350 / K349) + M350</f>
        <v/>
      </c>
      <c r="R350" s="24">
        <f>R349 * (K350 / K349) + N350</f>
        <v/>
      </c>
      <c r="S350" s="24">
        <f>S349 * (K350 / K349) + O350 + P350</f>
        <v/>
      </c>
      <c r="T350" s="20">
        <f>Q350 + R350 + S350</f>
        <v/>
      </c>
      <c r="U350" s="24">
        <f>MAX(0, -T350)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 t="n">
        <v>0</v>
      </c>
      <c r="J351" s="21" t="n">
        <v>0.2391022788764116</v>
      </c>
      <c r="K351" s="25">
        <f>1 / J351</f>
        <v/>
      </c>
      <c r="L351" s="25">
        <f>I351 * K351</f>
        <v/>
      </c>
      <c r="M351" s="25">
        <f>I351 * (0.01000000 / 12)</f>
        <v/>
      </c>
      <c r="N351" s="25">
        <f>I351 * (0.00664805 / 12) * 1.0</f>
        <v/>
      </c>
      <c r="O351" s="25">
        <f>I351 * (0.00400000 / 12) * 1.0</f>
        <v/>
      </c>
      <c r="P351" s="25">
        <f>I351 * (0.00500000 / 12) * 1.0</f>
        <v/>
      </c>
      <c r="Q351" s="25">
        <f>Q350 * (K351 / K350) + M351</f>
        <v/>
      </c>
      <c r="R351" s="25">
        <f>R350 * (K351 / K350) + N351</f>
        <v/>
      </c>
      <c r="S351" s="25">
        <f>S350 * (K351 / K350) + O351 + P351</f>
        <v/>
      </c>
      <c r="T351" s="22">
        <f>Q351 + R351 + S351</f>
        <v/>
      </c>
      <c r="U351" s="25">
        <f>MAX(0, -T351)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 t="n">
        <v>0</v>
      </c>
      <c r="J352" s="19" t="n">
        <v>0.2381280097064433</v>
      </c>
      <c r="K352" s="24">
        <f>1 / J352</f>
        <v/>
      </c>
      <c r="L352" s="24">
        <f>I352 * K352</f>
        <v/>
      </c>
      <c r="M352" s="24">
        <f>I352 * (0.01000000 / 12)</f>
        <v/>
      </c>
      <c r="N352" s="24">
        <f>I352 * (0.00664805 / 12) * 1.0</f>
        <v/>
      </c>
      <c r="O352" s="24">
        <f>I352 * (0.00400000 / 12) * 1.0</f>
        <v/>
      </c>
      <c r="P352" s="24">
        <f>I352 * (0.00500000 / 12) * 1.0</f>
        <v/>
      </c>
      <c r="Q352" s="24">
        <f>Q351 * (K352 / K351) + M352</f>
        <v/>
      </c>
      <c r="R352" s="24">
        <f>R351 * (K352 / K351) + N352</f>
        <v/>
      </c>
      <c r="S352" s="24">
        <f>S351 * (K352 / K351) + O352 + P352</f>
        <v/>
      </c>
      <c r="T352" s="20">
        <f>Q352 + R352 + S352</f>
        <v/>
      </c>
      <c r="U352" s="24">
        <f>MAX(0, -T352)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 t="n">
        <v>0</v>
      </c>
      <c r="J353" s="21" t="n">
        <v>0.2371577103874526</v>
      </c>
      <c r="K353" s="25">
        <f>1 / J353</f>
        <v/>
      </c>
      <c r="L353" s="25">
        <f>I353 * K353</f>
        <v/>
      </c>
      <c r="M353" s="25">
        <f>I353 * (0.01000000 / 12)</f>
        <v/>
      </c>
      <c r="N353" s="25">
        <f>I353 * (0.00664805 / 12) * 1.0</f>
        <v/>
      </c>
      <c r="O353" s="25">
        <f>I353 * (0.00400000 / 12) * 1.0</f>
        <v/>
      </c>
      <c r="P353" s="25">
        <f>I353 * (0.00500000 / 12) * 1.0</f>
        <v/>
      </c>
      <c r="Q353" s="25">
        <f>Q352 * (K353 / K352) + M353</f>
        <v/>
      </c>
      <c r="R353" s="25">
        <f>R352 * (K353 / K352) + N353</f>
        <v/>
      </c>
      <c r="S353" s="25">
        <f>S352 * (K353 / K352) + O353 + P353</f>
        <v/>
      </c>
      <c r="T353" s="22">
        <f>Q353 + R353 + S353</f>
        <v/>
      </c>
      <c r="U353" s="25">
        <f>MAX(0, -T353)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 t="n">
        <v>0</v>
      </c>
      <c r="J354" s="19" t="n">
        <v>0.2361913647435026</v>
      </c>
      <c r="K354" s="24">
        <f>1 / J354</f>
        <v/>
      </c>
      <c r="L354" s="24">
        <f>I354 * K354</f>
        <v/>
      </c>
      <c r="M354" s="24">
        <f>I354 * (0.01000000 / 12)</f>
        <v/>
      </c>
      <c r="N354" s="24">
        <f>I354 * (0.00664805 / 12) * 1.0</f>
        <v/>
      </c>
      <c r="O354" s="24">
        <f>I354 * (0.00400000 / 12) * 1.0</f>
        <v/>
      </c>
      <c r="P354" s="24">
        <f>I354 * (0.00500000 / 12) * 1.0</f>
        <v/>
      </c>
      <c r="Q354" s="24">
        <f>Q353 * (K354 / K353) + M354</f>
        <v/>
      </c>
      <c r="R354" s="24">
        <f>R353 * (K354 / K353) + N354</f>
        <v/>
      </c>
      <c r="S354" s="24">
        <f>S353 * (K354 / K353) + O354 + P354</f>
        <v/>
      </c>
      <c r="T354" s="20">
        <f>Q354 + R354 + S354</f>
        <v/>
      </c>
      <c r="U354" s="24">
        <f>MAX(0, -T354)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 t="n">
        <v>0</v>
      </c>
      <c r="J355" s="21" t="n">
        <v>0.235228956664568</v>
      </c>
      <c r="K355" s="25">
        <f>1 / J355</f>
        <v/>
      </c>
      <c r="L355" s="25">
        <f>I355 * K355</f>
        <v/>
      </c>
      <c r="M355" s="25">
        <f>I355 * (0.01000000 / 12)</f>
        <v/>
      </c>
      <c r="N355" s="25">
        <f>I355 * (0.00664805 / 12) * 1.0</f>
        <v/>
      </c>
      <c r="O355" s="25">
        <f>I355 * (0.00400000 / 12) * 1.0</f>
        <v/>
      </c>
      <c r="P355" s="25">
        <f>I355 * (0.00500000 / 12) * 1.0</f>
        <v/>
      </c>
      <c r="Q355" s="25">
        <f>Q354 * (K355 / K354) + M355</f>
        <v/>
      </c>
      <c r="R355" s="25">
        <f>R354 * (K355 / K354) + N355</f>
        <v/>
      </c>
      <c r="S355" s="25">
        <f>S354 * (K355 / K354) + O355 + P355</f>
        <v/>
      </c>
      <c r="T355" s="22">
        <f>Q355 + R355 + S355</f>
        <v/>
      </c>
      <c r="U355" s="25">
        <f>MAX(0, -T355)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 t="n">
        <v>0</v>
      </c>
      <c r="J356" s="19" t="n">
        <v>0.2342704701062673</v>
      </c>
      <c r="K356" s="24">
        <f>1 / J356</f>
        <v/>
      </c>
      <c r="L356" s="24">
        <f>I356 * K356</f>
        <v/>
      </c>
      <c r="M356" s="24">
        <f>I356 * (0.01000000 / 12)</f>
        <v/>
      </c>
      <c r="N356" s="24">
        <f>I356 * (0.00664805 / 12) * 1.0</f>
        <v/>
      </c>
      <c r="O356" s="24">
        <f>I356 * (0.00400000 / 12) * 1.0</f>
        <v/>
      </c>
      <c r="P356" s="24">
        <f>I356 * (0.00500000 / 12) * 1.0</f>
        <v/>
      </c>
      <c r="Q356" s="24">
        <f>Q355 * (K356 / K355) + M356</f>
        <v/>
      </c>
      <c r="R356" s="24">
        <f>R355 * (K356 / K355) + N356</f>
        <v/>
      </c>
      <c r="S356" s="24">
        <f>S355 * (K356 / K355) + O356 + P356</f>
        <v/>
      </c>
      <c r="T356" s="20">
        <f>Q356 + R356 + S356</f>
        <v/>
      </c>
      <c r="U356" s="24">
        <f>MAX(0, -T356)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 t="n">
        <v>0</v>
      </c>
      <c r="J357" s="21" t="n">
        <v>0.233315889089595</v>
      </c>
      <c r="K357" s="25">
        <f>1 / J357</f>
        <v/>
      </c>
      <c r="L357" s="25">
        <f>I357 * K357</f>
        <v/>
      </c>
      <c r="M357" s="25">
        <f>I357 * (0.01000000 / 12)</f>
        <v/>
      </c>
      <c r="N357" s="25">
        <f>I357 * (0.00664805 / 12) * 1.0</f>
        <v/>
      </c>
      <c r="O357" s="25">
        <f>I357 * (0.00400000 / 12) * 1.0</f>
        <v/>
      </c>
      <c r="P357" s="25">
        <f>I357 * (0.00500000 / 12) * 1.0</f>
        <v/>
      </c>
      <c r="Q357" s="25">
        <f>Q356 * (K357 / K356) + M357</f>
        <v/>
      </c>
      <c r="R357" s="25">
        <f>R356 * (K357 / K356) + N357</f>
        <v/>
      </c>
      <c r="S357" s="25">
        <f>S356 * (K357 / K356) + O357 + P357</f>
        <v/>
      </c>
      <c r="T357" s="22">
        <f>Q357 + R357 + S357</f>
        <v/>
      </c>
      <c r="U357" s="25">
        <f>MAX(0, -T357)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 t="n">
        <v>0</v>
      </c>
      <c r="J358" s="19" t="n">
        <v>0.232365197700655</v>
      </c>
      <c r="K358" s="24">
        <f>1 / J358</f>
        <v/>
      </c>
      <c r="L358" s="24">
        <f>I358 * K358</f>
        <v/>
      </c>
      <c r="M358" s="24">
        <f>I358 * (0.01000000 / 12)</f>
        <v/>
      </c>
      <c r="N358" s="24">
        <f>I358 * (0.00664805 / 12) * 1.0</f>
        <v/>
      </c>
      <c r="O358" s="24">
        <f>I358 * (0.00400000 / 12) * 1.0</f>
        <v/>
      </c>
      <c r="P358" s="24">
        <f>I358 * (0.00500000 / 12) * 1.0</f>
        <v/>
      </c>
      <c r="Q358" s="24">
        <f>Q357 * (K358 / K357) + M358</f>
        <v/>
      </c>
      <c r="R358" s="24">
        <f>R357 * (K358 / K357) + N358</f>
        <v/>
      </c>
      <c r="S358" s="24">
        <f>S357 * (K358 / K357) + O358 + P358</f>
        <v/>
      </c>
      <c r="T358" s="20">
        <f>Q358 + R358 + S358</f>
        <v/>
      </c>
      <c r="U358" s="24">
        <f>MAX(0, -T358)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 t="n">
        <v>0</v>
      </c>
      <c r="J359" s="21" t="n">
        <v>0.2314183800903956</v>
      </c>
      <c r="K359" s="25">
        <f>1 / J359</f>
        <v/>
      </c>
      <c r="L359" s="25">
        <f>I359 * K359</f>
        <v/>
      </c>
      <c r="M359" s="25">
        <f>I359 * (0.01000000 / 12)</f>
        <v/>
      </c>
      <c r="N359" s="25">
        <f>I359 * (0.00664805 / 12) * 1.0</f>
        <v/>
      </c>
      <c r="O359" s="25">
        <f>I359 * (0.00400000 / 12) * 1.0</f>
        <v/>
      </c>
      <c r="P359" s="25">
        <f>I359 * (0.00500000 / 12) * 1.0</f>
        <v/>
      </c>
      <c r="Q359" s="25">
        <f>Q358 * (K359 / K358) + M359</f>
        <v/>
      </c>
      <c r="R359" s="25">
        <f>R358 * (K359 / K358) + N359</f>
        <v/>
      </c>
      <c r="S359" s="25">
        <f>S358 * (K359 / K358) + O359 + P359</f>
        <v/>
      </c>
      <c r="T359" s="22">
        <f>Q359 + R359 + S359</f>
        <v/>
      </c>
      <c r="U359" s="25">
        <f>MAX(0, -T359)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 t="n">
        <v>0</v>
      </c>
      <c r="J360" s="19" t="n">
        <v>0.2304754204743452</v>
      </c>
      <c r="K360" s="24">
        <f>1 / J360</f>
        <v/>
      </c>
      <c r="L360" s="24">
        <f>I360 * K360</f>
        <v/>
      </c>
      <c r="M360" s="24">
        <f>I360 * (0.01000000 / 12)</f>
        <v/>
      </c>
      <c r="N360" s="24">
        <f>I360 * (0.00664805 / 12) * 1.0</f>
        <v/>
      </c>
      <c r="O360" s="24">
        <f>I360 * (0.00400000 / 12) * 1.0</f>
        <v/>
      </c>
      <c r="P360" s="24">
        <f>I360 * (0.00500000 / 12) * 1.0</f>
        <v/>
      </c>
      <c r="Q360" s="24">
        <f>Q359 * (K360 / K359) + M360</f>
        <v/>
      </c>
      <c r="R360" s="24">
        <f>R359 * (K360 / K359) + N360</f>
        <v/>
      </c>
      <c r="S360" s="24">
        <f>S359 * (K360 / K359) + O360 + P360</f>
        <v/>
      </c>
      <c r="T360" s="20">
        <f>Q360 + R360 + S360</f>
        <v/>
      </c>
      <c r="U360" s="24">
        <f>MAX(0, -T360)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 t="n">
        <v>0</v>
      </c>
      <c r="J361" s="21" t="n">
        <v>0.2295363031323491</v>
      </c>
      <c r="K361" s="25">
        <f>1 / J361</f>
        <v/>
      </c>
      <c r="L361" s="25">
        <f>I361 * K361</f>
        <v/>
      </c>
      <c r="M361" s="25">
        <f>I361 * (0.01000000 / 12)</f>
        <v/>
      </c>
      <c r="N361" s="25">
        <f>I361 * (0.00664805 / 12) * 1.0</f>
        <v/>
      </c>
      <c r="O361" s="25">
        <f>I361 * (0.00400000 / 12) * 1.0</f>
        <v/>
      </c>
      <c r="P361" s="25">
        <f>I361 * (0.00500000 / 12) * 1.0</f>
        <v/>
      </c>
      <c r="Q361" s="25">
        <f>Q360 * (K361 / K360) + M361</f>
        <v/>
      </c>
      <c r="R361" s="25">
        <f>R360 * (K361 / K360) + N361</f>
        <v/>
      </c>
      <c r="S361" s="25">
        <f>S360 * (K361 / K360) + O361 + P361</f>
        <v/>
      </c>
      <c r="T361" s="22">
        <f>Q361 + R361 + S361</f>
        <v/>
      </c>
      <c r="U361" s="25">
        <f>MAX(0, -T361)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 t="n">
        <v>0</v>
      </c>
      <c r="J362" s="19" t="n">
        <v>0.2286010124083074</v>
      </c>
      <c r="K362" s="24">
        <f>1 / J362</f>
        <v/>
      </c>
      <c r="L362" s="24">
        <f>I362 * K362</f>
        <v/>
      </c>
      <c r="M362" s="24">
        <f>I362 * (0.01000000 / 12)</f>
        <v/>
      </c>
      <c r="N362" s="24">
        <f>I362 * (0.00664805 / 12) * 1.0</f>
        <v/>
      </c>
      <c r="O362" s="24">
        <f>I362 * (0.00400000 / 12) * 1.0</f>
        <v/>
      </c>
      <c r="P362" s="24">
        <f>I362 * (0.00500000 / 12) * 1.0</f>
        <v/>
      </c>
      <c r="Q362" s="24">
        <f>Q361 * (K362 / K361) + M362</f>
        <v/>
      </c>
      <c r="R362" s="24">
        <f>R361 * (K362 / K361) + N362</f>
        <v/>
      </c>
      <c r="S362" s="24">
        <f>S361 * (K362 / K361) + O362 + P362</f>
        <v/>
      </c>
      <c r="T362" s="20">
        <f>Q362 + R362 + S362</f>
        <v/>
      </c>
      <c r="U362" s="24">
        <f>MAX(0, -T362)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 t="n">
        <v>0</v>
      </c>
      <c r="J363" s="21" t="n">
        <v>0.2276695327099141</v>
      </c>
      <c r="K363" s="25">
        <f>1 / J363</f>
        <v/>
      </c>
      <c r="L363" s="25">
        <f>I363 * K363</f>
        <v/>
      </c>
      <c r="M363" s="25">
        <f>I363 * (0.01000000 / 12)</f>
        <v/>
      </c>
      <c r="N363" s="25">
        <f>I363 * (0.00664805 / 12) * 1.0</f>
        <v/>
      </c>
      <c r="O363" s="25">
        <f>I363 * (0.00400000 / 12) * 1.0</f>
        <v/>
      </c>
      <c r="P363" s="25">
        <f>I363 * (0.00500000 / 12) * 1.0</f>
        <v/>
      </c>
      <c r="Q363" s="25">
        <f>Q362 * (K363 / K362) + M363</f>
        <v/>
      </c>
      <c r="R363" s="25">
        <f>R362 * (K363 / K362) + N363</f>
        <v/>
      </c>
      <c r="S363" s="25">
        <f>S362 * (K363 / K362) + O363 + P363</f>
        <v/>
      </c>
      <c r="T363" s="22">
        <f>Q363 + R363 + S363</f>
        <v/>
      </c>
      <c r="U363" s="25">
        <f>MAX(0, -T363)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 t="n">
        <v>0</v>
      </c>
      <c r="J364" s="19" t="n">
        <v>0.2267418485083971</v>
      </c>
      <c r="K364" s="24">
        <f>1 / J364</f>
        <v/>
      </c>
      <c r="L364" s="24">
        <f>I364 * K364</f>
        <v/>
      </c>
      <c r="M364" s="24">
        <f>I364 * (0.01000000 / 12)</f>
        <v/>
      </c>
      <c r="N364" s="24">
        <f>I364 * (0.00664805 / 12) * 1.0</f>
        <v/>
      </c>
      <c r="O364" s="24">
        <f>I364 * (0.00400000 / 12) * 1.0</f>
        <v/>
      </c>
      <c r="P364" s="24">
        <f>I364 * (0.00500000 / 12) * 1.0</f>
        <v/>
      </c>
      <c r="Q364" s="24">
        <f>Q363 * (K364 / K363) + M364</f>
        <v/>
      </c>
      <c r="R364" s="24">
        <f>R363 * (K364 / K363) + N364</f>
        <v/>
      </c>
      <c r="S364" s="24">
        <f>S363 * (K364 / K363) + O364 + P364</f>
        <v/>
      </c>
      <c r="T364" s="20">
        <f>Q364 + R364 + S364</f>
        <v/>
      </c>
      <c r="U364" s="24">
        <f>MAX(0, -T364)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 t="n">
        <v>0</v>
      </c>
      <c r="J365" s="21" t="n">
        <v>0.2258179443382594</v>
      </c>
      <c r="K365" s="25">
        <f>1 / J365</f>
        <v/>
      </c>
      <c r="L365" s="25">
        <f>I365 * K365</f>
        <v/>
      </c>
      <c r="M365" s="25">
        <f>I365 * (0.01000000 / 12)</f>
        <v/>
      </c>
      <c r="N365" s="25">
        <f>I365 * (0.00664805 / 12) * 1.0</f>
        <v/>
      </c>
      <c r="O365" s="25">
        <f>I365 * (0.00400000 / 12) * 1.0</f>
        <v/>
      </c>
      <c r="P365" s="25">
        <f>I365 * (0.00500000 / 12) * 1.0</f>
        <v/>
      </c>
      <c r="Q365" s="25">
        <f>Q364 * (K365 / K364) + M365</f>
        <v/>
      </c>
      <c r="R365" s="25">
        <f>R364 * (K365 / K364) + N365</f>
        <v/>
      </c>
      <c r="S365" s="25">
        <f>S364 * (K365 / K364) + O365 + P365</f>
        <v/>
      </c>
      <c r="T365" s="22">
        <f>Q365 + R365 + S365</f>
        <v/>
      </c>
      <c r="U365" s="25">
        <f>MAX(0, -T365)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 t="n">
        <v>0</v>
      </c>
      <c r="J366" s="19" t="n">
        <v>0.2248978047970211</v>
      </c>
      <c r="K366" s="24">
        <f>1 / J366</f>
        <v/>
      </c>
      <c r="L366" s="24">
        <f>I366 * K366</f>
        <v/>
      </c>
      <c r="M366" s="24">
        <f>I366 * (0.01000000 / 12)</f>
        <v/>
      </c>
      <c r="N366" s="24">
        <f>I366 * (0.00664805 / 12) * 1.0</f>
        <v/>
      </c>
      <c r="O366" s="24">
        <f>I366 * (0.00400000 / 12) * 1.0</f>
        <v/>
      </c>
      <c r="P366" s="24">
        <f>I366 * (0.00500000 / 12) * 1.0</f>
        <v/>
      </c>
      <c r="Q366" s="24">
        <f>Q365 * (K366 / K365) + M366</f>
        <v/>
      </c>
      <c r="R366" s="24">
        <f>R365 * (K366 / K365) + N366</f>
        <v/>
      </c>
      <c r="S366" s="24">
        <f>S365 * (K366 / K365) + O366 + P366</f>
        <v/>
      </c>
      <c r="T366" s="20">
        <f>Q366 + R366 + S366</f>
        <v/>
      </c>
      <c r="U366" s="24">
        <f>MAX(0, -T366)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 t="n">
        <v>0</v>
      </c>
      <c r="J367" s="21" t="n">
        <v>0.2239814145449627</v>
      </c>
      <c r="K367" s="25">
        <f>1 / J367</f>
        <v/>
      </c>
      <c r="L367" s="25">
        <f>I367 * K367</f>
        <v/>
      </c>
      <c r="M367" s="25">
        <f>I367 * (0.01000000 / 12)</f>
        <v/>
      </c>
      <c r="N367" s="25">
        <f>I367 * (0.00664805 / 12) * 1.0</f>
        <v/>
      </c>
      <c r="O367" s="25">
        <f>I367 * (0.00400000 / 12) * 1.0</f>
        <v/>
      </c>
      <c r="P367" s="25">
        <f>I367 * (0.00500000 / 12) * 1.0</f>
        <v/>
      </c>
      <c r="Q367" s="25">
        <f>Q366 * (K367 / K366) + M367</f>
        <v/>
      </c>
      <c r="R367" s="25">
        <f>R366 * (K367 / K366) + N367</f>
        <v/>
      </c>
      <c r="S367" s="25">
        <f>S366 * (K367 / K366) + O367 + P367</f>
        <v/>
      </c>
      <c r="T367" s="22">
        <f>Q367 + R367 + S367</f>
        <v/>
      </c>
      <c r="U367" s="25">
        <f>MAX(0, -T367)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 t="n">
        <v>0</v>
      </c>
      <c r="J368" s="19" t="n">
        <v>0.2230687583048696</v>
      </c>
      <c r="K368" s="24">
        <f>1 / J368</f>
        <v/>
      </c>
      <c r="L368" s="24">
        <f>I368 * K368</f>
        <v/>
      </c>
      <c r="M368" s="24">
        <f>I368 * (0.01000000 / 12)</f>
        <v/>
      </c>
      <c r="N368" s="24">
        <f>I368 * (0.00664805 / 12) * 1.0</f>
        <v/>
      </c>
      <c r="O368" s="24">
        <f>I368 * (0.00400000 / 12) * 1.0</f>
        <v/>
      </c>
      <c r="P368" s="24">
        <f>I368 * (0.00500000 / 12) * 1.0</f>
        <v/>
      </c>
      <c r="Q368" s="24">
        <f>Q367 * (K368 / K367) + M368</f>
        <v/>
      </c>
      <c r="R368" s="24">
        <f>R367 * (K368 / K367) + N368</f>
        <v/>
      </c>
      <c r="S368" s="24">
        <f>S367 * (K368 / K367) + O368 + P368</f>
        <v/>
      </c>
      <c r="T368" s="20">
        <f>Q368 + R368 + S368</f>
        <v/>
      </c>
      <c r="U368" s="24">
        <f>MAX(0, -T368)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 t="n">
        <v>0</v>
      </c>
      <c r="J369" s="21" t="n">
        <v>0.222159820861777</v>
      </c>
      <c r="K369" s="25">
        <f>1 / J369</f>
        <v/>
      </c>
      <c r="L369" s="25">
        <f>I369 * K369</f>
        <v/>
      </c>
      <c r="M369" s="25">
        <f>I369 * (0.01000000 / 12)</f>
        <v/>
      </c>
      <c r="N369" s="25">
        <f>I369 * (0.00664805 / 12) * 1.0</f>
        <v/>
      </c>
      <c r="O369" s="25">
        <f>I369 * (0.00400000 / 12) * 1.0</f>
        <v/>
      </c>
      <c r="P369" s="25">
        <f>I369 * (0.00500000 / 12) * 1.0</f>
        <v/>
      </c>
      <c r="Q369" s="25">
        <f>Q368 * (K369 / K368) + M369</f>
        <v/>
      </c>
      <c r="R369" s="25">
        <f>R368 * (K369 / K368) + N369</f>
        <v/>
      </c>
      <c r="S369" s="25">
        <f>S368 * (K369 / K368) + O369 + P369</f>
        <v/>
      </c>
      <c r="T369" s="22">
        <f>Q369 + R369 + S369</f>
        <v/>
      </c>
      <c r="U369" s="25">
        <f>MAX(0, -T369)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 t="n">
        <v>0</v>
      </c>
      <c r="J370" s="19" t="n">
        <v>0.2212545870627165</v>
      </c>
      <c r="K370" s="24">
        <f>1 / J370</f>
        <v/>
      </c>
      <c r="L370" s="24">
        <f>I370 * K370</f>
        <v/>
      </c>
      <c r="M370" s="24">
        <f>I370 * (0.01000000 / 12)</f>
        <v/>
      </c>
      <c r="N370" s="24">
        <f>I370 * (0.00664805 / 12) * 1.0</f>
        <v/>
      </c>
      <c r="O370" s="24">
        <f>I370 * (0.00400000 / 12) * 1.0</f>
        <v/>
      </c>
      <c r="P370" s="24">
        <f>I370 * (0.00500000 / 12) * 1.0</f>
        <v/>
      </c>
      <c r="Q370" s="24">
        <f>Q369 * (K370 / K369) + M370</f>
        <v/>
      </c>
      <c r="R370" s="24">
        <f>R369 * (K370 / K369) + N370</f>
        <v/>
      </c>
      <c r="S370" s="24">
        <f>S369 * (K370 / K369) + O370 + P370</f>
        <v/>
      </c>
      <c r="T370" s="20">
        <f>Q370 + R370 + S370</f>
        <v/>
      </c>
      <c r="U370" s="24">
        <f>MAX(0, -T370)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 t="n">
        <v>0</v>
      </c>
      <c r="J371" s="21" t="n">
        <v>0.2203530418164636</v>
      </c>
      <c r="K371" s="25">
        <f>1 / J371</f>
        <v/>
      </c>
      <c r="L371" s="25">
        <f>I371 * K371</f>
        <v/>
      </c>
      <c r="M371" s="25">
        <f>I371 * (0.01000000 / 12)</f>
        <v/>
      </c>
      <c r="N371" s="25">
        <f>I371 * (0.00664805 / 12) * 1.0</f>
        <v/>
      </c>
      <c r="O371" s="25">
        <f>I371 * (0.00400000 / 12) * 1.0</f>
        <v/>
      </c>
      <c r="P371" s="25">
        <f>I371 * (0.00500000 / 12) * 1.0</f>
        <v/>
      </c>
      <c r="Q371" s="25">
        <f>Q370 * (K371 / K370) + M371</f>
        <v/>
      </c>
      <c r="R371" s="25">
        <f>R370 * (K371 / K370) + N371</f>
        <v/>
      </c>
      <c r="S371" s="25">
        <f>S370 * (K371 / K370) + O371 + P371</f>
        <v/>
      </c>
      <c r="T371" s="22">
        <f>Q371 + R371 + S371</f>
        <v/>
      </c>
      <c r="U371" s="25">
        <f>MAX(0, -T371)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 t="n">
        <v>0</v>
      </c>
      <c r="J372" s="19" t="n">
        <v>0.2194551700932857</v>
      </c>
      <c r="K372" s="24">
        <f>1 / J372</f>
        <v/>
      </c>
      <c r="L372" s="24">
        <f>I372 * K372</f>
        <v/>
      </c>
      <c r="M372" s="24">
        <f>I372 * (0.01000000 / 12)</f>
        <v/>
      </c>
      <c r="N372" s="24">
        <f>I372 * (0.00664805 / 12) * 1.0</f>
        <v/>
      </c>
      <c r="O372" s="24">
        <f>I372 * (0.00400000 / 12) * 1.0</f>
        <v/>
      </c>
      <c r="P372" s="24">
        <f>I372 * (0.00500000 / 12) * 1.0</f>
        <v/>
      </c>
      <c r="Q372" s="24">
        <f>Q371 * (K372 / K371) + M372</f>
        <v/>
      </c>
      <c r="R372" s="24">
        <f>R371 * (K372 / K371) + N372</f>
        <v/>
      </c>
      <c r="S372" s="24">
        <f>S371 * (K372 / K371) + O372 + P372</f>
        <v/>
      </c>
      <c r="T372" s="20">
        <f>Q372 + R372 + S372</f>
        <v/>
      </c>
      <c r="U372" s="24">
        <f>MAX(0, -T372)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 t="n">
        <v>0</v>
      </c>
      <c r="J373" s="21" t="n">
        <v>0.2185609569246921</v>
      </c>
      <c r="K373" s="25">
        <f>1 / J373</f>
        <v/>
      </c>
      <c r="L373" s="25">
        <f>I373 * K373</f>
        <v/>
      </c>
      <c r="M373" s="25">
        <f>I373 * (0.01000000 / 12)</f>
        <v/>
      </c>
      <c r="N373" s="25">
        <f>I373 * (0.00664805 / 12) * 1.0</f>
        <v/>
      </c>
      <c r="O373" s="25">
        <f>I373 * (0.00400000 / 12) * 1.0</f>
        <v/>
      </c>
      <c r="P373" s="25">
        <f>I373 * (0.00500000 / 12) * 1.0</f>
        <v/>
      </c>
      <c r="Q373" s="25">
        <f>Q372 * (K373 / K372) + M373</f>
        <v/>
      </c>
      <c r="R373" s="25">
        <f>R372 * (K373 / K372) + N373</f>
        <v/>
      </c>
      <c r="S373" s="25">
        <f>S372 * (K373 / K372) + O373 + P373</f>
        <v/>
      </c>
      <c r="T373" s="22">
        <f>Q373 + R373 + S373</f>
        <v/>
      </c>
      <c r="U373" s="25">
        <f>MAX(0, -T373)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 t="n">
        <v>0</v>
      </c>
      <c r="J374" s="19" t="n">
        <v>0.2176703874031839</v>
      </c>
      <c r="K374" s="24">
        <f>1 / J374</f>
        <v/>
      </c>
      <c r="L374" s="24">
        <f>I374 * K374</f>
        <v/>
      </c>
      <c r="M374" s="24">
        <f>I374 * (0.01000000 / 12)</f>
        <v/>
      </c>
      <c r="N374" s="24">
        <f>I374 * (0.00664805 / 12) * 1.0</f>
        <v/>
      </c>
      <c r="O374" s="24">
        <f>I374 * (0.00400000 / 12) * 1.0</f>
        <v/>
      </c>
      <c r="P374" s="24">
        <f>I374 * (0.00500000 / 12) * 1.0</f>
        <v/>
      </c>
      <c r="Q374" s="24">
        <f>Q373 * (K374 / K373) + M374</f>
        <v/>
      </c>
      <c r="R374" s="24">
        <f>R373 * (K374 / K373) + N374</f>
        <v/>
      </c>
      <c r="S374" s="24">
        <f>S373 * (K374 / K373) + O374 + P374</f>
        <v/>
      </c>
      <c r="T374" s="20">
        <f>Q374 + R374 + S374</f>
        <v/>
      </c>
      <c r="U374" s="24">
        <f>MAX(0, -T374)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 t="n">
        <v>0</v>
      </c>
      <c r="J375" s="21" t="n">
        <v>0.2167834466820057</v>
      </c>
      <c r="K375" s="25">
        <f>1 / J375</f>
        <v/>
      </c>
      <c r="L375" s="25">
        <f>I375 * K375</f>
        <v/>
      </c>
      <c r="M375" s="25">
        <f>I375 * (0.01000000 / 12)</f>
        <v/>
      </c>
      <c r="N375" s="25">
        <f>I375 * (0.00664805 / 12) * 1.0</f>
        <v/>
      </c>
      <c r="O375" s="25">
        <f>I375 * (0.00400000 / 12) * 1.0</f>
        <v/>
      </c>
      <c r="P375" s="25">
        <f>I375 * (0.00500000 / 12) * 1.0</f>
        <v/>
      </c>
      <c r="Q375" s="25">
        <f>Q374 * (K375 / K374) + M375</f>
        <v/>
      </c>
      <c r="R375" s="25">
        <f>R374 * (K375 / K374) + N375</f>
        <v/>
      </c>
      <c r="S375" s="25">
        <f>S374 * (K375 / K374) + O375 + P375</f>
        <v/>
      </c>
      <c r="T375" s="22">
        <f>Q375 + R375 + S375</f>
        <v/>
      </c>
      <c r="U375" s="25">
        <f>MAX(0, -T375)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 t="n">
        <v>0</v>
      </c>
      <c r="J376" s="19" t="n">
        <v>0.2159001199748985</v>
      </c>
      <c r="K376" s="24">
        <f>1 / J376</f>
        <v/>
      </c>
      <c r="L376" s="24">
        <f>I376 * K376</f>
        <v/>
      </c>
      <c r="M376" s="24">
        <f>I376 * (0.01000000 / 12)</f>
        <v/>
      </c>
      <c r="N376" s="24">
        <f>I376 * (0.00664805 / 12) * 1.0</f>
        <v/>
      </c>
      <c r="O376" s="24">
        <f>I376 * (0.00400000 / 12) * 1.0</f>
        <v/>
      </c>
      <c r="P376" s="24">
        <f>I376 * (0.00500000 / 12) * 1.0</f>
        <v/>
      </c>
      <c r="Q376" s="24">
        <f>Q375 * (K376 / K375) + M376</f>
        <v/>
      </c>
      <c r="R376" s="24">
        <f>R375 * (K376 / K375) + N376</f>
        <v/>
      </c>
      <c r="S376" s="24">
        <f>S375 * (K376 / K375) + O376 + P376</f>
        <v/>
      </c>
      <c r="T376" s="20">
        <f>Q376 + R376 + S376</f>
        <v/>
      </c>
      <c r="U376" s="24">
        <f>MAX(0, -T376)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 t="n">
        <v>0</v>
      </c>
      <c r="J377" s="21" t="n">
        <v>0.2150203925558523</v>
      </c>
      <c r="K377" s="25">
        <f>1 / J377</f>
        <v/>
      </c>
      <c r="L377" s="25">
        <f>I377 * K377</f>
        <v/>
      </c>
      <c r="M377" s="25">
        <f>I377 * (0.01000000 / 12)</f>
        <v/>
      </c>
      <c r="N377" s="25">
        <f>I377 * (0.00664805 / 12) * 1.0</f>
        <v/>
      </c>
      <c r="O377" s="25">
        <f>I377 * (0.00400000 / 12) * 1.0</f>
        <v/>
      </c>
      <c r="P377" s="25">
        <f>I377 * (0.00500000 / 12) * 1.0</f>
        <v/>
      </c>
      <c r="Q377" s="25">
        <f>Q376 * (K377 / K376) + M377</f>
        <v/>
      </c>
      <c r="R377" s="25">
        <f>R376 * (K377 / K376) + N377</f>
        <v/>
      </c>
      <c r="S377" s="25">
        <f>S376 * (K377 / K376) + O377 + P377</f>
        <v/>
      </c>
      <c r="T377" s="22">
        <f>Q377 + R377 + S377</f>
        <v/>
      </c>
      <c r="U377" s="25">
        <f>MAX(0, -T377)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 t="n">
        <v>0</v>
      </c>
      <c r="J378" s="19" t="n">
        <v>0.2141442497588616</v>
      </c>
      <c r="K378" s="24">
        <f>1 / J378</f>
        <v/>
      </c>
      <c r="L378" s="24">
        <f>I378 * K378</f>
        <v/>
      </c>
      <c r="M378" s="24">
        <f>I378 * (0.01000000 / 12)</f>
        <v/>
      </c>
      <c r="N378" s="24">
        <f>I378 * (0.00664805 / 12) * 1.0</f>
        <v/>
      </c>
      <c r="O378" s="24">
        <f>I378 * (0.00400000 / 12) * 1.0</f>
        <v/>
      </c>
      <c r="P378" s="24">
        <f>I378 * (0.00500000 / 12) * 1.0</f>
        <v/>
      </c>
      <c r="Q378" s="24">
        <f>Q377 * (K378 / K377) + M378</f>
        <v/>
      </c>
      <c r="R378" s="24">
        <f>R377 * (K378 / K377) + N378</f>
        <v/>
      </c>
      <c r="S378" s="24">
        <f>S377 * (K378 / K377) + O378 + P378</f>
        <v/>
      </c>
      <c r="T378" s="20">
        <f>Q378 + R378 + S378</f>
        <v/>
      </c>
      <c r="U378" s="24">
        <f>MAX(0, -T378)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 t="n">
        <v>0</v>
      </c>
      <c r="J379" s="21" t="n">
        <v>0.21327167697768</v>
      </c>
      <c r="K379" s="25">
        <f>1 / J379</f>
        <v/>
      </c>
      <c r="L379" s="25">
        <f>I379 * K379</f>
        <v/>
      </c>
      <c r="M379" s="25">
        <f>I379 * (0.01000000 / 12)</f>
        <v/>
      </c>
      <c r="N379" s="25">
        <f>I379 * (0.00664805 / 12) * 1.0</f>
        <v/>
      </c>
      <c r="O379" s="25">
        <f>I379 * (0.00400000 / 12) * 1.0</f>
        <v/>
      </c>
      <c r="P379" s="25">
        <f>I379 * (0.00500000 / 12) * 1.0</f>
        <v/>
      </c>
      <c r="Q379" s="25">
        <f>Q378 * (K379 / K378) + M379</f>
        <v/>
      </c>
      <c r="R379" s="25">
        <f>R378 * (K379 / K378) + N379</f>
        <v/>
      </c>
      <c r="S379" s="25">
        <f>S378 * (K379 / K378) + O379 + P379</f>
        <v/>
      </c>
      <c r="T379" s="22">
        <f>Q379 + R379 + S379</f>
        <v/>
      </c>
      <c r="U379" s="25">
        <f>MAX(0, -T379)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 t="n">
        <v>0</v>
      </c>
      <c r="J380" s="19" t="n">
        <v>0.2124026596655774</v>
      </c>
      <c r="K380" s="24">
        <f>1 / J380</f>
        <v/>
      </c>
      <c r="L380" s="24">
        <f>I380 * K380</f>
        <v/>
      </c>
      <c r="M380" s="24">
        <f>I380 * (0.01000000 / 12)</f>
        <v/>
      </c>
      <c r="N380" s="24">
        <f>I380 * (0.00664805 / 12) * 1.0</f>
        <v/>
      </c>
      <c r="O380" s="24">
        <f>I380 * (0.00400000 / 12) * 1.0</f>
        <v/>
      </c>
      <c r="P380" s="24">
        <f>I380 * (0.00500000 / 12) * 1.0</f>
        <v/>
      </c>
      <c r="Q380" s="24">
        <f>Q379 * (K380 / K379) + M380</f>
        <v/>
      </c>
      <c r="R380" s="24">
        <f>R379 * (K380 / K379) + N380</f>
        <v/>
      </c>
      <c r="S380" s="24">
        <f>S379 * (K380 / K379) + O380 + P380</f>
        <v/>
      </c>
      <c r="T380" s="20">
        <f>Q380 + R380 + S380</f>
        <v/>
      </c>
      <c r="U380" s="24">
        <f>MAX(0, -T380)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 t="n">
        <v>0</v>
      </c>
      <c r="J381" s="21" t="n">
        <v>0.2115371833350971</v>
      </c>
      <c r="K381" s="25">
        <f>1 / J381</f>
        <v/>
      </c>
      <c r="L381" s="25">
        <f>I381 * K381</f>
        <v/>
      </c>
      <c r="M381" s="25">
        <f>I381 * (0.01000000 / 12)</f>
        <v/>
      </c>
      <c r="N381" s="25">
        <f>I381 * (0.00664805 / 12) * 1.0</f>
        <v/>
      </c>
      <c r="O381" s="25">
        <f>I381 * (0.00400000 / 12) * 1.0</f>
        <v/>
      </c>
      <c r="P381" s="25">
        <f>I381 * (0.00500000 / 12) * 1.0</f>
        <v/>
      </c>
      <c r="Q381" s="25">
        <f>Q380 * (K381 / K380) + M381</f>
        <v/>
      </c>
      <c r="R381" s="25">
        <f>R380 * (K381 / K380) + N381</f>
        <v/>
      </c>
      <c r="S381" s="25">
        <f>S380 * (K381 / K380) + O381 + P381</f>
        <v/>
      </c>
      <c r="T381" s="22">
        <f>Q381 + R381 + S381</f>
        <v/>
      </c>
      <c r="U381" s="25">
        <f>MAX(0, -T381)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 t="n">
        <v>0</v>
      </c>
      <c r="J382" s="19" t="n">
        <v>0.2106752335578143</v>
      </c>
      <c r="K382" s="24">
        <f>1 / J382</f>
        <v/>
      </c>
      <c r="L382" s="24">
        <f>I382 * K382</f>
        <v/>
      </c>
      <c r="M382" s="24">
        <f>I382 * (0.01000000 / 12)</f>
        <v/>
      </c>
      <c r="N382" s="24">
        <f>I382 * (0.00664805 / 12) * 1.0</f>
        <v/>
      </c>
      <c r="O382" s="24">
        <f>I382 * (0.00400000 / 12) * 1.0</f>
        <v/>
      </c>
      <c r="P382" s="24">
        <f>I382 * (0.00500000 / 12) * 1.0</f>
        <v/>
      </c>
      <c r="Q382" s="24">
        <f>Q381 * (K382 / K381) + M382</f>
        <v/>
      </c>
      <c r="R382" s="24">
        <f>R381 * (K382 / K381) + N382</f>
        <v/>
      </c>
      <c r="S382" s="24">
        <f>S381 * (K382 / K381) + O382 + P382</f>
        <v/>
      </c>
      <c r="T382" s="20">
        <f>Q382 + R382 + S382</f>
        <v/>
      </c>
      <c r="U382" s="24">
        <f>MAX(0, -T382)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 t="n">
        <v>0</v>
      </c>
      <c r="J383" s="21" t="n">
        <v>0.209816795964096</v>
      </c>
      <c r="K383" s="25">
        <f>1 / J383</f>
        <v/>
      </c>
      <c r="L383" s="25">
        <f>I383 * K383</f>
        <v/>
      </c>
      <c r="M383" s="25">
        <f>I383 * (0.01000000 / 12)</f>
        <v/>
      </c>
      <c r="N383" s="25">
        <f>I383 * (0.00664805 / 12) * 1.0</f>
        <v/>
      </c>
      <c r="O383" s="25">
        <f>I383 * (0.00400000 / 12) * 1.0</f>
        <v/>
      </c>
      <c r="P383" s="25">
        <f>I383 * (0.00500000 / 12) * 1.0</f>
        <v/>
      </c>
      <c r="Q383" s="25">
        <f>Q382 * (K383 / K382) + M383</f>
        <v/>
      </c>
      <c r="R383" s="25">
        <f>R382 * (K383 / K382) + N383</f>
        <v/>
      </c>
      <c r="S383" s="25">
        <f>S382 * (K383 / K382) + O383 + P383</f>
        <v/>
      </c>
      <c r="T383" s="22">
        <f>Q383 + R383 + S383</f>
        <v/>
      </c>
      <c r="U383" s="25">
        <f>MAX(0, -T383)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 t="n">
        <v>0</v>
      </c>
      <c r="J384" s="19" t="n">
        <v>0.2089618562428606</v>
      </c>
      <c r="K384" s="24">
        <f>1 / J384</f>
        <v/>
      </c>
      <c r="L384" s="24">
        <f>I384 * K384</f>
        <v/>
      </c>
      <c r="M384" s="24">
        <f>I384 * (0.01000000 / 12)</f>
        <v/>
      </c>
      <c r="N384" s="24">
        <f>I384 * (0.00664805 / 12) * 1.0</f>
        <v/>
      </c>
      <c r="O384" s="24">
        <f>I384 * (0.00400000 / 12) * 1.0</f>
        <v/>
      </c>
      <c r="P384" s="24">
        <f>I384 * (0.00500000 / 12) * 1.0</f>
        <v/>
      </c>
      <c r="Q384" s="24">
        <f>Q383 * (K384 / K383) + M384</f>
        <v/>
      </c>
      <c r="R384" s="24">
        <f>R383 * (K384 / K383) + N384</f>
        <v/>
      </c>
      <c r="S384" s="24">
        <f>S383 * (K384 / K383) + O384 + P384</f>
        <v/>
      </c>
      <c r="T384" s="20">
        <f>Q384 + R384 + S384</f>
        <v/>
      </c>
      <c r="U384" s="24">
        <f>MAX(0, -T384)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 t="n">
        <v>0</v>
      </c>
      <c r="J385" s="21" t="n">
        <v>0.2081104001413401</v>
      </c>
      <c r="K385" s="25">
        <f>1 / J385</f>
        <v/>
      </c>
      <c r="L385" s="25">
        <f>I385 * K385</f>
        <v/>
      </c>
      <c r="M385" s="25">
        <f>I385 * (0.01000000 / 12)</f>
        <v/>
      </c>
      <c r="N385" s="25">
        <f>I385 * (0.00664805 / 12) * 1.0</f>
        <v/>
      </c>
      <c r="O385" s="25">
        <f>I385 * (0.00400000 / 12) * 1.0</f>
        <v/>
      </c>
      <c r="P385" s="25">
        <f>I385 * (0.00500000 / 12) * 1.0</f>
        <v/>
      </c>
      <c r="Q385" s="25">
        <f>Q384 * (K385 / K384) + M385</f>
        <v/>
      </c>
      <c r="R385" s="25">
        <f>R384 * (K385 / K384) + N385</f>
        <v/>
      </c>
      <c r="S385" s="25">
        <f>S384 * (K385 / K384) + O385 + P385</f>
        <v/>
      </c>
      <c r="T385" s="22">
        <f>Q385 + R385 + S385</f>
        <v/>
      </c>
      <c r="U385" s="25">
        <f>MAX(0, -T385)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 t="n">
        <v>0</v>
      </c>
      <c r="J386" s="19" t="n">
        <v>0.2072624134648423</v>
      </c>
      <c r="K386" s="24">
        <f>1 / J386</f>
        <v/>
      </c>
      <c r="L386" s="24">
        <f>I386 * K386</f>
        <v/>
      </c>
      <c r="M386" s="24">
        <f>I386 * (0.01000000 / 12)</f>
        <v/>
      </c>
      <c r="N386" s="24">
        <f>I386 * (0.00664805 / 12) * 1.0</f>
        <v/>
      </c>
      <c r="O386" s="24">
        <f>I386 * (0.00400000 / 12) * 1.0</f>
        <v/>
      </c>
      <c r="P386" s="24">
        <f>I386 * (0.00500000 / 12) * 1.0</f>
        <v/>
      </c>
      <c r="Q386" s="24">
        <f>Q385 * (K386 / K385) + M386</f>
        <v/>
      </c>
      <c r="R386" s="24">
        <f>R385 * (K386 / K385) + N386</f>
        <v/>
      </c>
      <c r="S386" s="24">
        <f>S385 * (K386 / K385) + O386 + P386</f>
        <v/>
      </c>
      <c r="T386" s="20">
        <f>Q386 + R386 + S386</f>
        <v/>
      </c>
      <c r="U386" s="24">
        <f>MAX(0, -T386)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 t="n">
        <v>0</v>
      </c>
      <c r="J387" s="21" t="n">
        <v>0.2064178820765137</v>
      </c>
      <c r="K387" s="25">
        <f>1 / J387</f>
        <v/>
      </c>
      <c r="L387" s="25">
        <f>I387 * K387</f>
        <v/>
      </c>
      <c r="M387" s="25">
        <f>I387 * (0.01000000 / 12)</f>
        <v/>
      </c>
      <c r="N387" s="25">
        <f>I387 * (0.00664805 / 12) * 1.0</f>
        <v/>
      </c>
      <c r="O387" s="25">
        <f>I387 * (0.00400000 / 12) * 1.0</f>
        <v/>
      </c>
      <c r="P387" s="25">
        <f>I387 * (0.00500000 / 12) * 1.0</f>
        <v/>
      </c>
      <c r="Q387" s="25">
        <f>Q386 * (K387 / K386) + M387</f>
        <v/>
      </c>
      <c r="R387" s="25">
        <f>R386 * (K387 / K386) + N387</f>
        <v/>
      </c>
      <c r="S387" s="25">
        <f>S386 * (K387 / K386) + O387 + P387</f>
        <v/>
      </c>
      <c r="T387" s="22">
        <f>Q387 + R387 + S387</f>
        <v/>
      </c>
      <c r="U387" s="25">
        <f>MAX(0, -T387)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 t="n">
        <v>0</v>
      </c>
      <c r="J388" s="19" t="n">
        <v>0.2055767918971046</v>
      </c>
      <c r="K388" s="24">
        <f>1 / J388</f>
        <v/>
      </c>
      <c r="L388" s="24">
        <f>I388 * K388</f>
        <v/>
      </c>
      <c r="M388" s="24">
        <f>I388 * (0.01000000 / 12)</f>
        <v/>
      </c>
      <c r="N388" s="24">
        <f>I388 * (0.00664805 / 12) * 1.0</f>
        <v/>
      </c>
      <c r="O388" s="24">
        <f>I388 * (0.00400000 / 12) * 1.0</f>
        <v/>
      </c>
      <c r="P388" s="24">
        <f>I388 * (0.00500000 / 12) * 1.0</f>
        <v/>
      </c>
      <c r="Q388" s="24">
        <f>Q387 * (K388 / K387) + M388</f>
        <v/>
      </c>
      <c r="R388" s="24">
        <f>R387 * (K388 / K387) + N388</f>
        <v/>
      </c>
      <c r="S388" s="24">
        <f>S387 * (K388 / K387) + O388 + P388</f>
        <v/>
      </c>
      <c r="T388" s="20">
        <f>Q388 + R388 + S388</f>
        <v/>
      </c>
      <c r="U388" s="24">
        <f>MAX(0, -T388)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 t="n">
        <v>0</v>
      </c>
      <c r="J389" s="21" t="n">
        <v>0.2047391289047336</v>
      </c>
      <c r="K389" s="25">
        <f>1 / J389</f>
        <v/>
      </c>
      <c r="L389" s="25">
        <f>I389 * K389</f>
        <v/>
      </c>
      <c r="M389" s="25">
        <f>I389 * (0.01000000 / 12)</f>
        <v/>
      </c>
      <c r="N389" s="25">
        <f>I389 * (0.00664805 / 12) * 1.0</f>
        <v/>
      </c>
      <c r="O389" s="25">
        <f>I389 * (0.00400000 / 12) * 1.0</f>
        <v/>
      </c>
      <c r="P389" s="25">
        <f>I389 * (0.00500000 / 12) * 1.0</f>
        <v/>
      </c>
      <c r="Q389" s="25">
        <f>Q388 * (K389 / K388) + M389</f>
        <v/>
      </c>
      <c r="R389" s="25">
        <f>R388 * (K389 / K388) + N389</f>
        <v/>
      </c>
      <c r="S389" s="25">
        <f>S388 * (K389 / K388) + O389 + P389</f>
        <v/>
      </c>
      <c r="T389" s="22">
        <f>Q389 + R389 + S389</f>
        <v/>
      </c>
      <c r="U389" s="25">
        <f>MAX(0, -T389)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 t="n">
        <v>0</v>
      </c>
      <c r="J390" s="19" t="n">
        <v>0.2039048791346545</v>
      </c>
      <c r="K390" s="24">
        <f>1 / J390</f>
        <v/>
      </c>
      <c r="L390" s="24">
        <f>I390 * K390</f>
        <v/>
      </c>
      <c r="M390" s="24">
        <f>I390 * (0.01000000 / 12)</f>
        <v/>
      </c>
      <c r="N390" s="24">
        <f>I390 * (0.00664805 / 12) * 1.0</f>
        <v/>
      </c>
      <c r="O390" s="24">
        <f>I390 * (0.00400000 / 12) * 1.0</f>
        <v/>
      </c>
      <c r="P390" s="24">
        <f>I390 * (0.00500000 / 12) * 1.0</f>
        <v/>
      </c>
      <c r="Q390" s="24">
        <f>Q389 * (K390 / K389) + M390</f>
        <v/>
      </c>
      <c r="R390" s="24">
        <f>R389 * (K390 / K389) + N390</f>
        <v/>
      </c>
      <c r="S390" s="24">
        <f>S389 * (K390 / K389) + O390 + P390</f>
        <v/>
      </c>
      <c r="T390" s="20">
        <f>Q390 + R390 + S390</f>
        <v/>
      </c>
      <c r="U390" s="24">
        <f>MAX(0, -T390)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 t="n">
        <v>0</v>
      </c>
      <c r="J391" s="21" t="n">
        <v>0.2030740286790229</v>
      </c>
      <c r="K391" s="25">
        <f>1 / J391</f>
        <v/>
      </c>
      <c r="L391" s="25">
        <f>I391 * K391</f>
        <v/>
      </c>
      <c r="M391" s="25">
        <f>I391 * (0.01000000 / 12)</f>
        <v/>
      </c>
      <c r="N391" s="25">
        <f>I391 * (0.00664805 / 12) * 1.0</f>
        <v/>
      </c>
      <c r="O391" s="25">
        <f>I391 * (0.00400000 / 12) * 1.0</f>
        <v/>
      </c>
      <c r="P391" s="25">
        <f>I391 * (0.00500000 / 12) * 1.0</f>
        <v/>
      </c>
      <c r="Q391" s="25">
        <f>Q390 * (K391 / K390) + M391</f>
        <v/>
      </c>
      <c r="R391" s="25">
        <f>R390 * (K391 / K390) + N391</f>
        <v/>
      </c>
      <c r="S391" s="25">
        <f>S390 * (K391 / K390) + O391 + P391</f>
        <v/>
      </c>
      <c r="T391" s="22">
        <f>Q391 + R391 + S391</f>
        <v/>
      </c>
      <c r="U391" s="25">
        <f>MAX(0, -T391)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 t="n">
        <v>0</v>
      </c>
      <c r="J392" s="19" t="n">
        <v>0.202246563686665</v>
      </c>
      <c r="K392" s="24">
        <f>1 / J392</f>
        <v/>
      </c>
      <c r="L392" s="24">
        <f>I392 * K392</f>
        <v/>
      </c>
      <c r="M392" s="24">
        <f>I392 * (0.01000000 / 12)</f>
        <v/>
      </c>
      <c r="N392" s="24">
        <f>I392 * (0.00664805 / 12) * 1.0</f>
        <v/>
      </c>
      <c r="O392" s="24">
        <f>I392 * (0.00400000 / 12) * 1.0</f>
        <v/>
      </c>
      <c r="P392" s="24">
        <f>I392 * (0.00500000 / 12) * 1.0</f>
        <v/>
      </c>
      <c r="Q392" s="24">
        <f>Q391 * (K392 / K391) + M392</f>
        <v/>
      </c>
      <c r="R392" s="24">
        <f>R391 * (K392 / K391) + N392</f>
        <v/>
      </c>
      <c r="S392" s="24">
        <f>S391 * (K392 / K391) + O392 + P392</f>
        <v/>
      </c>
      <c r="T392" s="20">
        <f>Q392 + R392 + S392</f>
        <v/>
      </c>
      <c r="U392" s="24">
        <f>MAX(0, -T392)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 t="n">
        <v>0</v>
      </c>
      <c r="J393" s="21" t="n">
        <v>0.2014224703628461</v>
      </c>
      <c r="K393" s="25">
        <f>1 / J393</f>
        <v/>
      </c>
      <c r="L393" s="25">
        <f>I393 * K393</f>
        <v/>
      </c>
      <c r="M393" s="25">
        <f>I393 * (0.01000000 / 12)</f>
        <v/>
      </c>
      <c r="N393" s="25">
        <f>I393 * (0.00664805 / 12) * 1.0</f>
        <v/>
      </c>
      <c r="O393" s="25">
        <f>I393 * (0.00400000 / 12) * 1.0</f>
        <v/>
      </c>
      <c r="P393" s="25">
        <f>I393 * (0.00500000 / 12) * 1.0</f>
        <v/>
      </c>
      <c r="Q393" s="25">
        <f>Q392 * (K393 / K392) + M393</f>
        <v/>
      </c>
      <c r="R393" s="25">
        <f>R392 * (K393 / K392) + N393</f>
        <v/>
      </c>
      <c r="S393" s="25">
        <f>S392 * (K393 / K392) + O393 + P393</f>
        <v/>
      </c>
      <c r="T393" s="22">
        <f>Q393 + R393 + S393</f>
        <v/>
      </c>
      <c r="U393" s="25">
        <f>MAX(0, -T393)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 t="n">
        <v>0</v>
      </c>
      <c r="J394" s="19" t="n">
        <v>0.2006017349690408</v>
      </c>
      <c r="K394" s="24">
        <f>1 / J394</f>
        <v/>
      </c>
      <c r="L394" s="24">
        <f>I394 * K394</f>
        <v/>
      </c>
      <c r="M394" s="24">
        <f>I394 * (0.01000000 / 12)</f>
        <v/>
      </c>
      <c r="N394" s="24">
        <f>I394 * (0.00664805 / 12) * 1.0</f>
        <v/>
      </c>
      <c r="O394" s="24">
        <f>I394 * (0.00400000 / 12) * 1.0</f>
        <v/>
      </c>
      <c r="P394" s="24">
        <f>I394 * (0.00500000 / 12) * 1.0</f>
        <v/>
      </c>
      <c r="Q394" s="24">
        <f>Q393 * (K394 / K393) + M394</f>
        <v/>
      </c>
      <c r="R394" s="24">
        <f>R393 * (K394 / K393) + N394</f>
        <v/>
      </c>
      <c r="S394" s="24">
        <f>S393 * (K394 / K393) + O394 + P394</f>
        <v/>
      </c>
      <c r="T394" s="20">
        <f>Q394 + R394 + S394</f>
        <v/>
      </c>
      <c r="U394" s="24">
        <f>MAX(0, -T394)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 t="n">
        <v>0</v>
      </c>
      <c r="J395" s="21" t="n">
        <v>0.1997843438227042</v>
      </c>
      <c r="K395" s="25">
        <f>1 / J395</f>
        <v/>
      </c>
      <c r="L395" s="25">
        <f>I395 * K395</f>
        <v/>
      </c>
      <c r="M395" s="25">
        <f>I395 * (0.01000000 / 12)</f>
        <v/>
      </c>
      <c r="N395" s="25">
        <f>I395 * (0.00664805 / 12) * 1.0</f>
        <v/>
      </c>
      <c r="O395" s="25">
        <f>I395 * (0.00400000 / 12) * 1.0</f>
        <v/>
      </c>
      <c r="P395" s="25">
        <f>I395 * (0.00500000 / 12) * 1.0</f>
        <v/>
      </c>
      <c r="Q395" s="25">
        <f>Q394 * (K395 / K394) + M395</f>
        <v/>
      </c>
      <c r="R395" s="25">
        <f>R394 * (K395 / K394) + N395</f>
        <v/>
      </c>
      <c r="S395" s="25">
        <f>S394 * (K395 / K394) + O395 + P395</f>
        <v/>
      </c>
      <c r="T395" s="22">
        <f>Q395 + R395 + S395</f>
        <v/>
      </c>
      <c r="U395" s="25">
        <f>MAX(0, -T395)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 t="n">
        <v>0</v>
      </c>
      <c r="J396" s="19" t="n">
        <v>0.1989702832970435</v>
      </c>
      <c r="K396" s="24">
        <f>1 / J396</f>
        <v/>
      </c>
      <c r="L396" s="24">
        <f>I396 * K396</f>
        <v/>
      </c>
      <c r="M396" s="24">
        <f>I396 * (0.01000000 / 12)</f>
        <v/>
      </c>
      <c r="N396" s="24">
        <f>I396 * (0.00664805 / 12) * 1.0</f>
        <v/>
      </c>
      <c r="O396" s="24">
        <f>I396 * (0.00400000 / 12) * 1.0</f>
        <v/>
      </c>
      <c r="P396" s="24">
        <f>I396 * (0.00500000 / 12) * 1.0</f>
        <v/>
      </c>
      <c r="Q396" s="24">
        <f>Q395 * (K396 / K395) + M396</f>
        <v/>
      </c>
      <c r="R396" s="24">
        <f>R395 * (K396 / K395) + N396</f>
        <v/>
      </c>
      <c r="S396" s="24">
        <f>S395 * (K396 / K395) + O396 + P396</f>
        <v/>
      </c>
      <c r="T396" s="20">
        <f>Q396 + R396 + S396</f>
        <v/>
      </c>
      <c r="U396" s="24">
        <f>MAX(0, -T396)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 t="n">
        <v>0</v>
      </c>
      <c r="J397" s="21" t="n">
        <v>0.198159539820791</v>
      </c>
      <c r="K397" s="25">
        <f>1 / J397</f>
        <v/>
      </c>
      <c r="L397" s="25">
        <f>I397 * K397</f>
        <v/>
      </c>
      <c r="M397" s="25">
        <f>I397 * (0.01000000 / 12)</f>
        <v/>
      </c>
      <c r="N397" s="25">
        <f>I397 * (0.00664805 / 12) * 1.0</f>
        <v/>
      </c>
      <c r="O397" s="25">
        <f>I397 * (0.00400000 / 12) * 1.0</f>
        <v/>
      </c>
      <c r="P397" s="25">
        <f>I397 * (0.00500000 / 12) * 1.0</f>
        <v/>
      </c>
      <c r="Q397" s="25">
        <f>Q396 * (K397 / K396) + M397</f>
        <v/>
      </c>
      <c r="R397" s="25">
        <f>R396 * (K397 / K396) + N397</f>
        <v/>
      </c>
      <c r="S397" s="25">
        <f>S396 * (K397 / K396) + O397 + P397</f>
        <v/>
      </c>
      <c r="T397" s="22">
        <f>Q397 + R397 + S397</f>
        <v/>
      </c>
      <c r="U397" s="25">
        <f>MAX(0, -T397)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 t="n">
        <v>0</v>
      </c>
      <c r="J398" s="19" t="n">
        <v>0.1973520998779777</v>
      </c>
      <c r="K398" s="24">
        <f>1 / J398</f>
        <v/>
      </c>
      <c r="L398" s="24">
        <f>I398 * K398</f>
        <v/>
      </c>
      <c r="M398" s="24">
        <f>I398 * (0.01000000 / 12)</f>
        <v/>
      </c>
      <c r="N398" s="24">
        <f>I398 * (0.00664805 / 12) * 1.0</f>
        <v/>
      </c>
      <c r="O398" s="24">
        <f>I398 * (0.00400000 / 12) * 1.0</f>
        <v/>
      </c>
      <c r="P398" s="24">
        <f>I398 * (0.00500000 / 12) * 1.0</f>
        <v/>
      </c>
      <c r="Q398" s="24">
        <f>Q397 * (K398 / K397) + M398</f>
        <v/>
      </c>
      <c r="R398" s="24">
        <f>R397 * (K398 / K397) + N398</f>
        <v/>
      </c>
      <c r="S398" s="24">
        <f>S397 * (K398 / K397) + O398 + P398</f>
        <v/>
      </c>
      <c r="T398" s="20">
        <f>Q398 + R398 + S398</f>
        <v/>
      </c>
      <c r="U398" s="24">
        <f>MAX(0, -T398)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 t="n">
        <v>0</v>
      </c>
      <c r="J399" s="21" t="n">
        <v>0.1965479500077081</v>
      </c>
      <c r="K399" s="25">
        <f>1 / J399</f>
        <v/>
      </c>
      <c r="L399" s="25">
        <f>I399 * K399</f>
        <v/>
      </c>
      <c r="M399" s="25">
        <f>I399 * (0.01000000 / 12)</f>
        <v/>
      </c>
      <c r="N399" s="25">
        <f>I399 * (0.00664805 / 12) * 1.0</f>
        <v/>
      </c>
      <c r="O399" s="25">
        <f>I399 * (0.00400000 / 12) * 1.0</f>
        <v/>
      </c>
      <c r="P399" s="25">
        <f>I399 * (0.00500000 / 12) * 1.0</f>
        <v/>
      </c>
      <c r="Q399" s="25">
        <f>Q398 * (K399 / K398) + M399</f>
        <v/>
      </c>
      <c r="R399" s="25">
        <f>R398 * (K399 / K398) + N399</f>
        <v/>
      </c>
      <c r="S399" s="25">
        <f>S398 * (K399 / K398) + O399 + P399</f>
        <v/>
      </c>
      <c r="T399" s="22">
        <f>Q399 + R399 + S399</f>
        <v/>
      </c>
      <c r="U399" s="25">
        <f>MAX(0, -T399)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 t="n">
        <v>0</v>
      </c>
      <c r="J400" s="19" t="n">
        <v>0.195747076803936</v>
      </c>
      <c r="K400" s="24">
        <f>1 / J400</f>
        <v/>
      </c>
      <c r="L400" s="24">
        <f>I400 * K400</f>
        <v/>
      </c>
      <c r="M400" s="24">
        <f>I400 * (0.01000000 / 12)</f>
        <v/>
      </c>
      <c r="N400" s="24">
        <f>I400 * (0.00664805 / 12) * 1.0</f>
        <v/>
      </c>
      <c r="O400" s="24">
        <f>I400 * (0.00400000 / 12) * 1.0</f>
        <v/>
      </c>
      <c r="P400" s="24">
        <f>I400 * (0.00500000 / 12) * 1.0</f>
        <v/>
      </c>
      <c r="Q400" s="24">
        <f>Q399 * (K400 / K399) + M400</f>
        <v/>
      </c>
      <c r="R400" s="24">
        <f>R399 * (K400 / K399) + N400</f>
        <v/>
      </c>
      <c r="S400" s="24">
        <f>S399 * (K400 / K399) + O400 + P400</f>
        <v/>
      </c>
      <c r="T400" s="20">
        <f>Q400 + R400 + S400</f>
        <v/>
      </c>
      <c r="U400" s="24">
        <f>MAX(0, -T400)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 t="n">
        <v>0</v>
      </c>
      <c r="J401" s="21" t="n">
        <v>0.1949494669152403</v>
      </c>
      <c r="K401" s="25">
        <f>1 / J401</f>
        <v/>
      </c>
      <c r="L401" s="25">
        <f>I401 * K401</f>
        <v/>
      </c>
      <c r="M401" s="25">
        <f>I401 * (0.01000000 / 12)</f>
        <v/>
      </c>
      <c r="N401" s="25">
        <f>I401 * (0.00664805 / 12) * 1.0</f>
        <v/>
      </c>
      <c r="O401" s="25">
        <f>I401 * (0.00400000 / 12) * 1.0</f>
        <v/>
      </c>
      <c r="P401" s="25">
        <f>I401 * (0.00500000 / 12) * 1.0</f>
        <v/>
      </c>
      <c r="Q401" s="25">
        <f>Q400 * (K401 / K400) + M401</f>
        <v/>
      </c>
      <c r="R401" s="25">
        <f>R400 * (K401 / K400) + N401</f>
        <v/>
      </c>
      <c r="S401" s="25">
        <f>S400 * (K401 / K400) + O401 + P401</f>
        <v/>
      </c>
      <c r="T401" s="22">
        <f>Q401 + R401 + S401</f>
        <v/>
      </c>
      <c r="U401" s="25">
        <f>MAX(0, -T401)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 t="n">
        <v>0</v>
      </c>
      <c r="J402" s="19" t="n">
        <v>0.1941551070446033</v>
      </c>
      <c r="K402" s="24">
        <f>1 / J402</f>
        <v/>
      </c>
      <c r="L402" s="24">
        <f>I402 * K402</f>
        <v/>
      </c>
      <c r="M402" s="24">
        <f>I402 * (0.01000000 / 12)</f>
        <v/>
      </c>
      <c r="N402" s="24">
        <f>I402 * (0.00664805 / 12) * 1.0</f>
        <v/>
      </c>
      <c r="O402" s="24">
        <f>I402 * (0.00400000 / 12) * 1.0</f>
        <v/>
      </c>
      <c r="P402" s="24">
        <f>I402 * (0.00500000 / 12) * 1.0</f>
        <v/>
      </c>
      <c r="Q402" s="24">
        <f>Q401 * (K402 / K401) + M402</f>
        <v/>
      </c>
      <c r="R402" s="24">
        <f>R401 * (K402 / K401) + N402</f>
        <v/>
      </c>
      <c r="S402" s="24">
        <f>S401 * (K402 / K401) + O402 + P402</f>
        <v/>
      </c>
      <c r="T402" s="20">
        <f>Q402 + R402 + S402</f>
        <v/>
      </c>
      <c r="U402" s="24">
        <f>MAX(0, -T402)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 t="n">
        <v>0</v>
      </c>
      <c r="J403" s="21" t="n">
        <v>0.1933639839491885</v>
      </c>
      <c r="K403" s="25">
        <f>1 / J403</f>
        <v/>
      </c>
      <c r="L403" s="25">
        <f>I403 * K403</f>
        <v/>
      </c>
      <c r="M403" s="25">
        <f>I403 * (0.01000000 / 12)</f>
        <v/>
      </c>
      <c r="N403" s="25">
        <f>I403 * (0.00664805 / 12) * 1.0</f>
        <v/>
      </c>
      <c r="O403" s="25">
        <f>I403 * (0.00400000 / 12) * 1.0</f>
        <v/>
      </c>
      <c r="P403" s="25">
        <f>I403 * (0.00500000 / 12) * 1.0</f>
        <v/>
      </c>
      <c r="Q403" s="25">
        <f>Q402 * (K403 / K402) + M403</f>
        <v/>
      </c>
      <c r="R403" s="25">
        <f>R402 * (K403 / K402) + N403</f>
        <v/>
      </c>
      <c r="S403" s="25">
        <f>S402 * (K403 / K402) + O403 + P403</f>
        <v/>
      </c>
      <c r="T403" s="22">
        <f>Q403 + R403 + S403</f>
        <v/>
      </c>
      <c r="U403" s="25">
        <f>MAX(0, -T403)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 t="n">
        <v>0</v>
      </c>
      <c r="J404" s="19" t="n">
        <v>0.1925760844401198</v>
      </c>
      <c r="K404" s="24">
        <f>1 / J404</f>
        <v/>
      </c>
      <c r="L404" s="24">
        <f>I404 * K404</f>
        <v/>
      </c>
      <c r="M404" s="24">
        <f>I404 * (0.01000000 / 12)</f>
        <v/>
      </c>
      <c r="N404" s="24">
        <f>I404 * (0.00664805 / 12) * 1.0</f>
        <v/>
      </c>
      <c r="O404" s="24">
        <f>I404 * (0.00400000 / 12) * 1.0</f>
        <v/>
      </c>
      <c r="P404" s="24">
        <f>I404 * (0.00500000 / 12) * 1.0</f>
        <v/>
      </c>
      <c r="Q404" s="24">
        <f>Q403 * (K404 / K403) + M404</f>
        <v/>
      </c>
      <c r="R404" s="24">
        <f>R403 * (K404 / K403) + N404</f>
        <v/>
      </c>
      <c r="S404" s="24">
        <f>S403 * (K404 / K403) + O404 + P404</f>
        <v/>
      </c>
      <c r="T404" s="20">
        <f>Q404 + R404 + S404</f>
        <v/>
      </c>
      <c r="U404" s="24">
        <f>MAX(0, -T404)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 t="n">
        <v>0</v>
      </c>
      <c r="J405" s="21" t="n">
        <v>0.1917913953822618</v>
      </c>
      <c r="K405" s="25">
        <f>1 / J405</f>
        <v/>
      </c>
      <c r="L405" s="25">
        <f>I405 * K405</f>
        <v/>
      </c>
      <c r="M405" s="25">
        <f>I405 * (0.01000000 / 12)</f>
        <v/>
      </c>
      <c r="N405" s="25">
        <f>I405 * (0.00664805 / 12) * 1.0</f>
        <v/>
      </c>
      <c r="O405" s="25">
        <f>I405 * (0.00400000 / 12) * 1.0</f>
        <v/>
      </c>
      <c r="P405" s="25">
        <f>I405 * (0.00500000 / 12) * 1.0</f>
        <v/>
      </c>
      <c r="Q405" s="25">
        <f>Q404 * (K405 / K404) + M405</f>
        <v/>
      </c>
      <c r="R405" s="25">
        <f>R404 * (K405 / K404) + N405</f>
        <v/>
      </c>
      <c r="S405" s="25">
        <f>S404 * (K405 / K404) + O405 + P405</f>
        <v/>
      </c>
      <c r="T405" s="22">
        <f>Q405 + R405 + S405</f>
        <v/>
      </c>
      <c r="U405" s="25">
        <f>MAX(0, -T405)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 t="n">
        <v>0</v>
      </c>
      <c r="J406" s="19" t="n">
        <v>0.191009903694001</v>
      </c>
      <c r="K406" s="24">
        <f>1 / J406</f>
        <v/>
      </c>
      <c r="L406" s="24">
        <f>I406 * K406</f>
        <v/>
      </c>
      <c r="M406" s="24">
        <f>I406 * (0.01000000 / 12)</f>
        <v/>
      </c>
      <c r="N406" s="24">
        <f>I406 * (0.00664805 / 12) * 1.0</f>
        <v/>
      </c>
      <c r="O406" s="24">
        <f>I406 * (0.00400000 / 12) * 1.0</f>
        <v/>
      </c>
      <c r="P406" s="24">
        <f>I406 * (0.00500000 / 12) * 1.0</f>
        <v/>
      </c>
      <c r="Q406" s="24">
        <f>Q405 * (K406 / K405) + M406</f>
        <v/>
      </c>
      <c r="R406" s="24">
        <f>R405 * (K406 / K405) + N406</f>
        <v/>
      </c>
      <c r="S406" s="24">
        <f>S405 * (K406 / K405) + O406 + P406</f>
        <v/>
      </c>
      <c r="T406" s="20">
        <f>Q406 + R406 + S406</f>
        <v/>
      </c>
      <c r="U406" s="24">
        <f>MAX(0, -T406)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 t="n">
        <v>0</v>
      </c>
      <c r="J407" s="21" t="n">
        <v>0.1902315963470273</v>
      </c>
      <c r="K407" s="25">
        <f>1 / J407</f>
        <v/>
      </c>
      <c r="L407" s="25">
        <f>I407 * K407</f>
        <v/>
      </c>
      <c r="M407" s="25">
        <f>I407 * (0.01000000 / 12)</f>
        <v/>
      </c>
      <c r="N407" s="25">
        <f>I407 * (0.00664805 / 12) * 1.0</f>
        <v/>
      </c>
      <c r="O407" s="25">
        <f>I407 * (0.00400000 / 12) * 1.0</f>
        <v/>
      </c>
      <c r="P407" s="25">
        <f>I407 * (0.00500000 / 12) * 1.0</f>
        <v/>
      </c>
      <c r="Q407" s="25">
        <f>Q406 * (K407 / K406) + M407</f>
        <v/>
      </c>
      <c r="R407" s="25">
        <f>R406 * (K407 / K406) + N407</f>
        <v/>
      </c>
      <c r="S407" s="25">
        <f>S406 * (K407 / K406) + O407 + P407</f>
        <v/>
      </c>
      <c r="T407" s="22">
        <f>Q407 + R407 + S407</f>
        <v/>
      </c>
      <c r="U407" s="25">
        <f>MAX(0, -T407)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 t="n">
        <v>0</v>
      </c>
      <c r="J408" s="19" t="n">
        <v>0.189456460366117</v>
      </c>
      <c r="K408" s="24">
        <f>1 / J408</f>
        <v/>
      </c>
      <c r="L408" s="24">
        <f>I408 * K408</f>
        <v/>
      </c>
      <c r="M408" s="24">
        <f>I408 * (0.01000000 / 12)</f>
        <v/>
      </c>
      <c r="N408" s="24">
        <f>I408 * (0.00664805 / 12) * 1.0</f>
        <v/>
      </c>
      <c r="O408" s="24">
        <f>I408 * (0.00400000 / 12) * 1.0</f>
        <v/>
      </c>
      <c r="P408" s="24">
        <f>I408 * (0.00500000 / 12) * 1.0</f>
        <v/>
      </c>
      <c r="Q408" s="24">
        <f>Q407 * (K408 / K407) + M408</f>
        <v/>
      </c>
      <c r="R408" s="24">
        <f>R407 * (K408 / K407) + N408</f>
        <v/>
      </c>
      <c r="S408" s="24">
        <f>S407 * (K408 / K407) + O408 + P408</f>
        <v/>
      </c>
      <c r="T408" s="20">
        <f>Q408 + R408 + S408</f>
        <v/>
      </c>
      <c r="U408" s="24">
        <f>MAX(0, -T408)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 t="n">
        <v>0</v>
      </c>
      <c r="J409" s="21" t="n">
        <v>0.1886844828289165</v>
      </c>
      <c r="K409" s="25">
        <f>1 / J409</f>
        <v/>
      </c>
      <c r="L409" s="25">
        <f>I409 * K409</f>
        <v/>
      </c>
      <c r="M409" s="25">
        <f>I409 * (0.01000000 / 12)</f>
        <v/>
      </c>
      <c r="N409" s="25">
        <f>I409 * (0.00664805 / 12) * 1.0</f>
        <v/>
      </c>
      <c r="O409" s="25">
        <f>I409 * (0.00400000 / 12) * 1.0</f>
        <v/>
      </c>
      <c r="P409" s="25">
        <f>I409 * (0.00500000 / 12) * 1.0</f>
        <v/>
      </c>
      <c r="Q409" s="25">
        <f>Q408 * (K409 / K408) + M409</f>
        <v/>
      </c>
      <c r="R409" s="25">
        <f>R408 * (K409 / K408) + N409</f>
        <v/>
      </c>
      <c r="S409" s="25">
        <f>S408 * (K409 / K408) + O409 + P409</f>
        <v/>
      </c>
      <c r="T409" s="22">
        <f>Q409 + R409 + S409</f>
        <v/>
      </c>
      <c r="U409" s="25">
        <f>MAX(0, -T409)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 t="n">
        <v>0</v>
      </c>
      <c r="J410" s="19" t="n">
        <v>0.1879156508657271</v>
      </c>
      <c r="K410" s="24">
        <f>1 / J410</f>
        <v/>
      </c>
      <c r="L410" s="24">
        <f>I410 * K410</f>
        <v/>
      </c>
      <c r="M410" s="24">
        <f>I410 * (0.01000000 / 12)</f>
        <v/>
      </c>
      <c r="N410" s="24">
        <f>I410 * (0.00664805 / 12) * 1.0</f>
        <v/>
      </c>
      <c r="O410" s="24">
        <f>I410 * (0.00400000 / 12) * 1.0</f>
        <v/>
      </c>
      <c r="P410" s="24">
        <f>I410 * (0.00500000 / 12) * 1.0</f>
        <v/>
      </c>
      <c r="Q410" s="24">
        <f>Q409 * (K410 / K409) + M410</f>
        <v/>
      </c>
      <c r="R410" s="24">
        <f>R409 * (K410 / K409) + N410</f>
        <v/>
      </c>
      <c r="S410" s="24">
        <f>S409 * (K410 / K409) + O410 + P410</f>
        <v/>
      </c>
      <c r="T410" s="20">
        <f>Q410 + R410 + S410</f>
        <v/>
      </c>
      <c r="U410" s="24">
        <f>MAX(0, -T410)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 t="n">
        <v>0</v>
      </c>
      <c r="J411" s="21" t="n">
        <v>0.1871499516592899</v>
      </c>
      <c r="K411" s="25">
        <f>1 / J411</f>
        <v/>
      </c>
      <c r="L411" s="25">
        <f>I411 * K411</f>
        <v/>
      </c>
      <c r="M411" s="25">
        <f>I411 * (0.01000000 / 12)</f>
        <v/>
      </c>
      <c r="N411" s="25">
        <f>I411 * (0.00664805 / 12) * 1.0</f>
        <v/>
      </c>
      <c r="O411" s="25">
        <f>I411 * (0.00400000 / 12) * 1.0</f>
        <v/>
      </c>
      <c r="P411" s="25">
        <f>I411 * (0.00500000 / 12) * 1.0</f>
        <v/>
      </c>
      <c r="Q411" s="25">
        <f>Q410 * (K411 / K410) + M411</f>
        <v/>
      </c>
      <c r="R411" s="25">
        <f>R410 * (K411 / K410) + N411</f>
        <v/>
      </c>
      <c r="S411" s="25">
        <f>S410 * (K411 / K410) + O411 + P411</f>
        <v/>
      </c>
      <c r="T411" s="22">
        <f>Q411 + R411 + S411</f>
        <v/>
      </c>
      <c r="U411" s="25">
        <f>MAX(0, -T411)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 t="n">
        <v>0</v>
      </c>
      <c r="J412" s="19" t="n">
        <v>0.1863873724445725</v>
      </c>
      <c r="K412" s="24">
        <f>1 / J412</f>
        <v/>
      </c>
      <c r="L412" s="24">
        <f>I412 * K412</f>
        <v/>
      </c>
      <c r="M412" s="24">
        <f>I412 * (0.01000000 / 12)</f>
        <v/>
      </c>
      <c r="N412" s="24">
        <f>I412 * (0.00664805 / 12) * 1.0</f>
        <v/>
      </c>
      <c r="O412" s="24">
        <f>I412 * (0.00400000 / 12) * 1.0</f>
        <v/>
      </c>
      <c r="P412" s="24">
        <f>I412 * (0.00500000 / 12) * 1.0</f>
        <v/>
      </c>
      <c r="Q412" s="24">
        <f>Q411 * (K412 / K411) + M412</f>
        <v/>
      </c>
      <c r="R412" s="24">
        <f>R411 * (K412 / K411) + N412</f>
        <v/>
      </c>
      <c r="S412" s="24">
        <f>S411 * (K412 / K411) + O412 + P412</f>
        <v/>
      </c>
      <c r="T412" s="20">
        <f>Q412 + R412 + S412</f>
        <v/>
      </c>
      <c r="U412" s="24">
        <f>MAX(0, -T412)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 t="n">
        <v>0</v>
      </c>
      <c r="J413" s="21" t="n">
        <v>0.1856279005085563</v>
      </c>
      <c r="K413" s="25">
        <f>1 / J413</f>
        <v/>
      </c>
      <c r="L413" s="25">
        <f>I413 * K413</f>
        <v/>
      </c>
      <c r="M413" s="25">
        <f>I413 * (0.01000000 / 12)</f>
        <v/>
      </c>
      <c r="N413" s="25">
        <f>I413 * (0.00664805 / 12) * 1.0</f>
        <v/>
      </c>
      <c r="O413" s="25">
        <f>I413 * (0.00400000 / 12) * 1.0</f>
        <v/>
      </c>
      <c r="P413" s="25">
        <f>I413 * (0.00500000 / 12) * 1.0</f>
        <v/>
      </c>
      <c r="Q413" s="25">
        <f>Q412 * (K413 / K412) + M413</f>
        <v/>
      </c>
      <c r="R413" s="25">
        <f>R412 * (K413 / K412) + N413</f>
        <v/>
      </c>
      <c r="S413" s="25">
        <f>S412 * (K413 / K412) + O413 + P413</f>
        <v/>
      </c>
      <c r="T413" s="22">
        <f>Q413 + R413 + S413</f>
        <v/>
      </c>
      <c r="U413" s="25">
        <f>MAX(0, -T413)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 t="n">
        <v>0</v>
      </c>
      <c r="J414" s="19" t="n">
        <v>0.1848715231900244</v>
      </c>
      <c r="K414" s="24">
        <f>1 / J414</f>
        <v/>
      </c>
      <c r="L414" s="24">
        <f>I414 * K414</f>
        <v/>
      </c>
      <c r="M414" s="24">
        <f>I414 * (0.01000000 / 12)</f>
        <v/>
      </c>
      <c r="N414" s="24">
        <f>I414 * (0.00664805 / 12) * 1.0</f>
        <v/>
      </c>
      <c r="O414" s="24">
        <f>I414 * (0.00400000 / 12) * 1.0</f>
        <v/>
      </c>
      <c r="P414" s="24">
        <f>I414 * (0.00500000 / 12) * 1.0</f>
        <v/>
      </c>
      <c r="Q414" s="24">
        <f>Q413 * (K414 / K413) + M414</f>
        <v/>
      </c>
      <c r="R414" s="24">
        <f>R413 * (K414 / K413) + N414</f>
        <v/>
      </c>
      <c r="S414" s="24">
        <f>S413 * (K414 / K413) + O414 + P414</f>
        <v/>
      </c>
      <c r="T414" s="20">
        <f>Q414 + R414 + S414</f>
        <v/>
      </c>
      <c r="U414" s="24">
        <f>MAX(0, -T414)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 t="n">
        <v>0</v>
      </c>
      <c r="J415" s="21" t="n">
        <v>0.1841182278793502</v>
      </c>
      <c r="K415" s="25">
        <f>1 / J415</f>
        <v/>
      </c>
      <c r="L415" s="25">
        <f>I415 * K415</f>
        <v/>
      </c>
      <c r="M415" s="25">
        <f>I415 * (0.01000000 / 12)</f>
        <v/>
      </c>
      <c r="N415" s="25">
        <f>I415 * (0.00664805 / 12) * 1.0</f>
        <v/>
      </c>
      <c r="O415" s="25">
        <f>I415 * (0.00400000 / 12) * 1.0</f>
        <v/>
      </c>
      <c r="P415" s="25">
        <f>I415 * (0.00500000 / 12) * 1.0</f>
        <v/>
      </c>
      <c r="Q415" s="25">
        <f>Q414 * (K415 / K414) + M415</f>
        <v/>
      </c>
      <c r="R415" s="25">
        <f>R414 * (K415 / K414) + N415</f>
        <v/>
      </c>
      <c r="S415" s="25">
        <f>S414 * (K415 / K414) + O415 + P415</f>
        <v/>
      </c>
      <c r="T415" s="22">
        <f>Q415 + R415 + S415</f>
        <v/>
      </c>
      <c r="U415" s="25">
        <f>MAX(0, -T415)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 t="n">
        <v>0</v>
      </c>
      <c r="J416" s="19" t="n">
        <v>0.1833680020182877</v>
      </c>
      <c r="K416" s="24">
        <f>1 / J416</f>
        <v/>
      </c>
      <c r="L416" s="24">
        <f>I416 * K416</f>
        <v/>
      </c>
      <c r="M416" s="24">
        <f>I416 * (0.01000000 / 12)</f>
        <v/>
      </c>
      <c r="N416" s="24">
        <f>I416 * (0.00664805 / 12) * 1.0</f>
        <v/>
      </c>
      <c r="O416" s="24">
        <f>I416 * (0.00400000 / 12) * 1.0</f>
        <v/>
      </c>
      <c r="P416" s="24">
        <f>I416 * (0.00500000 / 12) * 1.0</f>
        <v/>
      </c>
      <c r="Q416" s="24">
        <f>Q415 * (K416 / K415) + M416</f>
        <v/>
      </c>
      <c r="R416" s="24">
        <f>R415 * (K416 / K415) + N416</f>
        <v/>
      </c>
      <c r="S416" s="24">
        <f>S415 * (K416 / K415) + O416 + P416</f>
        <v/>
      </c>
      <c r="T416" s="20">
        <f>Q416 + R416 + S416</f>
        <v/>
      </c>
      <c r="U416" s="24">
        <f>MAX(0, -T416)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 t="n">
        <v>0</v>
      </c>
      <c r="J417" s="21" t="n">
        <v>0.1826208330997621</v>
      </c>
      <c r="K417" s="25">
        <f>1 / J417</f>
        <v/>
      </c>
      <c r="L417" s="25">
        <f>I417 * K417</f>
        <v/>
      </c>
      <c r="M417" s="25">
        <f>I417 * (0.01000000 / 12)</f>
        <v/>
      </c>
      <c r="N417" s="25">
        <f>I417 * (0.00664805 / 12) * 1.0</f>
        <v/>
      </c>
      <c r="O417" s="25">
        <f>I417 * (0.00400000 / 12) * 1.0</f>
        <v/>
      </c>
      <c r="P417" s="25">
        <f>I417 * (0.00500000 / 12) * 1.0</f>
        <v/>
      </c>
      <c r="Q417" s="25">
        <f>Q416 * (K417 / K416) + M417</f>
        <v/>
      </c>
      <c r="R417" s="25">
        <f>R416 * (K417 / K416) + N417</f>
        <v/>
      </c>
      <c r="S417" s="25">
        <f>S416 * (K417 / K416) + O417 + P417</f>
        <v/>
      </c>
      <c r="T417" s="22">
        <f>Q417 + R417 + S417</f>
        <v/>
      </c>
      <c r="U417" s="25">
        <f>MAX(0, -T417)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 t="n">
        <v>0</v>
      </c>
      <c r="J418" s="19" t="n">
        <v>0.1818767086676609</v>
      </c>
      <c r="K418" s="24">
        <f>1 / J418</f>
        <v/>
      </c>
      <c r="L418" s="24">
        <f>I418 * K418</f>
        <v/>
      </c>
      <c r="M418" s="24">
        <f>I418 * (0.01000000 / 12)</f>
        <v/>
      </c>
      <c r="N418" s="24">
        <f>I418 * (0.00664805 / 12) * 1.0</f>
        <v/>
      </c>
      <c r="O418" s="24">
        <f>I418 * (0.00400000 / 12) * 1.0</f>
        <v/>
      </c>
      <c r="P418" s="24">
        <f>I418 * (0.00500000 / 12) * 1.0</f>
        <v/>
      </c>
      <c r="Q418" s="24">
        <f>Q417 * (K418 / K417) + M418</f>
        <v/>
      </c>
      <c r="R418" s="24">
        <f>R417 * (K418 / K417) + N418</f>
        <v/>
      </c>
      <c r="S418" s="24">
        <f>S417 * (K418 / K417) + O418 + P418</f>
        <v/>
      </c>
      <c r="T418" s="20">
        <f>Q418 + R418 + S418</f>
        <v/>
      </c>
      <c r="U418" s="24">
        <f>MAX(0, -T418)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 t="n">
        <v>0</v>
      </c>
      <c r="J419" s="21" t="n">
        <v>0.1811356163166265</v>
      </c>
      <c r="K419" s="25">
        <f>1 / J419</f>
        <v/>
      </c>
      <c r="L419" s="25">
        <f>I419 * K419</f>
        <v/>
      </c>
      <c r="M419" s="25">
        <f>I419 * (0.01000000 / 12)</f>
        <v/>
      </c>
      <c r="N419" s="25">
        <f>I419 * (0.00664805 / 12) * 1.0</f>
        <v/>
      </c>
      <c r="O419" s="25">
        <f>I419 * (0.00400000 / 12) * 1.0</f>
        <v/>
      </c>
      <c r="P419" s="25">
        <f>I419 * (0.00500000 / 12) * 1.0</f>
        <v/>
      </c>
      <c r="Q419" s="25">
        <f>Q418 * (K419 / K418) + M419</f>
        <v/>
      </c>
      <c r="R419" s="25">
        <f>R418 * (K419 / K418) + N419</f>
        <v/>
      </c>
      <c r="S419" s="25">
        <f>S418 * (K419 / K418) + O419 + P419</f>
        <v/>
      </c>
      <c r="T419" s="22">
        <f>Q419 + R419 + S419</f>
        <v/>
      </c>
      <c r="U419" s="25">
        <f>MAX(0, -T419)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 t="n">
        <v>0</v>
      </c>
      <c r="J420" s="19" t="n">
        <v>0.1803975436918494</v>
      </c>
      <c r="K420" s="24">
        <f>1 / J420</f>
        <v/>
      </c>
      <c r="L420" s="24">
        <f>I420 * K420</f>
        <v/>
      </c>
      <c r="M420" s="24">
        <f>I420 * (0.01000000 / 12)</f>
        <v/>
      </c>
      <c r="N420" s="24">
        <f>I420 * (0.00664805 / 12) * 1.0</f>
        <v/>
      </c>
      <c r="O420" s="24">
        <f>I420 * (0.00400000 / 12) * 1.0</f>
        <v/>
      </c>
      <c r="P420" s="24">
        <f>I420 * (0.00500000 / 12) * 1.0</f>
        <v/>
      </c>
      <c r="Q420" s="24">
        <f>Q419 * (K420 / K419) + M420</f>
        <v/>
      </c>
      <c r="R420" s="24">
        <f>R419 * (K420 / K419) + N420</f>
        <v/>
      </c>
      <c r="S420" s="24">
        <f>S419 * (K420 / K419) + O420 + P420</f>
        <v/>
      </c>
      <c r="T420" s="20">
        <f>Q420 + R420 + S420</f>
        <v/>
      </c>
      <c r="U420" s="24">
        <f>MAX(0, -T420)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 t="n">
        <v>0</v>
      </c>
      <c r="J421" s="21" t="n">
        <v>0.1796624784888623</v>
      </c>
      <c r="K421" s="25">
        <f>1 / J421</f>
        <v/>
      </c>
      <c r="L421" s="25">
        <f>I421 * K421</f>
        <v/>
      </c>
      <c r="M421" s="25">
        <f>I421 * (0.01000000 / 12)</f>
        <v/>
      </c>
      <c r="N421" s="25">
        <f>I421 * (0.00664805 / 12) * 1.0</f>
        <v/>
      </c>
      <c r="O421" s="25">
        <f>I421 * (0.00400000 / 12) * 1.0</f>
        <v/>
      </c>
      <c r="P421" s="25">
        <f>I421 * (0.00500000 / 12) * 1.0</f>
        <v/>
      </c>
      <c r="Q421" s="25">
        <f>Q420 * (K421 / K420) + M421</f>
        <v/>
      </c>
      <c r="R421" s="25">
        <f>R420 * (K421 / K420) + N421</f>
        <v/>
      </c>
      <c r="S421" s="25">
        <f>S420 * (K421 / K420) + O421 + P421</f>
        <v/>
      </c>
      <c r="T421" s="22">
        <f>Q421 + R421 + S421</f>
        <v/>
      </c>
      <c r="U421" s="25">
        <f>MAX(0, -T421)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 t="n">
        <v>0</v>
      </c>
      <c r="J422" s="19" t="n">
        <v>0.1789304084533347</v>
      </c>
      <c r="K422" s="24">
        <f>1 / J422</f>
        <v/>
      </c>
      <c r="L422" s="24">
        <f>I422 * K422</f>
        <v/>
      </c>
      <c r="M422" s="24">
        <f>I422 * (0.01000000 / 12)</f>
        <v/>
      </c>
      <c r="N422" s="24">
        <f>I422 * (0.00664805 / 12) * 1.0</f>
        <v/>
      </c>
      <c r="O422" s="24">
        <f>I422 * (0.00400000 / 12) * 1.0</f>
        <v/>
      </c>
      <c r="P422" s="24">
        <f>I422 * (0.00500000 / 12) * 1.0</f>
        <v/>
      </c>
      <c r="Q422" s="24">
        <f>Q421 * (K422 / K421) + M422</f>
        <v/>
      </c>
      <c r="R422" s="24">
        <f>R421 * (K422 / K421) + N422</f>
        <v/>
      </c>
      <c r="S422" s="24">
        <f>S421 * (K422 / K421) + O422 + P422</f>
        <v/>
      </c>
      <c r="T422" s="20">
        <f>Q422 + R422 + S422</f>
        <v/>
      </c>
      <c r="U422" s="24">
        <f>MAX(0, -T422)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 t="n">
        <v>0</v>
      </c>
      <c r="J423" s="21" t="n">
        <v>0.1782013213808688</v>
      </c>
      <c r="K423" s="25">
        <f>1 / J423</f>
        <v/>
      </c>
      <c r="L423" s="25">
        <f>I423 * K423</f>
        <v/>
      </c>
      <c r="M423" s="25">
        <f>I423 * (0.01000000 / 12)</f>
        <v/>
      </c>
      <c r="N423" s="25">
        <f>I423 * (0.00664805 / 12) * 1.0</f>
        <v/>
      </c>
      <c r="O423" s="25">
        <f>I423 * (0.00400000 / 12) * 1.0</f>
        <v/>
      </c>
      <c r="P423" s="25">
        <f>I423 * (0.00500000 / 12) * 1.0</f>
        <v/>
      </c>
      <c r="Q423" s="25">
        <f>Q422 * (K423 / K422) + M423</f>
        <v/>
      </c>
      <c r="R423" s="25">
        <f>R422 * (K423 / K422) + N423</f>
        <v/>
      </c>
      <c r="S423" s="25">
        <f>S422 * (K423 / K422) + O423 + P423</f>
        <v/>
      </c>
      <c r="T423" s="22">
        <f>Q423 + R423 + S423</f>
        <v/>
      </c>
      <c r="U423" s="25">
        <f>MAX(0, -T423)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 t="n">
        <v>0</v>
      </c>
      <c r="J424" s="19" t="n">
        <v>0.1774752051167962</v>
      </c>
      <c r="K424" s="24">
        <f>1 / J424</f>
        <v/>
      </c>
      <c r="L424" s="24">
        <f>I424 * K424</f>
        <v/>
      </c>
      <c r="M424" s="24">
        <f>I424 * (0.01000000 / 12)</f>
        <v/>
      </c>
      <c r="N424" s="24">
        <f>I424 * (0.00664805 / 12) * 1.0</f>
        <v/>
      </c>
      <c r="O424" s="24">
        <f>I424 * (0.00400000 / 12) * 1.0</f>
        <v/>
      </c>
      <c r="P424" s="24">
        <f>I424 * (0.00500000 / 12) * 1.0</f>
        <v/>
      </c>
      <c r="Q424" s="24">
        <f>Q423 * (K424 / K423) + M424</f>
        <v/>
      </c>
      <c r="R424" s="24">
        <f>R423 * (K424 / K423) + N424</f>
        <v/>
      </c>
      <c r="S424" s="24">
        <f>S423 * (K424 / K423) + O424 + P424</f>
        <v/>
      </c>
      <c r="T424" s="20">
        <f>Q424 + R424 + S424</f>
        <v/>
      </c>
      <c r="U424" s="24">
        <f>MAX(0, -T424)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 t="n">
        <v>0</v>
      </c>
      <c r="J425" s="21" t="n">
        <v>0.1767520475559748</v>
      </c>
      <c r="K425" s="25">
        <f>1 / J425</f>
        <v/>
      </c>
      <c r="L425" s="25">
        <f>I425 * K425</f>
        <v/>
      </c>
      <c r="M425" s="25">
        <f>I425 * (0.01000000 / 12)</f>
        <v/>
      </c>
      <c r="N425" s="25">
        <f>I425 * (0.00664805 / 12) * 1.0</f>
        <v/>
      </c>
      <c r="O425" s="25">
        <f>I425 * (0.00400000 / 12) * 1.0</f>
        <v/>
      </c>
      <c r="P425" s="25">
        <f>I425 * (0.00500000 / 12) * 1.0</f>
        <v/>
      </c>
      <c r="Q425" s="25">
        <f>Q424 * (K425 / K424) + M425</f>
        <v/>
      </c>
      <c r="R425" s="25">
        <f>R424 * (K425 / K424) + N425</f>
        <v/>
      </c>
      <c r="S425" s="25">
        <f>S424 * (K425 / K424) + O425 + P425</f>
        <v/>
      </c>
      <c r="T425" s="22">
        <f>Q425 + R425 + S425</f>
        <v/>
      </c>
      <c r="U425" s="25">
        <f>MAX(0, -T425)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 t="n">
        <v>0</v>
      </c>
      <c r="J426" s="19" t="n">
        <v>0.1760318366425876</v>
      </c>
      <c r="K426" s="24">
        <f>1 / J426</f>
        <v/>
      </c>
      <c r="L426" s="24">
        <f>I426 * K426</f>
        <v/>
      </c>
      <c r="M426" s="24">
        <f>I426 * (0.01000000 / 12)</f>
        <v/>
      </c>
      <c r="N426" s="24">
        <f>I426 * (0.00664805 / 12) * 1.0</f>
        <v/>
      </c>
      <c r="O426" s="24">
        <f>I426 * (0.00400000 / 12) * 1.0</f>
        <v/>
      </c>
      <c r="P426" s="24">
        <f>I426 * (0.00500000 / 12) * 1.0</f>
        <v/>
      </c>
      <c r="Q426" s="24">
        <f>Q425 * (K426 / K425) + M426</f>
        <v/>
      </c>
      <c r="R426" s="24">
        <f>R425 * (K426 / K425) + N426</f>
        <v/>
      </c>
      <c r="S426" s="24">
        <f>S425 * (K426 / K425) + O426 + P426</f>
        <v/>
      </c>
      <c r="T426" s="20">
        <f>Q426 + R426 + S426</f>
        <v/>
      </c>
      <c r="U426" s="24">
        <f>MAX(0, -T426)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 t="n">
        <v>0</v>
      </c>
      <c r="J427" s="21" t="n">
        <v>0.175314560369941</v>
      </c>
      <c r="K427" s="25">
        <f>1 / J427</f>
        <v/>
      </c>
      <c r="L427" s="25">
        <f>I427 * K427</f>
        <v/>
      </c>
      <c r="M427" s="25">
        <f>I427 * (0.01000000 / 12)</f>
        <v/>
      </c>
      <c r="N427" s="25">
        <f>I427 * (0.00664805 / 12) * 1.0</f>
        <v/>
      </c>
      <c r="O427" s="25">
        <f>I427 * (0.00400000 / 12) * 1.0</f>
        <v/>
      </c>
      <c r="P427" s="25">
        <f>I427 * (0.00500000 / 12) * 1.0</f>
        <v/>
      </c>
      <c r="Q427" s="25">
        <f>Q426 * (K427 / K426) + M427</f>
        <v/>
      </c>
      <c r="R427" s="25">
        <f>R426 * (K427 / K426) + N427</f>
        <v/>
      </c>
      <c r="S427" s="25">
        <f>S426 * (K427 / K426) + O427 + P427</f>
        <v/>
      </c>
      <c r="T427" s="22">
        <f>Q427 + R427 + S427</f>
        <v/>
      </c>
      <c r="U427" s="25">
        <f>MAX(0, -T427)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 t="n">
        <v>0</v>
      </c>
      <c r="J428" s="19" t="n">
        <v>0.1746002067802654</v>
      </c>
      <c r="K428" s="24">
        <f>1 / J428</f>
        <v/>
      </c>
      <c r="L428" s="24">
        <f>I428 * K428</f>
        <v/>
      </c>
      <c r="M428" s="24">
        <f>I428 * (0.01000000 / 12)</f>
        <v/>
      </c>
      <c r="N428" s="24">
        <f>I428 * (0.00664805 / 12) * 1.0</f>
        <v/>
      </c>
      <c r="O428" s="24">
        <f>I428 * (0.00400000 / 12) * 1.0</f>
        <v/>
      </c>
      <c r="P428" s="24">
        <f>I428 * (0.00500000 / 12) * 1.0</f>
        <v/>
      </c>
      <c r="Q428" s="24">
        <f>Q427 * (K428 / K427) + M428</f>
        <v/>
      </c>
      <c r="R428" s="24">
        <f>R427 * (K428 / K427) + N428</f>
        <v/>
      </c>
      <c r="S428" s="24">
        <f>S427 * (K428 / K427) + O428 + P428</f>
        <v/>
      </c>
      <c r="T428" s="20">
        <f>Q428 + R428 + S428</f>
        <v/>
      </c>
      <c r="U428" s="24">
        <f>MAX(0, -T428)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 t="n">
        <v>0</v>
      </c>
      <c r="J429" s="21" t="n">
        <v>0.1738887639645153</v>
      </c>
      <c r="K429" s="25">
        <f>1 / J429</f>
        <v/>
      </c>
      <c r="L429" s="25">
        <f>I429 * K429</f>
        <v/>
      </c>
      <c r="M429" s="25">
        <f>I429 * (0.01000000 / 12)</f>
        <v/>
      </c>
      <c r="N429" s="25">
        <f>I429 * (0.00664805 / 12) * 1.0</f>
        <v/>
      </c>
      <c r="O429" s="25">
        <f>I429 * (0.00400000 / 12) * 1.0</f>
        <v/>
      </c>
      <c r="P429" s="25">
        <f>I429 * (0.00500000 / 12) * 1.0</f>
        <v/>
      </c>
      <c r="Q429" s="25">
        <f>Q428 * (K429 / K428) + M429</f>
        <v/>
      </c>
      <c r="R429" s="25">
        <f>R428 * (K429 / K428) + N429</f>
        <v/>
      </c>
      <c r="S429" s="25">
        <f>S428 * (K429 / K428) + O429 + P429</f>
        <v/>
      </c>
      <c r="T429" s="22">
        <f>Q429 + R429 + S429</f>
        <v/>
      </c>
      <c r="U429" s="25">
        <f>MAX(0, -T429)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 t="n">
        <v>0</v>
      </c>
      <c r="J430" s="19" t="n">
        <v>0.173180220062171</v>
      </c>
      <c r="K430" s="24">
        <f>1 / J430</f>
        <v/>
      </c>
      <c r="L430" s="24">
        <f>I430 * K430</f>
        <v/>
      </c>
      <c r="M430" s="24">
        <f>I430 * (0.01000000 / 12)</f>
        <v/>
      </c>
      <c r="N430" s="24">
        <f>I430 * (0.00664805 / 12) * 1.0</f>
        <v/>
      </c>
      <c r="O430" s="24">
        <f>I430 * (0.00400000 / 12) * 1.0</f>
        <v/>
      </c>
      <c r="P430" s="24">
        <f>I430 * (0.00500000 / 12) * 1.0</f>
        <v/>
      </c>
      <c r="Q430" s="24">
        <f>Q429 * (K430 / K429) + M430</f>
        <v/>
      </c>
      <c r="R430" s="24">
        <f>R429 * (K430 / K429) + N430</f>
        <v/>
      </c>
      <c r="S430" s="24">
        <f>S429 * (K430 / K429) + O430 + P430</f>
        <v/>
      </c>
      <c r="T430" s="20">
        <f>Q430 + R430 + S430</f>
        <v/>
      </c>
      <c r="U430" s="24">
        <f>MAX(0, -T430)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 t="n">
        <v>0</v>
      </c>
      <c r="J431" s="21" t="n">
        <v>0.1724745632610407</v>
      </c>
      <c r="K431" s="25">
        <f>1 / J431</f>
        <v/>
      </c>
      <c r="L431" s="25">
        <f>I431 * K431</f>
        <v/>
      </c>
      <c r="M431" s="25">
        <f>I431 * (0.01000000 / 12)</f>
        <v/>
      </c>
      <c r="N431" s="25">
        <f>I431 * (0.00664805 / 12) * 1.0</f>
        <v/>
      </c>
      <c r="O431" s="25">
        <f>I431 * (0.00400000 / 12) * 1.0</f>
        <v/>
      </c>
      <c r="P431" s="25">
        <f>I431 * (0.00500000 / 12) * 1.0</f>
        <v/>
      </c>
      <c r="Q431" s="25">
        <f>Q430 * (K431 / K430) + M431</f>
        <v/>
      </c>
      <c r="R431" s="25">
        <f>R430 * (K431 / K430) + N431</f>
        <v/>
      </c>
      <c r="S431" s="25">
        <f>S430 * (K431 / K430) + O431 + P431</f>
        <v/>
      </c>
      <c r="T431" s="22">
        <f>Q431 + R431 + S431</f>
        <v/>
      </c>
      <c r="U431" s="25">
        <f>MAX(0, -T431)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 t="n">
        <v>0</v>
      </c>
      <c r="J432" s="19" t="n">
        <v>0.1717717817970638</v>
      </c>
      <c r="K432" s="24">
        <f>1 / J432</f>
        <v/>
      </c>
      <c r="L432" s="24">
        <f>I432 * K432</f>
        <v/>
      </c>
      <c r="M432" s="24">
        <f>I432 * (0.01000000 / 12)</f>
        <v/>
      </c>
      <c r="N432" s="24">
        <f>I432 * (0.00664805 / 12) * 1.0</f>
        <v/>
      </c>
      <c r="O432" s="24">
        <f>I432 * (0.00400000 / 12) * 1.0</f>
        <v/>
      </c>
      <c r="P432" s="24">
        <f>I432 * (0.00500000 / 12) * 1.0</f>
        <v/>
      </c>
      <c r="Q432" s="24">
        <f>Q431 * (K432 / K431) + M432</f>
        <v/>
      </c>
      <c r="R432" s="24">
        <f>R431 * (K432 / K431) + N432</f>
        <v/>
      </c>
      <c r="S432" s="24">
        <f>S431 * (K432 / K431) + O432 + P432</f>
        <v/>
      </c>
      <c r="T432" s="20">
        <f>Q432 + R432 + S432</f>
        <v/>
      </c>
      <c r="U432" s="24">
        <f>MAX(0, -T432)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 t="n">
        <v>0</v>
      </c>
      <c r="J433" s="21" t="n">
        <v>0.1710718639541147</v>
      </c>
      <c r="K433" s="25">
        <f>1 / J433</f>
        <v/>
      </c>
      <c r="L433" s="25">
        <f>I433 * K433</f>
        <v/>
      </c>
      <c r="M433" s="25">
        <f>I433 * (0.01000000 / 12)</f>
        <v/>
      </c>
      <c r="N433" s="25">
        <f>I433 * (0.00664805 / 12) * 1.0</f>
        <v/>
      </c>
      <c r="O433" s="25">
        <f>I433 * (0.00400000 / 12) * 1.0</f>
        <v/>
      </c>
      <c r="P433" s="25">
        <f>I433 * (0.00500000 / 12) * 1.0</f>
        <v/>
      </c>
      <c r="Q433" s="25">
        <f>Q432 * (K433 / K432) + M433</f>
        <v/>
      </c>
      <c r="R433" s="25">
        <f>R432 * (K433 / K432) + N433</f>
        <v/>
      </c>
      <c r="S433" s="25">
        <f>S432 * (K433 / K432) + O433 + P433</f>
        <v/>
      </c>
      <c r="T433" s="22">
        <f>Q433 + R433 + S433</f>
        <v/>
      </c>
      <c r="U433" s="25">
        <f>MAX(0, -T433)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 t="n">
        <v>0</v>
      </c>
      <c r="J434" s="19" t="n">
        <v>0.1703747980638073</v>
      </c>
      <c r="K434" s="24">
        <f>1 / J434</f>
        <v/>
      </c>
      <c r="L434" s="24">
        <f>I434 * K434</f>
        <v/>
      </c>
      <c r="M434" s="24">
        <f>I434 * (0.01000000 / 12)</f>
        <v/>
      </c>
      <c r="N434" s="24">
        <f>I434 * (0.00664805 / 12) * 1.0</f>
        <v/>
      </c>
      <c r="O434" s="24">
        <f>I434 * (0.00400000 / 12) * 1.0</f>
        <v/>
      </c>
      <c r="P434" s="24">
        <f>I434 * (0.00500000 / 12) * 1.0</f>
        <v/>
      </c>
      <c r="Q434" s="24">
        <f>Q433 * (K434 / K433) + M434</f>
        <v/>
      </c>
      <c r="R434" s="24">
        <f>R433 * (K434 / K433) + N434</f>
        <v/>
      </c>
      <c r="S434" s="24">
        <f>S433 * (K434 / K433) + O434 + P434</f>
        <v/>
      </c>
      <c r="T434" s="20">
        <f>Q434 + R434 + S434</f>
        <v/>
      </c>
      <c r="U434" s="24">
        <f>MAX(0, -T434)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 t="n">
        <v>0</v>
      </c>
      <c r="J435" s="21" t="n">
        <v>0.1696805725053009</v>
      </c>
      <c r="K435" s="25">
        <f>1 / J435</f>
        <v/>
      </c>
      <c r="L435" s="25">
        <f>I435 * K435</f>
        <v/>
      </c>
      <c r="M435" s="25">
        <f>I435 * (0.01000000 / 12)</f>
        <v/>
      </c>
      <c r="N435" s="25">
        <f>I435 * (0.00664805 / 12) * 1.0</f>
        <v/>
      </c>
      <c r="O435" s="25">
        <f>I435 * (0.00400000 / 12) * 1.0</f>
        <v/>
      </c>
      <c r="P435" s="25">
        <f>I435 * (0.00500000 / 12) * 1.0</f>
        <v/>
      </c>
      <c r="Q435" s="25">
        <f>Q434 * (K435 / K434) + M435</f>
        <v/>
      </c>
      <c r="R435" s="25">
        <f>R434 * (K435 / K434) + N435</f>
        <v/>
      </c>
      <c r="S435" s="25">
        <f>S434 * (K435 / K434) + O435 + P435</f>
        <v/>
      </c>
      <c r="T435" s="22">
        <f>Q435 + R435 + S435</f>
        <v/>
      </c>
      <c r="U435" s="25">
        <f>MAX(0, -T435)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 t="n">
        <v>0</v>
      </c>
      <c r="J436" s="19" t="n">
        <v>0.1689891757051059</v>
      </c>
      <c r="K436" s="24">
        <f>1 / J436</f>
        <v/>
      </c>
      <c r="L436" s="24">
        <f>I436 * K436</f>
        <v/>
      </c>
      <c r="M436" s="24">
        <f>I436 * (0.01000000 / 12)</f>
        <v/>
      </c>
      <c r="N436" s="24">
        <f>I436 * (0.00664805 / 12) * 1.0</f>
        <v/>
      </c>
      <c r="O436" s="24">
        <f>I436 * (0.00400000 / 12) * 1.0</f>
        <v/>
      </c>
      <c r="P436" s="24">
        <f>I436 * (0.00500000 / 12) * 1.0</f>
        <v/>
      </c>
      <c r="Q436" s="24">
        <f>Q435 * (K436 / K435) + M436</f>
        <v/>
      </c>
      <c r="R436" s="24">
        <f>R435 * (K436 / K435) + N436</f>
        <v/>
      </c>
      <c r="S436" s="24">
        <f>S435 * (K436 / K435) + O436 + P436</f>
        <v/>
      </c>
      <c r="T436" s="20">
        <f>Q436 + R436 + S436</f>
        <v/>
      </c>
      <c r="U436" s="24">
        <f>MAX(0, -T436)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 t="n">
        <v>0</v>
      </c>
      <c r="J437" s="21" t="n">
        <v>0.1683005961368913</v>
      </c>
      <c r="K437" s="25">
        <f>1 / J437</f>
        <v/>
      </c>
      <c r="L437" s="25">
        <f>I437 * K437</f>
        <v/>
      </c>
      <c r="M437" s="25">
        <f>I437 * (0.01000000 / 12)</f>
        <v/>
      </c>
      <c r="N437" s="25">
        <f>I437 * (0.00664805 / 12) * 1.0</f>
        <v/>
      </c>
      <c r="O437" s="25">
        <f>I437 * (0.00400000 / 12) * 1.0</f>
        <v/>
      </c>
      <c r="P437" s="25">
        <f>I437 * (0.00500000 / 12) * 1.0</f>
        <v/>
      </c>
      <c r="Q437" s="25">
        <f>Q436 * (K437 / K436) + M437</f>
        <v/>
      </c>
      <c r="R437" s="25">
        <f>R436 * (K437 / K436) + N437</f>
        <v/>
      </c>
      <c r="S437" s="25">
        <f>S436 * (K437 / K436) + O437 + P437</f>
        <v/>
      </c>
      <c r="T437" s="22">
        <f>Q437 + R437 + S437</f>
        <v/>
      </c>
      <c r="U437" s="25">
        <f>MAX(0, -T437)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 t="n">
        <v>0</v>
      </c>
      <c r="J438" s="19" t="n">
        <v>0.1676148223212925</v>
      </c>
      <c r="K438" s="24">
        <f>1 / J438</f>
        <v/>
      </c>
      <c r="L438" s="24">
        <f>I438 * K438</f>
        <v/>
      </c>
      <c r="M438" s="24">
        <f>I438 * (0.01000000 / 12)</f>
        <v/>
      </c>
      <c r="N438" s="24">
        <f>I438 * (0.00664805 / 12) * 1.0</f>
        <v/>
      </c>
      <c r="O438" s="24">
        <f>I438 * (0.00400000 / 12) * 1.0</f>
        <v/>
      </c>
      <c r="P438" s="24">
        <f>I438 * (0.00500000 / 12) * 1.0</f>
        <v/>
      </c>
      <c r="Q438" s="24">
        <f>Q437 * (K438 / K437) + M438</f>
        <v/>
      </c>
      <c r="R438" s="24">
        <f>R437 * (K438 / K437) + N438</f>
        <v/>
      </c>
      <c r="S438" s="24">
        <f>S437 * (K438 / K437) + O438 + P438</f>
        <v/>
      </c>
      <c r="T438" s="20">
        <f>Q438 + R438 + S438</f>
        <v/>
      </c>
      <c r="U438" s="24">
        <f>MAX(0, -T438)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 t="n">
        <v>0</v>
      </c>
      <c r="J439" s="21" t="n">
        <v>0.1669318428257196</v>
      </c>
      <c r="K439" s="25">
        <f>1 / J439</f>
        <v/>
      </c>
      <c r="L439" s="25">
        <f>I439 * K439</f>
        <v/>
      </c>
      <c r="M439" s="25">
        <f>I439 * (0.01000000 / 12)</f>
        <v/>
      </c>
      <c r="N439" s="25">
        <f>I439 * (0.00664805 / 12) * 1.0</f>
        <v/>
      </c>
      <c r="O439" s="25">
        <f>I439 * (0.00400000 / 12) * 1.0</f>
        <v/>
      </c>
      <c r="P439" s="25">
        <f>I439 * (0.00500000 / 12) * 1.0</f>
        <v/>
      </c>
      <c r="Q439" s="25">
        <f>Q438 * (K439 / K438) + M439</f>
        <v/>
      </c>
      <c r="R439" s="25">
        <f>R438 * (K439 / K438) + N439</f>
        <v/>
      </c>
      <c r="S439" s="25">
        <f>S438 * (K439 / K438) + O439 + P439</f>
        <v/>
      </c>
      <c r="T439" s="22">
        <f>Q439 + R439 + S439</f>
        <v/>
      </c>
      <c r="U439" s="25">
        <f>MAX(0, -T439)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 t="n">
        <v>0</v>
      </c>
      <c r="J440" s="19" t="n">
        <v>0.1662516462641671</v>
      </c>
      <c r="K440" s="24">
        <f>1 / J440</f>
        <v/>
      </c>
      <c r="L440" s="24">
        <f>I440 * K440</f>
        <v/>
      </c>
      <c r="M440" s="24">
        <f>I440 * (0.01000000 / 12)</f>
        <v/>
      </c>
      <c r="N440" s="24">
        <f>I440 * (0.00664805 / 12) * 1.0</f>
        <v/>
      </c>
      <c r="O440" s="24">
        <f>I440 * (0.00400000 / 12) * 1.0</f>
        <v/>
      </c>
      <c r="P440" s="24">
        <f>I440 * (0.00500000 / 12) * 1.0</f>
        <v/>
      </c>
      <c r="Q440" s="24">
        <f>Q439 * (K440 / K439) + M440</f>
        <v/>
      </c>
      <c r="R440" s="24">
        <f>R439 * (K440 / K439) + N440</f>
        <v/>
      </c>
      <c r="S440" s="24">
        <f>S439 * (K440 / K439) + O440 + P440</f>
        <v/>
      </c>
      <c r="T440" s="20">
        <f>Q440 + R440 + S440</f>
        <v/>
      </c>
      <c r="U440" s="24">
        <f>MAX(0, -T440)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 t="n">
        <v>0</v>
      </c>
      <c r="J441" s="21" t="n">
        <v>0.1655742212970242</v>
      </c>
      <c r="K441" s="25">
        <f>1 / J441</f>
        <v/>
      </c>
      <c r="L441" s="25">
        <f>I441 * K441</f>
        <v/>
      </c>
      <c r="M441" s="25">
        <f>I441 * (0.01000000 / 12)</f>
        <v/>
      </c>
      <c r="N441" s="25">
        <f>I441 * (0.00664805 / 12) * 1.0</f>
        <v/>
      </c>
      <c r="O441" s="25">
        <f>I441 * (0.00400000 / 12) * 1.0</f>
        <v/>
      </c>
      <c r="P441" s="25">
        <f>I441 * (0.00500000 / 12) * 1.0</f>
        <v/>
      </c>
      <c r="Q441" s="25">
        <f>Q440 * (K441 / K440) + M441</f>
        <v/>
      </c>
      <c r="R441" s="25">
        <f>R440 * (K441 / K440) + N441</f>
        <v/>
      </c>
      <c r="S441" s="25">
        <f>S440 * (K441 / K440) + O441 + P441</f>
        <v/>
      </c>
      <c r="T441" s="22">
        <f>Q441 + R441 + S441</f>
        <v/>
      </c>
      <c r="U441" s="25">
        <f>MAX(0, -T441)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 t="n">
        <v>0</v>
      </c>
      <c r="J442" s="19" t="n">
        <v>0.1648995566308853</v>
      </c>
      <c r="K442" s="24">
        <f>1 / J442</f>
        <v/>
      </c>
      <c r="L442" s="24">
        <f>I442 * K442</f>
        <v/>
      </c>
      <c r="M442" s="24">
        <f>I442 * (0.01000000 / 12)</f>
        <v/>
      </c>
      <c r="N442" s="24">
        <f>I442 * (0.00664805 / 12) * 1.0</f>
        <v/>
      </c>
      <c r="O442" s="24">
        <f>I442 * (0.00400000 / 12) * 1.0</f>
        <v/>
      </c>
      <c r="P442" s="24">
        <f>I442 * (0.00500000 / 12) * 1.0</f>
        <v/>
      </c>
      <c r="Q442" s="24">
        <f>Q441 * (K442 / K441) + M442</f>
        <v/>
      </c>
      <c r="R442" s="24">
        <f>R441 * (K442 / K441) + N442</f>
        <v/>
      </c>
      <c r="S442" s="24">
        <f>S441 * (K442 / K441) + O442 + P442</f>
        <v/>
      </c>
      <c r="T442" s="20">
        <f>Q442 + R442 + S442</f>
        <v/>
      </c>
      <c r="U442" s="24">
        <f>MAX(0, -T442)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 t="n">
        <v>0</v>
      </c>
      <c r="J443" s="21" t="n">
        <v>0.1642276410183623</v>
      </c>
      <c r="K443" s="25">
        <f>1 / J443</f>
        <v/>
      </c>
      <c r="L443" s="25">
        <f>I443 * K443</f>
        <v/>
      </c>
      <c r="M443" s="25">
        <f>I443 * (0.01000000 / 12)</f>
        <v/>
      </c>
      <c r="N443" s="25">
        <f>I443 * (0.00664805 / 12) * 1.0</f>
        <v/>
      </c>
      <c r="O443" s="25">
        <f>I443 * (0.00400000 / 12) * 1.0</f>
        <v/>
      </c>
      <c r="P443" s="25">
        <f>I443 * (0.00500000 / 12) * 1.0</f>
        <v/>
      </c>
      <c r="Q443" s="25">
        <f>Q442 * (K443 / K442) + M443</f>
        <v/>
      </c>
      <c r="R443" s="25">
        <f>R442 * (K443 / K442) + N443</f>
        <v/>
      </c>
      <c r="S443" s="25">
        <f>S442 * (K443 / K442) + O443 + P443</f>
        <v/>
      </c>
      <c r="T443" s="22">
        <f>Q443 + R443 + S443</f>
        <v/>
      </c>
      <c r="U443" s="25">
        <f>MAX(0, -T443)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 t="n">
        <v>0</v>
      </c>
      <c r="J444" s="19" t="n">
        <v>0.1635584632578964</v>
      </c>
      <c r="K444" s="24">
        <f>1 / J444</f>
        <v/>
      </c>
      <c r="L444" s="24">
        <f>I444 * K444</f>
        <v/>
      </c>
      <c r="M444" s="24">
        <f>I444 * (0.01000000 / 12)</f>
        <v/>
      </c>
      <c r="N444" s="24">
        <f>I444 * (0.00664805 / 12) * 1.0</f>
        <v/>
      </c>
      <c r="O444" s="24">
        <f>I444 * (0.00400000 / 12) * 1.0</f>
        <v/>
      </c>
      <c r="P444" s="24">
        <f>I444 * (0.00500000 / 12) * 1.0</f>
        <v/>
      </c>
      <c r="Q444" s="24">
        <f>Q443 * (K444 / K443) + M444</f>
        <v/>
      </c>
      <c r="R444" s="24">
        <f>R443 * (K444 / K443) + N444</f>
        <v/>
      </c>
      <c r="S444" s="24">
        <f>S443 * (K444 / K443) + O444 + P444</f>
        <v/>
      </c>
      <c r="T444" s="20">
        <f>Q444 + R444 + S444</f>
        <v/>
      </c>
      <c r="U444" s="24">
        <f>MAX(0, -T444)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 t="n">
        <v>0</v>
      </c>
      <c r="J445" s="21" t="n">
        <v>0.162892012193572</v>
      </c>
      <c r="K445" s="25">
        <f>1 / J445</f>
        <v/>
      </c>
      <c r="L445" s="25">
        <f>I445 * K445</f>
        <v/>
      </c>
      <c r="M445" s="25">
        <f>I445 * (0.01000000 / 12)</f>
        <v/>
      </c>
      <c r="N445" s="25">
        <f>I445 * (0.00664805 / 12) * 1.0</f>
        <v/>
      </c>
      <c r="O445" s="25">
        <f>I445 * (0.00400000 / 12) * 1.0</f>
        <v/>
      </c>
      <c r="P445" s="25">
        <f>I445 * (0.00500000 / 12) * 1.0</f>
        <v/>
      </c>
      <c r="Q445" s="25">
        <f>Q444 * (K445 / K444) + M445</f>
        <v/>
      </c>
      <c r="R445" s="25">
        <f>R444 * (K445 / K444) + N445</f>
        <v/>
      </c>
      <c r="S445" s="25">
        <f>S444 * (K445 / K444) + O445 + P445</f>
        <v/>
      </c>
      <c r="T445" s="22">
        <f>Q445 + R445 + S445</f>
        <v/>
      </c>
      <c r="U445" s="25">
        <f>MAX(0, -T445)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 t="n">
        <v>0</v>
      </c>
      <c r="J446" s="19" t="n">
        <v>0.1622282767149306</v>
      </c>
      <c r="K446" s="24">
        <f>1 / J446</f>
        <v/>
      </c>
      <c r="L446" s="24">
        <f>I446 * K446</f>
        <v/>
      </c>
      <c r="M446" s="24">
        <f>I446 * (0.01000000 / 12)</f>
        <v/>
      </c>
      <c r="N446" s="24">
        <f>I446 * (0.00664805 / 12) * 1.0</f>
        <v/>
      </c>
      <c r="O446" s="24">
        <f>I446 * (0.00400000 / 12) * 1.0</f>
        <v/>
      </c>
      <c r="P446" s="24">
        <f>I446 * (0.00500000 / 12) * 1.0</f>
        <v/>
      </c>
      <c r="Q446" s="24">
        <f>Q445 * (K446 / K445) + M446</f>
        <v/>
      </c>
      <c r="R446" s="24">
        <f>R445 * (K446 / K445) + N446</f>
        <v/>
      </c>
      <c r="S446" s="24">
        <f>S445 * (K446 / K445) + O446 + P446</f>
        <v/>
      </c>
      <c r="T446" s="20">
        <f>Q446 + R446 + S446</f>
        <v/>
      </c>
      <c r="U446" s="24">
        <f>MAX(0, -T446)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 t="n">
        <v>0</v>
      </c>
      <c r="J447" s="21" t="n">
        <v>0.1615672457567851</v>
      </c>
      <c r="K447" s="25">
        <f>1 / J447</f>
        <v/>
      </c>
      <c r="L447" s="25">
        <f>I447 * K447</f>
        <v/>
      </c>
      <c r="M447" s="25">
        <f>I447 * (0.01000000 / 12)</f>
        <v/>
      </c>
      <c r="N447" s="25">
        <f>I447 * (0.00664805 / 12) * 1.0</f>
        <v/>
      </c>
      <c r="O447" s="25">
        <f>I447 * (0.00400000 / 12) * 1.0</f>
        <v/>
      </c>
      <c r="P447" s="25">
        <f>I447 * (0.00500000 / 12) * 1.0</f>
        <v/>
      </c>
      <c r="Q447" s="25">
        <f>Q446 * (K447 / K446) + M447</f>
        <v/>
      </c>
      <c r="R447" s="25">
        <f>R446 * (K447 / K446) + N447</f>
        <v/>
      </c>
      <c r="S447" s="25">
        <f>S446 * (K447 / K446) + O447 + P447</f>
        <v/>
      </c>
      <c r="T447" s="22">
        <f>Q447 + R447 + S447</f>
        <v/>
      </c>
      <c r="U447" s="25">
        <f>MAX(0, -T447)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 t="n">
        <v>0</v>
      </c>
      <c r="J448" s="19" t="n">
        <v>0.160908908299036</v>
      </c>
      <c r="K448" s="24">
        <f>1 / J448</f>
        <v/>
      </c>
      <c r="L448" s="24">
        <f>I448 * K448</f>
        <v/>
      </c>
      <c r="M448" s="24">
        <f>I448 * (0.01000000 / 12)</f>
        <v/>
      </c>
      <c r="N448" s="24">
        <f>I448 * (0.00664805 / 12) * 1.0</f>
        <v/>
      </c>
      <c r="O448" s="24">
        <f>I448 * (0.00400000 / 12) * 1.0</f>
        <v/>
      </c>
      <c r="P448" s="24">
        <f>I448 * (0.00500000 / 12) * 1.0</f>
        <v/>
      </c>
      <c r="Q448" s="24">
        <f>Q447 * (K448 / K447) + M448</f>
        <v/>
      </c>
      <c r="R448" s="24">
        <f>R447 * (K448 / K447) + N448</f>
        <v/>
      </c>
      <c r="S448" s="24">
        <f>S447 * (K448 / K447) + O448 + P448</f>
        <v/>
      </c>
      <c r="T448" s="20">
        <f>Q448 + R448 + S448</f>
        <v/>
      </c>
      <c r="U448" s="24">
        <f>MAX(0, -T448)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 t="n">
        <v>0</v>
      </c>
      <c r="J449" s="21" t="n">
        <v>0.160253253366487</v>
      </c>
      <c r="K449" s="25">
        <f>1 / J449</f>
        <v/>
      </c>
      <c r="L449" s="25">
        <f>I449 * K449</f>
        <v/>
      </c>
      <c r="M449" s="25">
        <f>I449 * (0.01000000 / 12)</f>
        <v/>
      </c>
      <c r="N449" s="25">
        <f>I449 * (0.00664805 / 12) * 1.0</f>
        <v/>
      </c>
      <c r="O449" s="25">
        <f>I449 * (0.00400000 / 12) * 1.0</f>
        <v/>
      </c>
      <c r="P449" s="25">
        <f>I449 * (0.00500000 / 12) * 1.0</f>
        <v/>
      </c>
      <c r="Q449" s="25">
        <f>Q448 * (K449 / K448) + M449</f>
        <v/>
      </c>
      <c r="R449" s="25">
        <f>R448 * (K449 / K448) + N449</f>
        <v/>
      </c>
      <c r="S449" s="25">
        <f>S448 * (K449 / K448) + O449 + P449</f>
        <v/>
      </c>
      <c r="T449" s="22">
        <f>Q449 + R449 + S449</f>
        <v/>
      </c>
      <c r="U449" s="25">
        <f>MAX(0, -T449)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 t="n">
        <v>0</v>
      </c>
      <c r="J450" s="19" t="n">
        <v>0.1596002700286629</v>
      </c>
      <c r="K450" s="24">
        <f>1 / J450</f>
        <v/>
      </c>
      <c r="L450" s="24">
        <f>I450 * K450</f>
        <v/>
      </c>
      <c r="M450" s="24">
        <f>I450 * (0.01000000 / 12)</f>
        <v/>
      </c>
      <c r="N450" s="24">
        <f>I450 * (0.00664805 / 12) * 1.0</f>
        <v/>
      </c>
      <c r="O450" s="24">
        <f>I450 * (0.00400000 / 12) * 1.0</f>
        <v/>
      </c>
      <c r="P450" s="24">
        <f>I450 * (0.00500000 / 12) * 1.0</f>
        <v/>
      </c>
      <c r="Q450" s="24">
        <f>Q449 * (K450 / K449) + M450</f>
        <v/>
      </c>
      <c r="R450" s="24">
        <f>R449 * (K450 / K449) + N450</f>
        <v/>
      </c>
      <c r="S450" s="24">
        <f>S449 * (K450 / K449) + O450 + P450</f>
        <v/>
      </c>
      <c r="T450" s="20">
        <f>Q450 + R450 + S450</f>
        <v/>
      </c>
      <c r="U450" s="24">
        <f>MAX(0, -T450)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 t="n">
        <v>0</v>
      </c>
      <c r="J451" s="21" t="n">
        <v>0.1589499473996263</v>
      </c>
      <c r="K451" s="25">
        <f>1 / J451</f>
        <v/>
      </c>
      <c r="L451" s="25">
        <f>I451 * K451</f>
        <v/>
      </c>
      <c r="M451" s="25">
        <f>I451 * (0.01000000 / 12)</f>
        <v/>
      </c>
      <c r="N451" s="25">
        <f>I451 * (0.00664805 / 12) * 1.0</f>
        <v/>
      </c>
      <c r="O451" s="25">
        <f>I451 * (0.00400000 / 12) * 1.0</f>
        <v/>
      </c>
      <c r="P451" s="25">
        <f>I451 * (0.00500000 / 12) * 1.0</f>
        <v/>
      </c>
      <c r="Q451" s="25">
        <f>Q450 * (K451 / K450) + M451</f>
        <v/>
      </c>
      <c r="R451" s="25">
        <f>R450 * (K451 / K450) + N451</f>
        <v/>
      </c>
      <c r="S451" s="25">
        <f>S450 * (K451 / K450) + O451 + P451</f>
        <v/>
      </c>
      <c r="T451" s="22">
        <f>Q451 + R451 + S451</f>
        <v/>
      </c>
      <c r="U451" s="25">
        <f>MAX(0, -T451)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 t="n">
        <v>0</v>
      </c>
      <c r="J452" s="19" t="n">
        <v>0.1583022746377971</v>
      </c>
      <c r="K452" s="24">
        <f>1 / J452</f>
        <v/>
      </c>
      <c r="L452" s="24">
        <f>I452 * K452</f>
        <v/>
      </c>
      <c r="M452" s="24">
        <f>I452 * (0.01000000 / 12)</f>
        <v/>
      </c>
      <c r="N452" s="24">
        <f>I452 * (0.00664805 / 12) * 1.0</f>
        <v/>
      </c>
      <c r="O452" s="24">
        <f>I452 * (0.00400000 / 12) * 1.0</f>
        <v/>
      </c>
      <c r="P452" s="24">
        <f>I452 * (0.00500000 / 12) * 1.0</f>
        <v/>
      </c>
      <c r="Q452" s="24">
        <f>Q451 * (K452 / K451) + M452</f>
        <v/>
      </c>
      <c r="R452" s="24">
        <f>R451 * (K452 / K451) + N452</f>
        <v/>
      </c>
      <c r="S452" s="24">
        <f>S451 * (K452 / K451) + O452 + P452</f>
        <v/>
      </c>
      <c r="T452" s="20">
        <f>Q452 + R452 + S452</f>
        <v/>
      </c>
      <c r="U452" s="24">
        <f>MAX(0, -T452)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 t="n">
        <v>0</v>
      </c>
      <c r="J453" s="21" t="n">
        <v>0.1576572409457712</v>
      </c>
      <c r="K453" s="25">
        <f>1 / J453</f>
        <v/>
      </c>
      <c r="L453" s="25">
        <f>I453 * K453</f>
        <v/>
      </c>
      <c r="M453" s="25">
        <f>I453 * (0.01000000 / 12)</f>
        <v/>
      </c>
      <c r="N453" s="25">
        <f>I453 * (0.00664805 / 12) * 1.0</f>
        <v/>
      </c>
      <c r="O453" s="25">
        <f>I453 * (0.00400000 / 12) * 1.0</f>
        <v/>
      </c>
      <c r="P453" s="25">
        <f>I453 * (0.00500000 / 12) * 1.0</f>
        <v/>
      </c>
      <c r="Q453" s="25">
        <f>Q452 * (K453 / K452) + M453</f>
        <v/>
      </c>
      <c r="R453" s="25">
        <f>R452 * (K453 / K452) + N453</f>
        <v/>
      </c>
      <c r="S453" s="25">
        <f>S452 * (K453 / K452) + O453 + P453</f>
        <v/>
      </c>
      <c r="T453" s="22">
        <f>Q453 + R453 + S453</f>
        <v/>
      </c>
      <c r="U453" s="25">
        <f>MAX(0, -T453)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 t="n">
        <v>0</v>
      </c>
      <c r="J454" s="19" t="n">
        <v>0.1570148355701407</v>
      </c>
      <c r="K454" s="24">
        <f>1 / J454</f>
        <v/>
      </c>
      <c r="L454" s="24">
        <f>I454 * K454</f>
        <v/>
      </c>
      <c r="M454" s="24">
        <f>I454 * (0.01000000 / 12)</f>
        <v/>
      </c>
      <c r="N454" s="24">
        <f>I454 * (0.00664805 / 12) * 1.0</f>
        <v/>
      </c>
      <c r="O454" s="24">
        <f>I454 * (0.00400000 / 12) * 1.0</f>
        <v/>
      </c>
      <c r="P454" s="24">
        <f>I454 * (0.00500000 / 12) * 1.0</f>
        <v/>
      </c>
      <c r="Q454" s="24">
        <f>Q453 * (K454 / K453) + M454</f>
        <v/>
      </c>
      <c r="R454" s="24">
        <f>R453 * (K454 / K453) + N454</f>
        <v/>
      </c>
      <c r="S454" s="24">
        <f>S453 * (K454 / K453) + O454 + P454</f>
        <v/>
      </c>
      <c r="T454" s="20">
        <f>Q454 + R454 + S454</f>
        <v/>
      </c>
      <c r="U454" s="24">
        <f>MAX(0, -T454)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 t="n">
        <v>0</v>
      </c>
      <c r="J455" s="21" t="n">
        <v>0.1563750478013144</v>
      </c>
      <c r="K455" s="25">
        <f>1 / J455</f>
        <v/>
      </c>
      <c r="L455" s="25">
        <f>I455 * K455</f>
        <v/>
      </c>
      <c r="M455" s="25">
        <f>I455 * (0.01000000 / 12)</f>
        <v/>
      </c>
      <c r="N455" s="25">
        <f>I455 * (0.00664805 / 12) * 1.0</f>
        <v/>
      </c>
      <c r="O455" s="25">
        <f>I455 * (0.00400000 / 12) * 1.0</f>
        <v/>
      </c>
      <c r="P455" s="25">
        <f>I455 * (0.00500000 / 12) * 1.0</f>
        <v/>
      </c>
      <c r="Q455" s="25">
        <f>Q454 * (K455 / K454) + M455</f>
        <v/>
      </c>
      <c r="R455" s="25">
        <f>R454 * (K455 / K454) + N455</f>
        <v/>
      </c>
      <c r="S455" s="25">
        <f>S454 * (K455 / K454) + O455 + P455</f>
        <v/>
      </c>
      <c r="T455" s="22">
        <f>Q455 + R455 + S455</f>
        <v/>
      </c>
      <c r="U455" s="25">
        <f>MAX(0, -T455)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 t="n">
        <v>0</v>
      </c>
      <c r="J456" s="19" t="n">
        <v>0.1557378669733396</v>
      </c>
      <c r="K456" s="24">
        <f>1 / J456</f>
        <v/>
      </c>
      <c r="L456" s="24">
        <f>I456 * K456</f>
        <v/>
      </c>
      <c r="M456" s="24">
        <f>I456 * (0.01000000 / 12)</f>
        <v/>
      </c>
      <c r="N456" s="24">
        <f>I456 * (0.00664805 / 12) * 1.0</f>
        <v/>
      </c>
      <c r="O456" s="24">
        <f>I456 * (0.00400000 / 12) * 1.0</f>
        <v/>
      </c>
      <c r="P456" s="24">
        <f>I456 * (0.00500000 / 12) * 1.0</f>
        <v/>
      </c>
      <c r="Q456" s="24">
        <f>Q455 * (K456 / K455) + M456</f>
        <v/>
      </c>
      <c r="R456" s="24">
        <f>R455 * (K456 / K455) + N456</f>
        <v/>
      </c>
      <c r="S456" s="24">
        <f>S455 * (K456 / K455) + O456 + P456</f>
        <v/>
      </c>
      <c r="T456" s="20">
        <f>Q456 + R456 + S456</f>
        <v/>
      </c>
      <c r="U456" s="24">
        <f>MAX(0, -T456)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 t="n">
        <v>0</v>
      </c>
      <c r="J457" s="21" t="n">
        <v>0.155103282463724</v>
      </c>
      <c r="K457" s="25">
        <f>1 / J457</f>
        <v/>
      </c>
      <c r="L457" s="25">
        <f>I457 * K457</f>
        <v/>
      </c>
      <c r="M457" s="25">
        <f>I457 * (0.01000000 / 12)</f>
        <v/>
      </c>
      <c r="N457" s="25">
        <f>I457 * (0.00664805 / 12) * 1.0</f>
        <v/>
      </c>
      <c r="O457" s="25">
        <f>I457 * (0.00400000 / 12) * 1.0</f>
        <v/>
      </c>
      <c r="P457" s="25">
        <f>I457 * (0.00500000 / 12) * 1.0</f>
        <v/>
      </c>
      <c r="Q457" s="25">
        <f>Q456 * (K457 / K456) + M457</f>
        <v/>
      </c>
      <c r="R457" s="25">
        <f>R456 * (K457 / K456) + N457</f>
        <v/>
      </c>
      <c r="S457" s="25">
        <f>S456 * (K457 / K456) + O457 + P457</f>
        <v/>
      </c>
      <c r="T457" s="22">
        <f>Q457 + R457 + S457</f>
        <v/>
      </c>
      <c r="U457" s="25">
        <f>MAX(0, -T457)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 t="n">
        <v>0</v>
      </c>
      <c r="J458" s="19" t="n">
        <v>0.1544712836932589</v>
      </c>
      <c r="K458" s="24">
        <f>1 / J458</f>
        <v/>
      </c>
      <c r="L458" s="24">
        <f>I458 * K458</f>
        <v/>
      </c>
      <c r="M458" s="24">
        <f>I458 * (0.01000000 / 12)</f>
        <v/>
      </c>
      <c r="N458" s="24">
        <f>I458 * (0.00664805 / 12) * 1.0</f>
        <v/>
      </c>
      <c r="O458" s="24">
        <f>I458 * (0.00400000 / 12) * 1.0</f>
        <v/>
      </c>
      <c r="P458" s="24">
        <f>I458 * (0.00500000 / 12) * 1.0</f>
        <v/>
      </c>
      <c r="Q458" s="24">
        <f>Q457 * (K458 / K457) + M458</f>
        <v/>
      </c>
      <c r="R458" s="24">
        <f>R457 * (K458 / K457) + N458</f>
        <v/>
      </c>
      <c r="S458" s="24">
        <f>S457 * (K458 / K457) + O458 + P458</f>
        <v/>
      </c>
      <c r="T458" s="20">
        <f>Q458 + R458 + S458</f>
        <v/>
      </c>
      <c r="U458" s="24">
        <f>MAX(0, -T458)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 t="n">
        <v>0</v>
      </c>
      <c r="J459" s="21" t="n">
        <v>0.1538418601258426</v>
      </c>
      <c r="K459" s="25">
        <f>1 / J459</f>
        <v/>
      </c>
      <c r="L459" s="25">
        <f>I459 * K459</f>
        <v/>
      </c>
      <c r="M459" s="25">
        <f>I459 * (0.01000000 / 12)</f>
        <v/>
      </c>
      <c r="N459" s="25">
        <f>I459 * (0.00664805 / 12) * 1.0</f>
        <v/>
      </c>
      <c r="O459" s="25">
        <f>I459 * (0.00400000 / 12) * 1.0</f>
        <v/>
      </c>
      <c r="P459" s="25">
        <f>I459 * (0.00500000 / 12) * 1.0</f>
        <v/>
      </c>
      <c r="Q459" s="25">
        <f>Q458 * (K459 / K458) + M459</f>
        <v/>
      </c>
      <c r="R459" s="25">
        <f>R458 * (K459 / K458) + N459</f>
        <v/>
      </c>
      <c r="S459" s="25">
        <f>S458 * (K459 / K458) + O459 + P459</f>
        <v/>
      </c>
      <c r="T459" s="22">
        <f>Q459 + R459 + S459</f>
        <v/>
      </c>
      <c r="U459" s="25">
        <f>MAX(0, -T459)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 t="n">
        <v>0</v>
      </c>
      <c r="J460" s="19" t="n">
        <v>0.1532150012683047</v>
      </c>
      <c r="K460" s="24">
        <f>1 / J460</f>
        <v/>
      </c>
      <c r="L460" s="24">
        <f>I460 * K460</f>
        <v/>
      </c>
      <c r="M460" s="24">
        <f>I460 * (0.01000000 / 12)</f>
        <v/>
      </c>
      <c r="N460" s="24">
        <f>I460 * (0.00664805 / 12) * 1.0</f>
        <v/>
      </c>
      <c r="O460" s="24">
        <f>I460 * (0.00400000 / 12) * 1.0</f>
        <v/>
      </c>
      <c r="P460" s="24">
        <f>I460 * (0.00500000 / 12) * 1.0</f>
        <v/>
      </c>
      <c r="Q460" s="24">
        <f>Q459 * (K460 / K459) + M460</f>
        <v/>
      </c>
      <c r="R460" s="24">
        <f>R459 * (K460 / K459) + N460</f>
        <v/>
      </c>
      <c r="S460" s="24">
        <f>S459 * (K460 / K459) + O460 + P460</f>
        <v/>
      </c>
      <c r="T460" s="20">
        <f>Q460 + R460 + S460</f>
        <v/>
      </c>
      <c r="U460" s="24">
        <f>MAX(0, -T460)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 t="n">
        <v>0</v>
      </c>
      <c r="J461" s="21" t="n">
        <v>0.1525906966702313</v>
      </c>
      <c r="K461" s="25">
        <f>1 / J461</f>
        <v/>
      </c>
      <c r="L461" s="25">
        <f>I461 * K461</f>
        <v/>
      </c>
      <c r="M461" s="25">
        <f>I461 * (0.01000000 / 12)</f>
        <v/>
      </c>
      <c r="N461" s="25">
        <f>I461 * (0.00664805 / 12) * 1.0</f>
        <v/>
      </c>
      <c r="O461" s="25">
        <f>I461 * (0.00400000 / 12) * 1.0</f>
        <v/>
      </c>
      <c r="P461" s="25">
        <f>I461 * (0.00500000 / 12) * 1.0</f>
        <v/>
      </c>
      <c r="Q461" s="25">
        <f>Q460 * (K461 / K460) + M461</f>
        <v/>
      </c>
      <c r="R461" s="25">
        <f>R460 * (K461 / K460) + N461</f>
        <v/>
      </c>
      <c r="S461" s="25">
        <f>S460 * (K461 / K460) + O461 + P461</f>
        <v/>
      </c>
      <c r="T461" s="22">
        <f>Q461 + R461 + S461</f>
        <v/>
      </c>
      <c r="U461" s="25">
        <f>MAX(0, -T461)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 t="n">
        <v>0</v>
      </c>
      <c r="J462" s="19" t="n">
        <v>0.151968935923791</v>
      </c>
      <c r="K462" s="24">
        <f>1 / J462</f>
        <v/>
      </c>
      <c r="L462" s="24">
        <f>I462 * K462</f>
        <v/>
      </c>
      <c r="M462" s="24">
        <f>I462 * (0.01000000 / 12)</f>
        <v/>
      </c>
      <c r="N462" s="24">
        <f>I462 * (0.00664805 / 12) * 1.0</f>
        <v/>
      </c>
      <c r="O462" s="24">
        <f>I462 * (0.00400000 / 12) * 1.0</f>
        <v/>
      </c>
      <c r="P462" s="24">
        <f>I462 * (0.00500000 / 12) * 1.0</f>
        <v/>
      </c>
      <c r="Q462" s="24">
        <f>Q461 * (K462 / K461) + M462</f>
        <v/>
      </c>
      <c r="R462" s="24">
        <f>R461 * (K462 / K461) + N462</f>
        <v/>
      </c>
      <c r="S462" s="24">
        <f>S461 * (K462 / K461) + O462 + P462</f>
        <v/>
      </c>
      <c r="T462" s="20">
        <f>Q462 + R462 + S462</f>
        <v/>
      </c>
      <c r="U462" s="24">
        <f>MAX(0, -T462)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 t="n">
        <v>0</v>
      </c>
      <c r="J463" s="21" t="n">
        <v>0.1513497086635608</v>
      </c>
      <c r="K463" s="25">
        <f>1 / J463</f>
        <v/>
      </c>
      <c r="L463" s="25">
        <f>I463 * K463</f>
        <v/>
      </c>
      <c r="M463" s="25">
        <f>I463 * (0.01000000 / 12)</f>
        <v/>
      </c>
      <c r="N463" s="25">
        <f>I463 * (0.00664805 / 12) * 1.0</f>
        <v/>
      </c>
      <c r="O463" s="25">
        <f>I463 * (0.00400000 / 12) * 1.0</f>
        <v/>
      </c>
      <c r="P463" s="25">
        <f>I463 * (0.00500000 / 12) * 1.0</f>
        <v/>
      </c>
      <c r="Q463" s="25">
        <f>Q462 * (K463 / K462) + M463</f>
        <v/>
      </c>
      <c r="R463" s="25">
        <f>R462 * (K463 / K462) + N463</f>
        <v/>
      </c>
      <c r="S463" s="25">
        <f>S462 * (K463 / K462) + O463 + P463</f>
        <v/>
      </c>
      <c r="T463" s="22">
        <f>Q463 + R463 + S463</f>
        <v/>
      </c>
      <c r="U463" s="25">
        <f>MAX(0, -T463)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 t="n">
        <v>0</v>
      </c>
      <c r="J464" s="19" t="n">
        <v>0.1507330045663539</v>
      </c>
      <c r="K464" s="24">
        <f>1 / J464</f>
        <v/>
      </c>
      <c r="L464" s="24">
        <f>I464 * K464</f>
        <v/>
      </c>
      <c r="M464" s="24">
        <f>I464 * (0.01000000 / 12)</f>
        <v/>
      </c>
      <c r="N464" s="24">
        <f>I464 * (0.00664805 / 12) * 1.0</f>
        <v/>
      </c>
      <c r="O464" s="24">
        <f>I464 * (0.00400000 / 12) * 1.0</f>
        <v/>
      </c>
      <c r="P464" s="24">
        <f>I464 * (0.00500000 / 12) * 1.0</f>
        <v/>
      </c>
      <c r="Q464" s="24">
        <f>Q463 * (K464 / K463) + M464</f>
        <v/>
      </c>
      <c r="R464" s="24">
        <f>R463 * (K464 / K463) + N464</f>
        <v/>
      </c>
      <c r="S464" s="24">
        <f>S463 * (K464 / K463) + O464 + P464</f>
        <v/>
      </c>
      <c r="T464" s="20">
        <f>Q464 + R464 + S464</f>
        <v/>
      </c>
      <c r="U464" s="24">
        <f>MAX(0, -T464)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 t="n">
        <v>0</v>
      </c>
      <c r="J465" s="21" t="n">
        <v>0.1501188133510472</v>
      </c>
      <c r="K465" s="25">
        <f>1 / J465</f>
        <v/>
      </c>
      <c r="L465" s="25">
        <f>I465 * K465</f>
        <v/>
      </c>
      <c r="M465" s="25">
        <f>I465 * (0.01000000 / 12)</f>
        <v/>
      </c>
      <c r="N465" s="25">
        <f>I465 * (0.00664805 / 12) * 1.0</f>
        <v/>
      </c>
      <c r="O465" s="25">
        <f>I465 * (0.00400000 / 12) * 1.0</f>
        <v/>
      </c>
      <c r="P465" s="25">
        <f>I465 * (0.00500000 / 12) * 1.0</f>
        <v/>
      </c>
      <c r="Q465" s="25">
        <f>Q464 * (K465 / K464) + M465</f>
        <v/>
      </c>
      <c r="R465" s="25">
        <f>R464 * (K465 / K464) + N465</f>
        <v/>
      </c>
      <c r="S465" s="25">
        <f>S464 * (K465 / K464) + O465 + P465</f>
        <v/>
      </c>
      <c r="T465" s="22">
        <f>Q465 + R465 + S465</f>
        <v/>
      </c>
      <c r="U465" s="25">
        <f>MAX(0, -T465)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 t="n">
        <v>0</v>
      </c>
      <c r="J466" s="19" t="n">
        <v>0.1495071247784103</v>
      </c>
      <c r="K466" s="24">
        <f>1 / J466</f>
        <v/>
      </c>
      <c r="L466" s="24">
        <f>I466 * K466</f>
        <v/>
      </c>
      <c r="M466" s="24">
        <f>I466 * (0.01000000 / 12)</f>
        <v/>
      </c>
      <c r="N466" s="24">
        <f>I466 * (0.00664805 / 12) * 1.0</f>
        <v/>
      </c>
      <c r="O466" s="24">
        <f>I466 * (0.00400000 / 12) * 1.0</f>
        <v/>
      </c>
      <c r="P466" s="24">
        <f>I466 * (0.00500000 / 12) * 1.0</f>
        <v/>
      </c>
      <c r="Q466" s="24">
        <f>Q465 * (K466 / K465) + M466</f>
        <v/>
      </c>
      <c r="R466" s="24">
        <f>R465 * (K466 / K465) + N466</f>
        <v/>
      </c>
      <c r="S466" s="24">
        <f>S465 * (K466 / K465) + O466 + P466</f>
        <v/>
      </c>
      <c r="T466" s="20">
        <f>Q466 + R466 + S466</f>
        <v/>
      </c>
      <c r="U466" s="24">
        <f>MAX(0, -T466)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 t="n">
        <v>0</v>
      </c>
      <c r="J467" s="21" t="n">
        <v>0.1488979286509343</v>
      </c>
      <c r="K467" s="25">
        <f>1 / J467</f>
        <v/>
      </c>
      <c r="L467" s="25">
        <f>I467 * K467</f>
        <v/>
      </c>
      <c r="M467" s="25">
        <f>I467 * (0.01000000 / 12)</f>
        <v/>
      </c>
      <c r="N467" s="25">
        <f>I467 * (0.00664805 / 12) * 1.0</f>
        <v/>
      </c>
      <c r="O467" s="25">
        <f>I467 * (0.00400000 / 12) * 1.0</f>
        <v/>
      </c>
      <c r="P467" s="25">
        <f>I467 * (0.00500000 / 12) * 1.0</f>
        <v/>
      </c>
      <c r="Q467" s="25">
        <f>Q466 * (K467 / K466) + M467</f>
        <v/>
      </c>
      <c r="R467" s="25">
        <f>R466 * (K467 / K466) + N467</f>
        <v/>
      </c>
      <c r="S467" s="25">
        <f>S466 * (K467 / K466) + O467 + P467</f>
        <v/>
      </c>
      <c r="T467" s="22">
        <f>Q467 + R467 + S467</f>
        <v/>
      </c>
      <c r="U467" s="25">
        <f>MAX(0, -T467)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 t="n">
        <v>0</v>
      </c>
      <c r="J468" s="19" t="n">
        <v>0.1482912148126621</v>
      </c>
      <c r="K468" s="24">
        <f>1 / J468</f>
        <v/>
      </c>
      <c r="L468" s="24">
        <f>I468 * K468</f>
        <v/>
      </c>
      <c r="M468" s="24">
        <f>I468 * (0.01000000 / 12)</f>
        <v/>
      </c>
      <c r="N468" s="24">
        <f>I468 * (0.00664805 / 12) * 1.0</f>
        <v/>
      </c>
      <c r="O468" s="24">
        <f>I468 * (0.00400000 / 12) * 1.0</f>
        <v/>
      </c>
      <c r="P468" s="24">
        <f>I468 * (0.00500000 / 12) * 1.0</f>
        <v/>
      </c>
      <c r="Q468" s="24">
        <f>Q467 * (K468 / K467) + M468</f>
        <v/>
      </c>
      <c r="R468" s="24">
        <f>R467 * (K468 / K467) + N468</f>
        <v/>
      </c>
      <c r="S468" s="24">
        <f>S467 * (K468 / K467) + O468 + P468</f>
        <v/>
      </c>
      <c r="T468" s="20">
        <f>Q468 + R468 + S468</f>
        <v/>
      </c>
      <c r="U468" s="24">
        <f>MAX(0, -T468)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 t="n">
        <v>0</v>
      </c>
      <c r="J469" s="21" t="n">
        <v>0.147686973149019</v>
      </c>
      <c r="K469" s="25">
        <f>1 / J469</f>
        <v/>
      </c>
      <c r="L469" s="25">
        <f>I469 * K469</f>
        <v/>
      </c>
      <c r="M469" s="25">
        <f>I469 * (0.01000000 / 12)</f>
        <v/>
      </c>
      <c r="N469" s="25">
        <f>I469 * (0.00664805 / 12) * 1.0</f>
        <v/>
      </c>
      <c r="O469" s="25">
        <f>I469 * (0.00400000 / 12) * 1.0</f>
        <v/>
      </c>
      <c r="P469" s="25">
        <f>I469 * (0.00500000 / 12) * 1.0</f>
        <v/>
      </c>
      <c r="Q469" s="25">
        <f>Q468 * (K469 / K468) + M469</f>
        <v/>
      </c>
      <c r="R469" s="25">
        <f>R468 * (K469 / K468) + N469</f>
        <v/>
      </c>
      <c r="S469" s="25">
        <f>S468 * (K469 / K468) + O469 + P469</f>
        <v/>
      </c>
      <c r="T469" s="22">
        <f>Q469 + R469 + S469</f>
        <v/>
      </c>
      <c r="U469" s="25">
        <f>MAX(0, -T469)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 t="n">
        <v>0</v>
      </c>
      <c r="J470" s="19" t="n">
        <v>0.1470851935866444</v>
      </c>
      <c r="K470" s="24">
        <f>1 / J470</f>
        <v/>
      </c>
      <c r="L470" s="24">
        <f>I470 * K470</f>
        <v/>
      </c>
      <c r="M470" s="24">
        <f>I470 * (0.01000000 / 12)</f>
        <v/>
      </c>
      <c r="N470" s="24">
        <f>I470 * (0.00664805 / 12) * 1.0</f>
        <v/>
      </c>
      <c r="O470" s="24">
        <f>I470 * (0.00400000 / 12) * 1.0</f>
        <v/>
      </c>
      <c r="P470" s="24">
        <f>I470 * (0.00500000 / 12) * 1.0</f>
        <v/>
      </c>
      <c r="Q470" s="24">
        <f>Q469 * (K470 / K469) + M470</f>
        <v/>
      </c>
      <c r="R470" s="24">
        <f>R469 * (K470 / K469) + N470</f>
        <v/>
      </c>
      <c r="S470" s="24">
        <f>S469 * (K470 / K469) + O470 + P470</f>
        <v/>
      </c>
      <c r="T470" s="20">
        <f>Q470 + R470 + S470</f>
        <v/>
      </c>
      <c r="U470" s="24">
        <f>MAX(0, -T470)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 t="n">
        <v>0</v>
      </c>
      <c r="J471" s="21" t="n">
        <v>0.1464858660932233</v>
      </c>
      <c r="K471" s="25">
        <f>1 / J471</f>
        <v/>
      </c>
      <c r="L471" s="25">
        <f>I471 * K471</f>
        <v/>
      </c>
      <c r="M471" s="25">
        <f>I471 * (0.01000000 / 12)</f>
        <v/>
      </c>
      <c r="N471" s="25">
        <f>I471 * (0.00664805 / 12) * 1.0</f>
        <v/>
      </c>
      <c r="O471" s="25">
        <f>I471 * (0.00400000 / 12) * 1.0</f>
        <v/>
      </c>
      <c r="P471" s="25">
        <f>I471 * (0.00500000 / 12) * 1.0</f>
        <v/>
      </c>
      <c r="Q471" s="25">
        <f>Q470 * (K471 / K470) + M471</f>
        <v/>
      </c>
      <c r="R471" s="25">
        <f>R470 * (K471 / K470) + N471</f>
        <v/>
      </c>
      <c r="S471" s="25">
        <f>S470 * (K471 / K470) + O471 + P471</f>
        <v/>
      </c>
      <c r="T471" s="22">
        <f>Q471 + R471 + S471</f>
        <v/>
      </c>
      <c r="U471" s="25">
        <f>MAX(0, -T471)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 t="n">
        <v>0</v>
      </c>
      <c r="J472" s="19" t="n">
        <v>0.1458889806773193</v>
      </c>
      <c r="K472" s="24">
        <f>1 / J472</f>
        <v/>
      </c>
      <c r="L472" s="24">
        <f>I472 * K472</f>
        <v/>
      </c>
      <c r="M472" s="24">
        <f>I472 * (0.01000000 / 12)</f>
        <v/>
      </c>
      <c r="N472" s="24">
        <f>I472 * (0.00664805 / 12) * 1.0</f>
        <v/>
      </c>
      <c r="O472" s="24">
        <f>I472 * (0.00400000 / 12) * 1.0</f>
        <v/>
      </c>
      <c r="P472" s="24">
        <f>I472 * (0.00500000 / 12) * 1.0</f>
        <v/>
      </c>
      <c r="Q472" s="24">
        <f>Q471 * (K472 / K471) + M472</f>
        <v/>
      </c>
      <c r="R472" s="24">
        <f>R471 * (K472 / K471) + N472</f>
        <v/>
      </c>
      <c r="S472" s="24">
        <f>S471 * (K472 / K471) + O472 + P472</f>
        <v/>
      </c>
      <c r="T472" s="20">
        <f>Q472 + R472 + S472</f>
        <v/>
      </c>
      <c r="U472" s="24">
        <f>MAX(0, -T472)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 t="n">
        <v>0</v>
      </c>
      <c r="J473" s="21" t="n">
        <v>0.1452945273882083</v>
      </c>
      <c r="K473" s="25">
        <f>1 / J473</f>
        <v/>
      </c>
      <c r="L473" s="25">
        <f>I473 * K473</f>
        <v/>
      </c>
      <c r="M473" s="25">
        <f>I473 * (0.01000000 / 12)</f>
        <v/>
      </c>
      <c r="N473" s="25">
        <f>I473 * (0.00664805 / 12) * 1.0</f>
        <v/>
      </c>
      <c r="O473" s="25">
        <f>I473 * (0.00400000 / 12) * 1.0</f>
        <v/>
      </c>
      <c r="P473" s="25">
        <f>I473 * (0.00500000 / 12) * 1.0</f>
        <v/>
      </c>
      <c r="Q473" s="25">
        <f>Q472 * (K473 / K472) + M473</f>
        <v/>
      </c>
      <c r="R473" s="25">
        <f>R472 * (K473 / K472) + N473</f>
        <v/>
      </c>
      <c r="S473" s="25">
        <f>S472 * (K473 / K472) + O473 + P473</f>
        <v/>
      </c>
      <c r="T473" s="22">
        <f>Q473 + R473 + S473</f>
        <v/>
      </c>
      <c r="U473" s="25">
        <f>MAX(0, -T473)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 t="n">
        <v>0</v>
      </c>
      <c r="J474" s="19" t="n">
        <v>0.1447024963157123</v>
      </c>
      <c r="K474" s="24">
        <f>1 / J474</f>
        <v/>
      </c>
      <c r="L474" s="24">
        <f>I474 * K474</f>
        <v/>
      </c>
      <c r="M474" s="24">
        <f>I474 * (0.01000000 / 12)</f>
        <v/>
      </c>
      <c r="N474" s="24">
        <f>I474 * (0.00664805 / 12) * 1.0</f>
        <v/>
      </c>
      <c r="O474" s="24">
        <f>I474 * (0.00400000 / 12) * 1.0</f>
        <v/>
      </c>
      <c r="P474" s="24">
        <f>I474 * (0.00500000 / 12) * 1.0</f>
        <v/>
      </c>
      <c r="Q474" s="24">
        <f>Q473 * (K474 / K473) + M474</f>
        <v/>
      </c>
      <c r="R474" s="24">
        <f>R473 * (K474 / K473) + N474</f>
        <v/>
      </c>
      <c r="S474" s="24">
        <f>S473 * (K474 / K473) + O474 + P474</f>
        <v/>
      </c>
      <c r="T474" s="20">
        <f>Q474 + R474 + S474</f>
        <v/>
      </c>
      <c r="U474" s="24">
        <f>MAX(0, -T474)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 t="n">
        <v>0</v>
      </c>
      <c r="J475" s="21" t="n">
        <v>0.1441128775900342</v>
      </c>
      <c r="K475" s="25">
        <f>1 / J475</f>
        <v/>
      </c>
      <c r="L475" s="25">
        <f>I475 * K475</f>
        <v/>
      </c>
      <c r="M475" s="25">
        <f>I475 * (0.01000000 / 12)</f>
        <v/>
      </c>
      <c r="N475" s="25">
        <f>I475 * (0.00664805 / 12) * 1.0</f>
        <v/>
      </c>
      <c r="O475" s="25">
        <f>I475 * (0.00400000 / 12) * 1.0</f>
        <v/>
      </c>
      <c r="P475" s="25">
        <f>I475 * (0.00500000 / 12) * 1.0</f>
        <v/>
      </c>
      <c r="Q475" s="25">
        <f>Q474 * (K475 / K474) + M475</f>
        <v/>
      </c>
      <c r="R475" s="25">
        <f>R474 * (K475 / K474) + N475</f>
        <v/>
      </c>
      <c r="S475" s="25">
        <f>S474 * (K475 / K474) + O475 + P475</f>
        <v/>
      </c>
      <c r="T475" s="22">
        <f>Q475 + R475 + S475</f>
        <v/>
      </c>
      <c r="U475" s="25">
        <f>MAX(0, -T475)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 t="n">
        <v>0</v>
      </c>
      <c r="J476" s="19" t="n">
        <v>0.1435256613815933</v>
      </c>
      <c r="K476" s="24">
        <f>1 / J476</f>
        <v/>
      </c>
      <c r="L476" s="24">
        <f>I476 * K476</f>
        <v/>
      </c>
      <c r="M476" s="24">
        <f>I476 * (0.01000000 / 12)</f>
        <v/>
      </c>
      <c r="N476" s="24">
        <f>I476 * (0.00664805 / 12) * 1.0</f>
        <v/>
      </c>
      <c r="O476" s="24">
        <f>I476 * (0.00400000 / 12) * 1.0</f>
        <v/>
      </c>
      <c r="P476" s="24">
        <f>I476 * (0.00500000 / 12) * 1.0</f>
        <v/>
      </c>
      <c r="Q476" s="24">
        <f>Q475 * (K476 / K475) + M476</f>
        <v/>
      </c>
      <c r="R476" s="24">
        <f>R475 * (K476 / K475) + N476</f>
        <v/>
      </c>
      <c r="S476" s="24">
        <f>S475 * (K476 / K475) + O476 + P476</f>
        <v/>
      </c>
      <c r="T476" s="20">
        <f>Q476 + R476 + S476</f>
        <v/>
      </c>
      <c r="U476" s="24">
        <f>MAX(0, -T476)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 t="n">
        <v>0</v>
      </c>
      <c r="J477" s="21" t="n">
        <v>0.1429408379008615</v>
      </c>
      <c r="K477" s="25">
        <f>1 / J477</f>
        <v/>
      </c>
      <c r="L477" s="25">
        <f>I477 * K477</f>
        <v/>
      </c>
      <c r="M477" s="25">
        <f>I477 * (0.01000000 / 12)</f>
        <v/>
      </c>
      <c r="N477" s="25">
        <f>I477 * (0.00664805 / 12) * 1.0</f>
        <v/>
      </c>
      <c r="O477" s="25">
        <f>I477 * (0.00400000 / 12) * 1.0</f>
        <v/>
      </c>
      <c r="P477" s="25">
        <f>I477 * (0.00500000 / 12) * 1.0</f>
        <v/>
      </c>
      <c r="Q477" s="25">
        <f>Q476 * (K477 / K476) + M477</f>
        <v/>
      </c>
      <c r="R477" s="25">
        <f>R476 * (K477 / K476) + N477</f>
        <v/>
      </c>
      <c r="S477" s="25">
        <f>S476 * (K477 / K476) + O477 + P477</f>
        <v/>
      </c>
      <c r="T477" s="22">
        <f>Q477 + R477 + S477</f>
        <v/>
      </c>
      <c r="U477" s="25">
        <f>MAX(0, -T477)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 t="n">
        <v>0</v>
      </c>
      <c r="J478" s="19" t="n">
        <v>0.1423583973982002</v>
      </c>
      <c r="K478" s="24">
        <f>1 / J478</f>
        <v/>
      </c>
      <c r="L478" s="24">
        <f>I478 * K478</f>
        <v/>
      </c>
      <c r="M478" s="24">
        <f>I478 * (0.01000000 / 12)</f>
        <v/>
      </c>
      <c r="N478" s="24">
        <f>I478 * (0.00664805 / 12) * 1.0</f>
        <v/>
      </c>
      <c r="O478" s="24">
        <f>I478 * (0.00400000 / 12) * 1.0</f>
        <v/>
      </c>
      <c r="P478" s="24">
        <f>I478 * (0.00500000 / 12) * 1.0</f>
        <v/>
      </c>
      <c r="Q478" s="24">
        <f>Q477 * (K478 / K477) + M478</f>
        <v/>
      </c>
      <c r="R478" s="24">
        <f>R477 * (K478 / K477) + N478</f>
        <v/>
      </c>
      <c r="S478" s="24">
        <f>S477 * (K478 / K477) + O478 + P478</f>
        <v/>
      </c>
      <c r="T478" s="20">
        <f>Q478 + R478 + S478</f>
        <v/>
      </c>
      <c r="U478" s="24">
        <f>MAX(0, -T478)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 t="n">
        <v>0</v>
      </c>
      <c r="J479" s="21" t="n">
        <v>0.1417783301636974</v>
      </c>
      <c r="K479" s="25">
        <f>1 / J479</f>
        <v/>
      </c>
      <c r="L479" s="25">
        <f>I479 * K479</f>
        <v/>
      </c>
      <c r="M479" s="25">
        <f>I479 * (0.01000000 / 12)</f>
        <v/>
      </c>
      <c r="N479" s="25">
        <f>I479 * (0.00664805 / 12) * 1.0</f>
        <v/>
      </c>
      <c r="O479" s="25">
        <f>I479 * (0.00400000 / 12) * 1.0</f>
        <v/>
      </c>
      <c r="P479" s="25">
        <f>I479 * (0.00500000 / 12) * 1.0</f>
        <v/>
      </c>
      <c r="Q479" s="25">
        <f>Q478 * (K479 / K478) + M479</f>
        <v/>
      </c>
      <c r="R479" s="25">
        <f>R478 * (K479 / K478) + N479</f>
        <v/>
      </c>
      <c r="S479" s="25">
        <f>S478 * (K479 / K478) + O479 + P479</f>
        <v/>
      </c>
      <c r="T479" s="22">
        <f>Q479 + R479 + S479</f>
        <v/>
      </c>
      <c r="U479" s="25">
        <f>MAX(0, -T479)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 t="n">
        <v>0</v>
      </c>
      <c r="J480" s="19" t="n">
        <v>0.1412006265270061</v>
      </c>
      <c r="K480" s="24">
        <f>1 / J480</f>
        <v/>
      </c>
      <c r="L480" s="24">
        <f>I480 * K480</f>
        <v/>
      </c>
      <c r="M480" s="24">
        <f>I480 * (0.01000000 / 12)</f>
        <v/>
      </c>
      <c r="N480" s="24">
        <f>I480 * (0.00664805 / 12) * 1.0</f>
        <v/>
      </c>
      <c r="O480" s="24">
        <f>I480 * (0.00400000 / 12) * 1.0</f>
        <v/>
      </c>
      <c r="P480" s="24">
        <f>I480 * (0.00500000 / 12) * 1.0</f>
        <v/>
      </c>
      <c r="Q480" s="24">
        <f>Q479 * (K480 / K479) + M480</f>
        <v/>
      </c>
      <c r="R480" s="24">
        <f>R479 * (K480 / K479) + N480</f>
        <v/>
      </c>
      <c r="S480" s="24">
        <f>S479 * (K480 / K479) + O480 + P480</f>
        <v/>
      </c>
      <c r="T480" s="20">
        <f>Q480 + R480 + S480</f>
        <v/>
      </c>
      <c r="U480" s="24">
        <f>MAX(0, -T480)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 t="n">
        <v>0</v>
      </c>
      <c r="J481" s="21" t="n">
        <v>0.1406252768571831</v>
      </c>
      <c r="K481" s="25">
        <f>1 / J481</f>
        <v/>
      </c>
      <c r="L481" s="25">
        <f>I481 * K481</f>
        <v/>
      </c>
      <c r="M481" s="25">
        <f>I481 * (0.01000000 / 12)</f>
        <v/>
      </c>
      <c r="N481" s="25">
        <f>I481 * (0.00664805 / 12) * 1.0</f>
        <v/>
      </c>
      <c r="O481" s="25">
        <f>I481 * (0.00400000 / 12) * 1.0</f>
        <v/>
      </c>
      <c r="P481" s="25">
        <f>I481 * (0.00500000 / 12) * 1.0</f>
        <v/>
      </c>
      <c r="Q481" s="25">
        <f>Q480 * (K481 / K480) + M481</f>
        <v/>
      </c>
      <c r="R481" s="25">
        <f>R480 * (K481 / K480) + N481</f>
        <v/>
      </c>
      <c r="S481" s="25">
        <f>S480 * (K481 / K480) + O481 + P481</f>
        <v/>
      </c>
      <c r="T481" s="22">
        <f>Q481 + R481 + S481</f>
        <v/>
      </c>
      <c r="U481" s="25">
        <f>MAX(0, -T481)</f>
        <v/>
      </c>
    </row>
  </sheetData>
  <autoFilter ref="A1:U1"/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4B1C8C"/>
    <outlinePr summaryBelow="1" summaryRight="1"/>
    <pageSetUpPr/>
  </sheetPr>
  <dimension ref="A1:P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3" customWidth="1" min="9" max="9"/>
    <col width="12" customWidth="1" min="10" max="10"/>
    <col width="11" customWidth="1" min="11" max="11"/>
    <col width="15" customWidth="1" min="12" max="12"/>
    <col width="8" customWidth="1" min="13" max="13"/>
    <col width="12" customWidth="1" min="14" max="14"/>
    <col width="8" customWidth="1" min="15" max="15"/>
    <col width="15" customWidth="1" min="16" max="16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disc_factor</t>
        </is>
      </c>
      <c r="J1" s="26" t="inlineStr">
        <is>
          <t>fund_at_me</t>
        </is>
      </c>
      <c r="K1" s="26" t="inlineStr">
        <is>
          <t>csv_at_me</t>
        </is>
      </c>
      <c r="L1" s="26" t="inlineStr">
        <is>
          <t>annuity_at_me</t>
        </is>
      </c>
      <c r="M1" s="26" t="inlineStr">
        <is>
          <t>pv_csv</t>
        </is>
      </c>
      <c r="N1" s="26" t="inlineStr">
        <is>
          <t>pv_annuity</t>
        </is>
      </c>
      <c r="O1" s="26" t="inlineStr">
        <is>
          <t>pv_max</t>
        </is>
      </c>
      <c r="P1" s="26" t="inlineStr">
        <is>
          <t>carvm_reserve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0</v>
      </c>
      <c r="J2" s="24" t="n">
        <v>0</v>
      </c>
      <c r="K2" s="24" t="n">
        <v>0</v>
      </c>
      <c r="L2" s="20" t="n">
        <v>0</v>
      </c>
      <c r="M2" s="24">
        <f>K2 * I2</f>
        <v/>
      </c>
      <c r="N2" s="24">
        <f>0</f>
        <v/>
      </c>
      <c r="O2" s="24">
        <f>MAX(M2, N2)</f>
        <v/>
      </c>
      <c r="P2" s="24">
        <f>MAX(O2, P3)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0</v>
      </c>
      <c r="J3" s="25" t="n">
        <v>0</v>
      </c>
      <c r="K3" s="25" t="n">
        <v>0</v>
      </c>
      <c r="L3" s="22" t="n">
        <v>0</v>
      </c>
      <c r="M3" s="25">
        <f>K3 * I3</f>
        <v/>
      </c>
      <c r="N3" s="25">
        <f>0</f>
        <v/>
      </c>
      <c r="O3" s="25">
        <f>MAX(M3, N3)</f>
        <v/>
      </c>
      <c r="P3" s="25">
        <f>MAX(O3, P4)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0</v>
      </c>
      <c r="J4" s="24" t="n">
        <v>0</v>
      </c>
      <c r="K4" s="24" t="n">
        <v>0</v>
      </c>
      <c r="L4" s="20" t="n">
        <v>0</v>
      </c>
      <c r="M4" s="24">
        <f>K4 * I4</f>
        <v/>
      </c>
      <c r="N4" s="24">
        <f>0</f>
        <v/>
      </c>
      <c r="O4" s="24">
        <f>MAX(M4, N4)</f>
        <v/>
      </c>
      <c r="P4" s="24">
        <f>MAX(O4, P5)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0</v>
      </c>
      <c r="J5" s="25" t="n">
        <v>0</v>
      </c>
      <c r="K5" s="25" t="n">
        <v>0</v>
      </c>
      <c r="L5" s="22" t="n">
        <v>0</v>
      </c>
      <c r="M5" s="25">
        <f>K5 * I5</f>
        <v/>
      </c>
      <c r="N5" s="25">
        <f>0</f>
        <v/>
      </c>
      <c r="O5" s="25">
        <f>MAX(M5, N5)</f>
        <v/>
      </c>
      <c r="P5" s="25">
        <f>MAX(O5, P6)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0</v>
      </c>
      <c r="J6" s="24" t="n">
        <v>0</v>
      </c>
      <c r="K6" s="24" t="n">
        <v>0</v>
      </c>
      <c r="L6" s="20" t="n">
        <v>0</v>
      </c>
      <c r="M6" s="24">
        <f>K6 * I6</f>
        <v/>
      </c>
      <c r="N6" s="24">
        <f>0</f>
        <v/>
      </c>
      <c r="O6" s="24">
        <f>MAX(M6, N6)</f>
        <v/>
      </c>
      <c r="P6" s="24">
        <f>MAX(O6, P7)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0</v>
      </c>
      <c r="J7" s="25" t="n">
        <v>0</v>
      </c>
      <c r="K7" s="25" t="n">
        <v>0</v>
      </c>
      <c r="L7" s="22" t="n">
        <v>0</v>
      </c>
      <c r="M7" s="25">
        <f>K7 * I7</f>
        <v/>
      </c>
      <c r="N7" s="25">
        <f>0</f>
        <v/>
      </c>
      <c r="O7" s="25">
        <f>MAX(M7, N7)</f>
        <v/>
      </c>
      <c r="P7" s="25">
        <f>MAX(O7, P8)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0</v>
      </c>
      <c r="J8" s="24" t="n">
        <v>0</v>
      </c>
      <c r="K8" s="24" t="n">
        <v>0</v>
      </c>
      <c r="L8" s="20" t="n">
        <v>0</v>
      </c>
      <c r="M8" s="24">
        <f>K8 * I8</f>
        <v/>
      </c>
      <c r="N8" s="24">
        <f>0</f>
        <v/>
      </c>
      <c r="O8" s="24">
        <f>MAX(M8, N8)</f>
        <v/>
      </c>
      <c r="P8" s="24">
        <f>MAX(O8, P9)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0</v>
      </c>
      <c r="J9" s="25" t="n">
        <v>0</v>
      </c>
      <c r="K9" s="25" t="n">
        <v>0</v>
      </c>
      <c r="L9" s="22" t="n">
        <v>0</v>
      </c>
      <c r="M9" s="25">
        <f>K9 * I9</f>
        <v/>
      </c>
      <c r="N9" s="25">
        <f>0</f>
        <v/>
      </c>
      <c r="O9" s="25">
        <f>MAX(M9, N9)</f>
        <v/>
      </c>
      <c r="P9" s="25">
        <f>MAX(O9, P10)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0</v>
      </c>
      <c r="J10" s="24" t="n">
        <v>0</v>
      </c>
      <c r="K10" s="24" t="n">
        <v>0</v>
      </c>
      <c r="L10" s="20" t="n">
        <v>0</v>
      </c>
      <c r="M10" s="24">
        <f>K10 * I10</f>
        <v/>
      </c>
      <c r="N10" s="24">
        <f>0</f>
        <v/>
      </c>
      <c r="O10" s="24">
        <f>MAX(M10, N10)</f>
        <v/>
      </c>
      <c r="P10" s="24">
        <f>MAX(O10, P11)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0</v>
      </c>
      <c r="J11" s="25" t="n">
        <v>0</v>
      </c>
      <c r="K11" s="25" t="n">
        <v>0</v>
      </c>
      <c r="L11" s="22" t="n">
        <v>0</v>
      </c>
      <c r="M11" s="25">
        <f>K11 * I11</f>
        <v/>
      </c>
      <c r="N11" s="25">
        <f>0</f>
        <v/>
      </c>
      <c r="O11" s="25">
        <f>MAX(M11, N11)</f>
        <v/>
      </c>
      <c r="P11" s="25">
        <f>MAX(O11, P12)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0</v>
      </c>
      <c r="J12" s="24" t="n">
        <v>0</v>
      </c>
      <c r="K12" s="24" t="n">
        <v>0</v>
      </c>
      <c r="L12" s="20" t="n">
        <v>0</v>
      </c>
      <c r="M12" s="24">
        <f>K12 * I12</f>
        <v/>
      </c>
      <c r="N12" s="24">
        <f>0</f>
        <v/>
      </c>
      <c r="O12" s="24">
        <f>MAX(M12, N12)</f>
        <v/>
      </c>
      <c r="P12" s="24">
        <f>MAX(O12, P13)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0</v>
      </c>
      <c r="J13" s="25" t="n">
        <v>0</v>
      </c>
      <c r="K13" s="25" t="n">
        <v>0</v>
      </c>
      <c r="L13" s="22" t="n">
        <v>0</v>
      </c>
      <c r="M13" s="25">
        <f>K13 * I13</f>
        <v/>
      </c>
      <c r="N13" s="25">
        <f>0</f>
        <v/>
      </c>
      <c r="O13" s="25">
        <f>MAX(M13, N13)</f>
        <v/>
      </c>
      <c r="P13" s="25">
        <f>MAX(O13, P14)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0</v>
      </c>
      <c r="J14" s="24" t="n">
        <v>0</v>
      </c>
      <c r="K14" s="24" t="n">
        <v>0</v>
      </c>
      <c r="L14" s="20" t="n">
        <v>0</v>
      </c>
      <c r="M14" s="24">
        <f>K14 * I14</f>
        <v/>
      </c>
      <c r="N14" s="24">
        <f>0</f>
        <v/>
      </c>
      <c r="O14" s="24">
        <f>MAX(M14, N14)</f>
        <v/>
      </c>
      <c r="P14" s="24">
        <f>MAX(O14, P15)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0</v>
      </c>
      <c r="J15" s="25" t="n">
        <v>0</v>
      </c>
      <c r="K15" s="25" t="n">
        <v>0</v>
      </c>
      <c r="L15" s="22" t="n">
        <v>0</v>
      </c>
      <c r="M15" s="25">
        <f>K15 * I15</f>
        <v/>
      </c>
      <c r="N15" s="25">
        <f>0</f>
        <v/>
      </c>
      <c r="O15" s="25">
        <f>MAX(M15, N15)</f>
        <v/>
      </c>
      <c r="P15" s="25">
        <f>MAX(O15, P16)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0</v>
      </c>
      <c r="J16" s="24" t="n">
        <v>0</v>
      </c>
      <c r="K16" s="24" t="n">
        <v>0</v>
      </c>
      <c r="L16" s="20" t="n">
        <v>0</v>
      </c>
      <c r="M16" s="24">
        <f>K16 * I16</f>
        <v/>
      </c>
      <c r="N16" s="24">
        <f>0</f>
        <v/>
      </c>
      <c r="O16" s="24">
        <f>MAX(M16, N16)</f>
        <v/>
      </c>
      <c r="P16" s="24">
        <f>MAX(O16, P17)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0</v>
      </c>
      <c r="J17" s="25" t="n">
        <v>0</v>
      </c>
      <c r="K17" s="25" t="n">
        <v>0</v>
      </c>
      <c r="L17" s="22" t="n">
        <v>0</v>
      </c>
      <c r="M17" s="25">
        <f>K17 * I17</f>
        <v/>
      </c>
      <c r="N17" s="25">
        <f>0</f>
        <v/>
      </c>
      <c r="O17" s="25">
        <f>MAX(M17, N17)</f>
        <v/>
      </c>
      <c r="P17" s="25">
        <f>MAX(O17, P18)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0</v>
      </c>
      <c r="J18" s="24" t="n">
        <v>0</v>
      </c>
      <c r="K18" s="24" t="n">
        <v>0</v>
      </c>
      <c r="L18" s="20" t="n">
        <v>0</v>
      </c>
      <c r="M18" s="24">
        <f>K18 * I18</f>
        <v/>
      </c>
      <c r="N18" s="24">
        <f>0</f>
        <v/>
      </c>
      <c r="O18" s="24">
        <f>MAX(M18, N18)</f>
        <v/>
      </c>
      <c r="P18" s="24">
        <f>MAX(O18, P19)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0</v>
      </c>
      <c r="J19" s="25" t="n">
        <v>0</v>
      </c>
      <c r="K19" s="25" t="n">
        <v>0</v>
      </c>
      <c r="L19" s="22" t="n">
        <v>0</v>
      </c>
      <c r="M19" s="25">
        <f>K19 * I19</f>
        <v/>
      </c>
      <c r="N19" s="25">
        <f>0</f>
        <v/>
      </c>
      <c r="O19" s="25">
        <f>MAX(M19, N19)</f>
        <v/>
      </c>
      <c r="P19" s="25">
        <f>MAX(O19, P20)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0</v>
      </c>
      <c r="J20" s="24" t="n">
        <v>0</v>
      </c>
      <c r="K20" s="24" t="n">
        <v>0</v>
      </c>
      <c r="L20" s="20" t="n">
        <v>0</v>
      </c>
      <c r="M20" s="24">
        <f>K20 * I20</f>
        <v/>
      </c>
      <c r="N20" s="24">
        <f>0</f>
        <v/>
      </c>
      <c r="O20" s="24">
        <f>MAX(M20, N20)</f>
        <v/>
      </c>
      <c r="P20" s="24">
        <f>MAX(O20, P21)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0</v>
      </c>
      <c r="J21" s="25" t="n">
        <v>0</v>
      </c>
      <c r="K21" s="25" t="n">
        <v>0</v>
      </c>
      <c r="L21" s="22" t="n">
        <v>0</v>
      </c>
      <c r="M21" s="25">
        <f>K21 * I21</f>
        <v/>
      </c>
      <c r="N21" s="25">
        <f>0</f>
        <v/>
      </c>
      <c r="O21" s="25">
        <f>MAX(M21, N21)</f>
        <v/>
      </c>
      <c r="P21" s="25">
        <f>MAX(O21, P22)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0</v>
      </c>
      <c r="J22" s="24" t="n">
        <v>0</v>
      </c>
      <c r="K22" s="24" t="n">
        <v>0</v>
      </c>
      <c r="L22" s="20" t="n">
        <v>0</v>
      </c>
      <c r="M22" s="24">
        <f>K22 * I22</f>
        <v/>
      </c>
      <c r="N22" s="24">
        <f>0</f>
        <v/>
      </c>
      <c r="O22" s="24">
        <f>MAX(M22, N22)</f>
        <v/>
      </c>
      <c r="P22" s="24">
        <f>MAX(O22, P23)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0</v>
      </c>
      <c r="J23" s="25" t="n">
        <v>0</v>
      </c>
      <c r="K23" s="25" t="n">
        <v>0</v>
      </c>
      <c r="L23" s="22" t="n">
        <v>0</v>
      </c>
      <c r="M23" s="25">
        <f>K23 * I23</f>
        <v/>
      </c>
      <c r="N23" s="25">
        <f>0</f>
        <v/>
      </c>
      <c r="O23" s="25">
        <f>MAX(M23, N23)</f>
        <v/>
      </c>
      <c r="P23" s="25">
        <f>MAX(O23, P24)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0</v>
      </c>
      <c r="J24" s="24" t="n">
        <v>0</v>
      </c>
      <c r="K24" s="24" t="n">
        <v>0</v>
      </c>
      <c r="L24" s="20" t="n">
        <v>0</v>
      </c>
      <c r="M24" s="24">
        <f>K24 * I24</f>
        <v/>
      </c>
      <c r="N24" s="24">
        <f>0</f>
        <v/>
      </c>
      <c r="O24" s="24">
        <f>MAX(M24, N24)</f>
        <v/>
      </c>
      <c r="P24" s="24">
        <f>MAX(O24, P25)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0</v>
      </c>
      <c r="J25" s="25" t="n">
        <v>0</v>
      </c>
      <c r="K25" s="25" t="n">
        <v>0</v>
      </c>
      <c r="L25" s="22" t="n">
        <v>0</v>
      </c>
      <c r="M25" s="25">
        <f>K25 * I25</f>
        <v/>
      </c>
      <c r="N25" s="25">
        <f>0</f>
        <v/>
      </c>
      <c r="O25" s="25">
        <f>MAX(M25, N25)</f>
        <v/>
      </c>
      <c r="P25" s="25">
        <f>MAX(O25, P26)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0</v>
      </c>
      <c r="J26" s="24" t="n">
        <v>0</v>
      </c>
      <c r="K26" s="24" t="n">
        <v>0</v>
      </c>
      <c r="L26" s="20" t="n">
        <v>0</v>
      </c>
      <c r="M26" s="24">
        <f>K26 * I26</f>
        <v/>
      </c>
      <c r="N26" s="24">
        <f>0</f>
        <v/>
      </c>
      <c r="O26" s="24">
        <f>MAX(M26, N26)</f>
        <v/>
      </c>
      <c r="P26" s="24">
        <f>MAX(O26, P27)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0</v>
      </c>
      <c r="J27" s="25" t="n">
        <v>0</v>
      </c>
      <c r="K27" s="25" t="n">
        <v>0</v>
      </c>
      <c r="L27" s="22" t="n">
        <v>0</v>
      </c>
      <c r="M27" s="25">
        <f>K27 * I27</f>
        <v/>
      </c>
      <c r="N27" s="25">
        <f>0</f>
        <v/>
      </c>
      <c r="O27" s="25">
        <f>MAX(M27, N27)</f>
        <v/>
      </c>
      <c r="P27" s="25">
        <f>MAX(O27, P28)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0</v>
      </c>
      <c r="J28" s="24" t="n">
        <v>0</v>
      </c>
      <c r="K28" s="24" t="n">
        <v>0</v>
      </c>
      <c r="L28" s="20" t="n">
        <v>0</v>
      </c>
      <c r="M28" s="24">
        <f>K28 * I28</f>
        <v/>
      </c>
      <c r="N28" s="24">
        <f>0</f>
        <v/>
      </c>
      <c r="O28" s="24">
        <f>MAX(M28, N28)</f>
        <v/>
      </c>
      <c r="P28" s="24">
        <f>MAX(O28, P29)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0</v>
      </c>
      <c r="J29" s="25" t="n">
        <v>0</v>
      </c>
      <c r="K29" s="25" t="n">
        <v>0</v>
      </c>
      <c r="L29" s="22" t="n">
        <v>0</v>
      </c>
      <c r="M29" s="25">
        <f>K29 * I29</f>
        <v/>
      </c>
      <c r="N29" s="25">
        <f>0</f>
        <v/>
      </c>
      <c r="O29" s="25">
        <f>MAX(M29, N29)</f>
        <v/>
      </c>
      <c r="P29" s="25">
        <f>MAX(O29, P30)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0</v>
      </c>
      <c r="J30" s="24" t="n">
        <v>0</v>
      </c>
      <c r="K30" s="24" t="n">
        <v>0</v>
      </c>
      <c r="L30" s="20" t="n">
        <v>0</v>
      </c>
      <c r="M30" s="24">
        <f>K30 * I30</f>
        <v/>
      </c>
      <c r="N30" s="24">
        <f>0</f>
        <v/>
      </c>
      <c r="O30" s="24">
        <f>MAX(M30, N30)</f>
        <v/>
      </c>
      <c r="P30" s="24">
        <f>MAX(O30, P31)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0</v>
      </c>
      <c r="J31" s="25" t="n">
        <v>0</v>
      </c>
      <c r="K31" s="25" t="n">
        <v>0</v>
      </c>
      <c r="L31" s="22" t="n">
        <v>0</v>
      </c>
      <c r="M31" s="25">
        <f>K31 * I31</f>
        <v/>
      </c>
      <c r="N31" s="25">
        <f>0</f>
        <v/>
      </c>
      <c r="O31" s="25">
        <f>MAX(M31, N31)</f>
        <v/>
      </c>
      <c r="P31" s="25">
        <f>MAX(O31, P32)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0</v>
      </c>
      <c r="J32" s="24" t="n">
        <v>0</v>
      </c>
      <c r="K32" s="24" t="n">
        <v>0</v>
      </c>
      <c r="L32" s="20" t="n">
        <v>0</v>
      </c>
      <c r="M32" s="24">
        <f>K32 * I32</f>
        <v/>
      </c>
      <c r="N32" s="24">
        <f>0</f>
        <v/>
      </c>
      <c r="O32" s="24">
        <f>MAX(M32, N32)</f>
        <v/>
      </c>
      <c r="P32" s="24">
        <f>MAX(O32, P33)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0</v>
      </c>
      <c r="J33" s="25" t="n">
        <v>0</v>
      </c>
      <c r="K33" s="25" t="n">
        <v>0</v>
      </c>
      <c r="L33" s="22" t="n">
        <v>0</v>
      </c>
      <c r="M33" s="25">
        <f>K33 * I33</f>
        <v/>
      </c>
      <c r="N33" s="25">
        <f>0</f>
        <v/>
      </c>
      <c r="O33" s="25">
        <f>MAX(M33, N33)</f>
        <v/>
      </c>
      <c r="P33" s="25">
        <f>MAX(O33, P34)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0</v>
      </c>
      <c r="J34" s="24" t="n">
        <v>0</v>
      </c>
      <c r="K34" s="24" t="n">
        <v>0</v>
      </c>
      <c r="L34" s="20" t="n">
        <v>0</v>
      </c>
      <c r="M34" s="24">
        <f>K34 * I34</f>
        <v/>
      </c>
      <c r="N34" s="24">
        <f>0</f>
        <v/>
      </c>
      <c r="O34" s="24">
        <f>MAX(M34, N34)</f>
        <v/>
      </c>
      <c r="P34" s="24">
        <f>MAX(O34, P35)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0</v>
      </c>
      <c r="J35" s="25" t="n">
        <v>0</v>
      </c>
      <c r="K35" s="25" t="n">
        <v>0</v>
      </c>
      <c r="L35" s="22" t="n">
        <v>0</v>
      </c>
      <c r="M35" s="25">
        <f>K35 * I35</f>
        <v/>
      </c>
      <c r="N35" s="25">
        <f>0</f>
        <v/>
      </c>
      <c r="O35" s="25">
        <f>MAX(M35, N35)</f>
        <v/>
      </c>
      <c r="P35" s="25">
        <f>MAX(O35, P36)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0</v>
      </c>
      <c r="J36" s="24" t="n">
        <v>0</v>
      </c>
      <c r="K36" s="24" t="n">
        <v>0</v>
      </c>
      <c r="L36" s="20" t="n">
        <v>0</v>
      </c>
      <c r="M36" s="24">
        <f>K36 * I36</f>
        <v/>
      </c>
      <c r="N36" s="24">
        <f>0</f>
        <v/>
      </c>
      <c r="O36" s="24">
        <f>MAX(M36, N36)</f>
        <v/>
      </c>
      <c r="P36" s="24">
        <f>MAX(O36, P37)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0</v>
      </c>
      <c r="J37" s="25" t="n">
        <v>0</v>
      </c>
      <c r="K37" s="25" t="n">
        <v>0</v>
      </c>
      <c r="L37" s="22" t="n">
        <v>0</v>
      </c>
      <c r="M37" s="25">
        <f>K37 * I37</f>
        <v/>
      </c>
      <c r="N37" s="25">
        <f>0</f>
        <v/>
      </c>
      <c r="O37" s="25">
        <f>MAX(M37, N37)</f>
        <v/>
      </c>
      <c r="P37" s="25">
        <f>MAX(O37, P38)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0</v>
      </c>
      <c r="J38" s="24" t="n">
        <v>0</v>
      </c>
      <c r="K38" s="24" t="n">
        <v>0</v>
      </c>
      <c r="L38" s="20" t="n">
        <v>0</v>
      </c>
      <c r="M38" s="24">
        <f>K38 * I38</f>
        <v/>
      </c>
      <c r="N38" s="24">
        <f>0</f>
        <v/>
      </c>
      <c r="O38" s="24">
        <f>MAX(M38, N38)</f>
        <v/>
      </c>
      <c r="P38" s="24">
        <f>MAX(O38, P39)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0</v>
      </c>
      <c r="J39" s="25" t="n">
        <v>0</v>
      </c>
      <c r="K39" s="25" t="n">
        <v>0</v>
      </c>
      <c r="L39" s="22" t="n">
        <v>0</v>
      </c>
      <c r="M39" s="25">
        <f>K39 * I39</f>
        <v/>
      </c>
      <c r="N39" s="25">
        <f>0</f>
        <v/>
      </c>
      <c r="O39" s="25">
        <f>MAX(M39, N39)</f>
        <v/>
      </c>
      <c r="P39" s="25">
        <f>MAX(O39, P40)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0</v>
      </c>
      <c r="J40" s="24" t="n">
        <v>0</v>
      </c>
      <c r="K40" s="24" t="n">
        <v>0</v>
      </c>
      <c r="L40" s="20" t="n">
        <v>0</v>
      </c>
      <c r="M40" s="24">
        <f>K40 * I40</f>
        <v/>
      </c>
      <c r="N40" s="24">
        <f>0</f>
        <v/>
      </c>
      <c r="O40" s="24">
        <f>MAX(M40, N40)</f>
        <v/>
      </c>
      <c r="P40" s="24">
        <f>MAX(O40, P41)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0</v>
      </c>
      <c r="J41" s="25" t="n">
        <v>0</v>
      </c>
      <c r="K41" s="25" t="n">
        <v>0</v>
      </c>
      <c r="L41" s="22" t="n">
        <v>0</v>
      </c>
      <c r="M41" s="25">
        <f>K41 * I41</f>
        <v/>
      </c>
      <c r="N41" s="25">
        <f>0</f>
        <v/>
      </c>
      <c r="O41" s="25">
        <f>MAX(M41, N41)</f>
        <v/>
      </c>
      <c r="P41" s="25">
        <f>MAX(O41, P42)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0</v>
      </c>
      <c r="J42" s="24" t="n">
        <v>0</v>
      </c>
      <c r="K42" s="24" t="n">
        <v>0</v>
      </c>
      <c r="L42" s="20" t="n">
        <v>0</v>
      </c>
      <c r="M42" s="24">
        <f>K42 * I42</f>
        <v/>
      </c>
      <c r="N42" s="24">
        <f>0</f>
        <v/>
      </c>
      <c r="O42" s="24">
        <f>MAX(M42, N42)</f>
        <v/>
      </c>
      <c r="P42" s="24">
        <f>MAX(O42, P43)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0</v>
      </c>
      <c r="J43" s="25" t="n">
        <v>0</v>
      </c>
      <c r="K43" s="25" t="n">
        <v>0</v>
      </c>
      <c r="L43" s="22" t="n">
        <v>0</v>
      </c>
      <c r="M43" s="25">
        <f>K43 * I43</f>
        <v/>
      </c>
      <c r="N43" s="25">
        <f>0</f>
        <v/>
      </c>
      <c r="O43" s="25">
        <f>MAX(M43, N43)</f>
        <v/>
      </c>
      <c r="P43" s="25">
        <f>MAX(O43, P44)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0</v>
      </c>
      <c r="J44" s="24" t="n">
        <v>0</v>
      </c>
      <c r="K44" s="24" t="n">
        <v>0</v>
      </c>
      <c r="L44" s="20" t="n">
        <v>0</v>
      </c>
      <c r="M44" s="24">
        <f>K44 * I44</f>
        <v/>
      </c>
      <c r="N44" s="24">
        <f>0</f>
        <v/>
      </c>
      <c r="O44" s="24">
        <f>MAX(M44, N44)</f>
        <v/>
      </c>
      <c r="P44" s="24">
        <f>MAX(O44, P45)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0</v>
      </c>
      <c r="J45" s="25" t="n">
        <v>0</v>
      </c>
      <c r="K45" s="25" t="n">
        <v>0</v>
      </c>
      <c r="L45" s="22" t="n">
        <v>0</v>
      </c>
      <c r="M45" s="25">
        <f>K45 * I45</f>
        <v/>
      </c>
      <c r="N45" s="25">
        <f>0</f>
        <v/>
      </c>
      <c r="O45" s="25">
        <f>MAX(M45, N45)</f>
        <v/>
      </c>
      <c r="P45" s="25">
        <f>MAX(O45, P46)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0</v>
      </c>
      <c r="J46" s="24" t="n">
        <v>0</v>
      </c>
      <c r="K46" s="24" t="n">
        <v>0</v>
      </c>
      <c r="L46" s="20" t="n">
        <v>0</v>
      </c>
      <c r="M46" s="24">
        <f>K46 * I46</f>
        <v/>
      </c>
      <c r="N46" s="24">
        <f>0</f>
        <v/>
      </c>
      <c r="O46" s="24">
        <f>MAX(M46, N46)</f>
        <v/>
      </c>
      <c r="P46" s="24">
        <f>MAX(O46, P47)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0</v>
      </c>
      <c r="J47" s="25" t="n">
        <v>0</v>
      </c>
      <c r="K47" s="25" t="n">
        <v>0</v>
      </c>
      <c r="L47" s="22" t="n">
        <v>0</v>
      </c>
      <c r="M47" s="25">
        <f>K47 * I47</f>
        <v/>
      </c>
      <c r="N47" s="25">
        <f>0</f>
        <v/>
      </c>
      <c r="O47" s="25">
        <f>MAX(M47, N47)</f>
        <v/>
      </c>
      <c r="P47" s="25">
        <f>MAX(O47, P48)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0</v>
      </c>
      <c r="J48" s="24" t="n">
        <v>0</v>
      </c>
      <c r="K48" s="24" t="n">
        <v>0</v>
      </c>
      <c r="L48" s="20" t="n">
        <v>0</v>
      </c>
      <c r="M48" s="24">
        <f>K48 * I48</f>
        <v/>
      </c>
      <c r="N48" s="24">
        <f>0</f>
        <v/>
      </c>
      <c r="O48" s="24">
        <f>MAX(M48, N48)</f>
        <v/>
      </c>
      <c r="P48" s="24">
        <f>MAX(O48, P49)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0</v>
      </c>
      <c r="J49" s="25" t="n">
        <v>0</v>
      </c>
      <c r="K49" s="25" t="n">
        <v>0</v>
      </c>
      <c r="L49" s="22" t="n">
        <v>0</v>
      </c>
      <c r="M49" s="25">
        <f>K49 * I49</f>
        <v/>
      </c>
      <c r="N49" s="25">
        <f>0</f>
        <v/>
      </c>
      <c r="O49" s="25">
        <f>MAX(M49, N49)</f>
        <v/>
      </c>
      <c r="P49" s="25">
        <f>MAX(O49, P50)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0</v>
      </c>
      <c r="J50" s="24" t="n">
        <v>0</v>
      </c>
      <c r="K50" s="24" t="n">
        <v>0</v>
      </c>
      <c r="L50" s="20" t="n">
        <v>0</v>
      </c>
      <c r="M50" s="24">
        <f>K50 * I50</f>
        <v/>
      </c>
      <c r="N50" s="24">
        <f>0</f>
        <v/>
      </c>
      <c r="O50" s="24">
        <f>MAX(M50, N50)</f>
        <v/>
      </c>
      <c r="P50" s="24">
        <f>MAX(O50, P51)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0</v>
      </c>
      <c r="J51" s="25" t="n">
        <v>0</v>
      </c>
      <c r="K51" s="25" t="n">
        <v>0</v>
      </c>
      <c r="L51" s="22" t="n">
        <v>0</v>
      </c>
      <c r="M51" s="25">
        <f>K51 * I51</f>
        <v/>
      </c>
      <c r="N51" s="25">
        <f>0</f>
        <v/>
      </c>
      <c r="O51" s="25">
        <f>MAX(M51, N51)</f>
        <v/>
      </c>
      <c r="P51" s="25">
        <f>MAX(O51, P52)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0</v>
      </c>
      <c r="J52" s="24" t="n">
        <v>0</v>
      </c>
      <c r="K52" s="24" t="n">
        <v>0</v>
      </c>
      <c r="L52" s="20" t="n">
        <v>0</v>
      </c>
      <c r="M52" s="24">
        <f>K52 * I52</f>
        <v/>
      </c>
      <c r="N52" s="24">
        <f>0</f>
        <v/>
      </c>
      <c r="O52" s="24">
        <f>MAX(M52, N52)</f>
        <v/>
      </c>
      <c r="P52" s="24">
        <f>MAX(O52, P53)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0</v>
      </c>
      <c r="J53" s="25" t="n">
        <v>0</v>
      </c>
      <c r="K53" s="25" t="n">
        <v>0</v>
      </c>
      <c r="L53" s="22" t="n">
        <v>0</v>
      </c>
      <c r="M53" s="25">
        <f>K53 * I53</f>
        <v/>
      </c>
      <c r="N53" s="25">
        <f>0</f>
        <v/>
      </c>
      <c r="O53" s="25">
        <f>MAX(M53, N53)</f>
        <v/>
      </c>
      <c r="P53" s="25">
        <f>MAX(O53, P54)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0</v>
      </c>
      <c r="J54" s="24" t="n">
        <v>0</v>
      </c>
      <c r="K54" s="24" t="n">
        <v>0</v>
      </c>
      <c r="L54" s="20" t="n">
        <v>0</v>
      </c>
      <c r="M54" s="24">
        <f>K54 * I54</f>
        <v/>
      </c>
      <c r="N54" s="24">
        <f>0</f>
        <v/>
      </c>
      <c r="O54" s="24">
        <f>MAX(M54, N54)</f>
        <v/>
      </c>
      <c r="P54" s="24">
        <f>MAX(O54, P55)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0</v>
      </c>
      <c r="J55" s="25" t="n">
        <v>0</v>
      </c>
      <c r="K55" s="25" t="n">
        <v>0</v>
      </c>
      <c r="L55" s="22" t="n">
        <v>0</v>
      </c>
      <c r="M55" s="25">
        <f>K55 * I55</f>
        <v/>
      </c>
      <c r="N55" s="25">
        <f>0</f>
        <v/>
      </c>
      <c r="O55" s="25">
        <f>MAX(M55, N55)</f>
        <v/>
      </c>
      <c r="P55" s="25">
        <f>MAX(O55, P56)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0</v>
      </c>
      <c r="J56" s="24" t="n">
        <v>0</v>
      </c>
      <c r="K56" s="24" t="n">
        <v>0</v>
      </c>
      <c r="L56" s="20" t="n">
        <v>0</v>
      </c>
      <c r="M56" s="24">
        <f>K56 * I56</f>
        <v/>
      </c>
      <c r="N56" s="24">
        <f>0</f>
        <v/>
      </c>
      <c r="O56" s="24">
        <f>MAX(M56, N56)</f>
        <v/>
      </c>
      <c r="P56" s="24">
        <f>MAX(O56, P57)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0</v>
      </c>
      <c r="J57" s="25" t="n">
        <v>0</v>
      </c>
      <c r="K57" s="25" t="n">
        <v>0</v>
      </c>
      <c r="L57" s="22" t="n">
        <v>0</v>
      </c>
      <c r="M57" s="25">
        <f>K57 * I57</f>
        <v/>
      </c>
      <c r="N57" s="25">
        <f>0</f>
        <v/>
      </c>
      <c r="O57" s="25">
        <f>MAX(M57, N57)</f>
        <v/>
      </c>
      <c r="P57" s="25">
        <f>MAX(O57, P58)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0</v>
      </c>
      <c r="J58" s="24" t="n">
        <v>0</v>
      </c>
      <c r="K58" s="24" t="n">
        <v>0</v>
      </c>
      <c r="L58" s="20" t="n">
        <v>0</v>
      </c>
      <c r="M58" s="24">
        <f>K58 * I58</f>
        <v/>
      </c>
      <c r="N58" s="24">
        <f>0</f>
        <v/>
      </c>
      <c r="O58" s="24">
        <f>MAX(M58, N58)</f>
        <v/>
      </c>
      <c r="P58" s="24">
        <f>MAX(O58, P59)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0</v>
      </c>
      <c r="J59" s="25" t="n">
        <v>0</v>
      </c>
      <c r="K59" s="25" t="n">
        <v>0</v>
      </c>
      <c r="L59" s="22" t="n">
        <v>0</v>
      </c>
      <c r="M59" s="25">
        <f>K59 * I59</f>
        <v/>
      </c>
      <c r="N59" s="25">
        <f>0</f>
        <v/>
      </c>
      <c r="O59" s="25">
        <f>MAX(M59, N59)</f>
        <v/>
      </c>
      <c r="P59" s="25">
        <f>MAX(O59, P60)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0</v>
      </c>
      <c r="J60" s="24" t="n">
        <v>0</v>
      </c>
      <c r="K60" s="24" t="n">
        <v>0</v>
      </c>
      <c r="L60" s="20" t="n">
        <v>0</v>
      </c>
      <c r="M60" s="24">
        <f>K60 * I60</f>
        <v/>
      </c>
      <c r="N60" s="24">
        <f>0</f>
        <v/>
      </c>
      <c r="O60" s="24">
        <f>MAX(M60, N60)</f>
        <v/>
      </c>
      <c r="P60" s="24">
        <f>MAX(O60, P61)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0</v>
      </c>
      <c r="J61" s="25" t="n">
        <v>0</v>
      </c>
      <c r="K61" s="25" t="n">
        <v>0</v>
      </c>
      <c r="L61" s="22" t="n">
        <v>0</v>
      </c>
      <c r="M61" s="25">
        <f>K61 * I61</f>
        <v/>
      </c>
      <c r="N61" s="25">
        <f>0</f>
        <v/>
      </c>
      <c r="O61" s="25">
        <f>MAX(M61, N61)</f>
        <v/>
      </c>
      <c r="P61" s="25">
        <f>MAX(O61, P62)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0</v>
      </c>
      <c r="J62" s="24" t="n">
        <v>0</v>
      </c>
      <c r="K62" s="24" t="n">
        <v>0</v>
      </c>
      <c r="L62" s="20" t="n">
        <v>0</v>
      </c>
      <c r="M62" s="24">
        <f>K62 * I62</f>
        <v/>
      </c>
      <c r="N62" s="24">
        <f>0</f>
        <v/>
      </c>
      <c r="O62" s="24">
        <f>MAX(M62, N62)</f>
        <v/>
      </c>
      <c r="P62" s="24">
        <f>MAX(O62, P63)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0</v>
      </c>
      <c r="J63" s="25" t="n">
        <v>0</v>
      </c>
      <c r="K63" s="25" t="n">
        <v>0</v>
      </c>
      <c r="L63" s="22" t="n">
        <v>0</v>
      </c>
      <c r="M63" s="25">
        <f>K63 * I63</f>
        <v/>
      </c>
      <c r="N63" s="25">
        <f>0</f>
        <v/>
      </c>
      <c r="O63" s="25">
        <f>MAX(M63, N63)</f>
        <v/>
      </c>
      <c r="P63" s="25">
        <f>MAX(O63, P64)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0</v>
      </c>
      <c r="J64" s="24" t="n">
        <v>0</v>
      </c>
      <c r="K64" s="24" t="n">
        <v>0</v>
      </c>
      <c r="L64" s="20" t="n">
        <v>0</v>
      </c>
      <c r="M64" s="24">
        <f>K64 * I64</f>
        <v/>
      </c>
      <c r="N64" s="24">
        <f>0</f>
        <v/>
      </c>
      <c r="O64" s="24">
        <f>MAX(M64, N64)</f>
        <v/>
      </c>
      <c r="P64" s="24">
        <f>MAX(O64, P65)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0</v>
      </c>
      <c r="J65" s="25" t="n">
        <v>0</v>
      </c>
      <c r="K65" s="25" t="n">
        <v>0</v>
      </c>
      <c r="L65" s="22" t="n">
        <v>0</v>
      </c>
      <c r="M65" s="25">
        <f>K65 * I65</f>
        <v/>
      </c>
      <c r="N65" s="25">
        <f>0</f>
        <v/>
      </c>
      <c r="O65" s="25">
        <f>MAX(M65, N65)</f>
        <v/>
      </c>
      <c r="P65" s="25">
        <f>MAX(O65, P66)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0</v>
      </c>
      <c r="J66" s="24" t="n">
        <v>0</v>
      </c>
      <c r="K66" s="24" t="n">
        <v>0</v>
      </c>
      <c r="L66" s="20" t="n">
        <v>0</v>
      </c>
      <c r="M66" s="24">
        <f>K66 * I66</f>
        <v/>
      </c>
      <c r="N66" s="24">
        <f>0</f>
        <v/>
      </c>
      <c r="O66" s="24">
        <f>MAX(M66, N66)</f>
        <v/>
      </c>
      <c r="P66" s="24">
        <f>MAX(O66, P67)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0</v>
      </c>
      <c r="J67" s="25" t="n">
        <v>0</v>
      </c>
      <c r="K67" s="25" t="n">
        <v>0</v>
      </c>
      <c r="L67" s="22" t="n">
        <v>0</v>
      </c>
      <c r="M67" s="25">
        <f>K67 * I67</f>
        <v/>
      </c>
      <c r="N67" s="25">
        <f>0</f>
        <v/>
      </c>
      <c r="O67" s="25">
        <f>MAX(M67, N67)</f>
        <v/>
      </c>
      <c r="P67" s="25">
        <f>MAX(O67, P68)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0</v>
      </c>
      <c r="J68" s="24" t="n">
        <v>0</v>
      </c>
      <c r="K68" s="24" t="n">
        <v>0</v>
      </c>
      <c r="L68" s="20" t="n">
        <v>0</v>
      </c>
      <c r="M68" s="24">
        <f>K68 * I68</f>
        <v/>
      </c>
      <c r="N68" s="24">
        <f>0</f>
        <v/>
      </c>
      <c r="O68" s="24">
        <f>MAX(M68, N68)</f>
        <v/>
      </c>
      <c r="P68" s="24">
        <f>MAX(O68, P69)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0</v>
      </c>
      <c r="J69" s="25" t="n">
        <v>0</v>
      </c>
      <c r="K69" s="25" t="n">
        <v>0</v>
      </c>
      <c r="L69" s="22" t="n">
        <v>0</v>
      </c>
      <c r="M69" s="25">
        <f>K69 * I69</f>
        <v/>
      </c>
      <c r="N69" s="25">
        <f>0</f>
        <v/>
      </c>
      <c r="O69" s="25">
        <f>MAX(M69, N69)</f>
        <v/>
      </c>
      <c r="P69" s="25">
        <f>MAX(O69, P70)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0</v>
      </c>
      <c r="J70" s="24" t="n">
        <v>0</v>
      </c>
      <c r="K70" s="24" t="n">
        <v>0</v>
      </c>
      <c r="L70" s="20" t="n">
        <v>0</v>
      </c>
      <c r="M70" s="24">
        <f>K70 * I70</f>
        <v/>
      </c>
      <c r="N70" s="24">
        <f>0</f>
        <v/>
      </c>
      <c r="O70" s="24">
        <f>MAX(M70, N70)</f>
        <v/>
      </c>
      <c r="P70" s="24">
        <f>MAX(O70, P71)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0</v>
      </c>
      <c r="J71" s="25" t="n">
        <v>0</v>
      </c>
      <c r="K71" s="25" t="n">
        <v>0</v>
      </c>
      <c r="L71" s="22" t="n">
        <v>0</v>
      </c>
      <c r="M71" s="25">
        <f>K71 * I71</f>
        <v/>
      </c>
      <c r="N71" s="25">
        <f>0</f>
        <v/>
      </c>
      <c r="O71" s="25">
        <f>MAX(M71, N71)</f>
        <v/>
      </c>
      <c r="P71" s="25">
        <f>MAX(O71, P72)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0</v>
      </c>
      <c r="J72" s="24" t="n">
        <v>0</v>
      </c>
      <c r="K72" s="24" t="n">
        <v>0</v>
      </c>
      <c r="L72" s="20" t="n">
        <v>0</v>
      </c>
      <c r="M72" s="24">
        <f>K72 * I72</f>
        <v/>
      </c>
      <c r="N72" s="24">
        <f>0</f>
        <v/>
      </c>
      <c r="O72" s="24">
        <f>MAX(M72, N72)</f>
        <v/>
      </c>
      <c r="P72" s="24">
        <f>MAX(O72, P73)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0</v>
      </c>
      <c r="J73" s="25" t="n">
        <v>0</v>
      </c>
      <c r="K73" s="25" t="n">
        <v>0</v>
      </c>
      <c r="L73" s="22" t="n">
        <v>0</v>
      </c>
      <c r="M73" s="25">
        <f>K73 * I73</f>
        <v/>
      </c>
      <c r="N73" s="25">
        <f>0</f>
        <v/>
      </c>
      <c r="O73" s="25">
        <f>MAX(M73, N73)</f>
        <v/>
      </c>
      <c r="P73" s="25">
        <f>MAX(O73, P74)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0</v>
      </c>
      <c r="J74" s="24" t="n">
        <v>0</v>
      </c>
      <c r="K74" s="24" t="n">
        <v>0</v>
      </c>
      <c r="L74" s="20" t="n">
        <v>0</v>
      </c>
      <c r="M74" s="24">
        <f>K74 * I74</f>
        <v/>
      </c>
      <c r="N74" s="24">
        <f>0</f>
        <v/>
      </c>
      <c r="O74" s="24">
        <f>MAX(M74, N74)</f>
        <v/>
      </c>
      <c r="P74" s="24">
        <f>MAX(O74, P75)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0</v>
      </c>
      <c r="J75" s="25" t="n">
        <v>0</v>
      </c>
      <c r="K75" s="25" t="n">
        <v>0</v>
      </c>
      <c r="L75" s="22" t="n">
        <v>0</v>
      </c>
      <c r="M75" s="25">
        <f>K75 * I75</f>
        <v/>
      </c>
      <c r="N75" s="25">
        <f>0</f>
        <v/>
      </c>
      <c r="O75" s="25">
        <f>MAX(M75, N75)</f>
        <v/>
      </c>
      <c r="P75" s="25">
        <f>MAX(O75, P76)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0</v>
      </c>
      <c r="J76" s="24" t="n">
        <v>0</v>
      </c>
      <c r="K76" s="24" t="n">
        <v>0</v>
      </c>
      <c r="L76" s="20" t="n">
        <v>0</v>
      </c>
      <c r="M76" s="24">
        <f>K76 * I76</f>
        <v/>
      </c>
      <c r="N76" s="24">
        <f>0</f>
        <v/>
      </c>
      <c r="O76" s="24">
        <f>MAX(M76, N76)</f>
        <v/>
      </c>
      <c r="P76" s="24">
        <f>MAX(O76, P77)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0</v>
      </c>
      <c r="J77" s="25" t="n">
        <v>0</v>
      </c>
      <c r="K77" s="25" t="n">
        <v>0</v>
      </c>
      <c r="L77" s="22" t="n">
        <v>0</v>
      </c>
      <c r="M77" s="25">
        <f>K77 * I77</f>
        <v/>
      </c>
      <c r="N77" s="25">
        <f>0</f>
        <v/>
      </c>
      <c r="O77" s="25">
        <f>MAX(M77, N77)</f>
        <v/>
      </c>
      <c r="P77" s="25">
        <f>MAX(O77, P78)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0</v>
      </c>
      <c r="J78" s="24" t="n">
        <v>0</v>
      </c>
      <c r="K78" s="24" t="n">
        <v>0</v>
      </c>
      <c r="L78" s="20" t="n">
        <v>0</v>
      </c>
      <c r="M78" s="24">
        <f>K78 * I78</f>
        <v/>
      </c>
      <c r="N78" s="24">
        <f>0</f>
        <v/>
      </c>
      <c r="O78" s="24">
        <f>MAX(M78, N78)</f>
        <v/>
      </c>
      <c r="P78" s="24">
        <f>MAX(O78, P79)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0</v>
      </c>
      <c r="J79" s="25" t="n">
        <v>0</v>
      </c>
      <c r="K79" s="25" t="n">
        <v>0</v>
      </c>
      <c r="L79" s="22" t="n">
        <v>0</v>
      </c>
      <c r="M79" s="25">
        <f>K79 * I79</f>
        <v/>
      </c>
      <c r="N79" s="25">
        <f>0</f>
        <v/>
      </c>
      <c r="O79" s="25">
        <f>MAX(M79, N79)</f>
        <v/>
      </c>
      <c r="P79" s="25">
        <f>MAX(O79, P80)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0</v>
      </c>
      <c r="J80" s="24" t="n">
        <v>0</v>
      </c>
      <c r="K80" s="24" t="n">
        <v>0</v>
      </c>
      <c r="L80" s="20" t="n">
        <v>0</v>
      </c>
      <c r="M80" s="24">
        <f>K80 * I80</f>
        <v/>
      </c>
      <c r="N80" s="24">
        <f>0</f>
        <v/>
      </c>
      <c r="O80" s="24">
        <f>MAX(M80, N80)</f>
        <v/>
      </c>
      <c r="P80" s="24">
        <f>MAX(O80, P81)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0</v>
      </c>
      <c r="J81" s="25" t="n">
        <v>0</v>
      </c>
      <c r="K81" s="25" t="n">
        <v>0</v>
      </c>
      <c r="L81" s="22" t="n">
        <v>0</v>
      </c>
      <c r="M81" s="25">
        <f>K81 * I81</f>
        <v/>
      </c>
      <c r="N81" s="25">
        <f>0</f>
        <v/>
      </c>
      <c r="O81" s="25">
        <f>MAX(M81, N81)</f>
        <v/>
      </c>
      <c r="P81" s="25">
        <f>MAX(O81, P82)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0</v>
      </c>
      <c r="J82" s="24" t="n">
        <v>0</v>
      </c>
      <c r="K82" s="24" t="n">
        <v>0</v>
      </c>
      <c r="L82" s="20" t="n">
        <v>0</v>
      </c>
      <c r="M82" s="24">
        <f>K82 * I82</f>
        <v/>
      </c>
      <c r="N82" s="24">
        <f>0</f>
        <v/>
      </c>
      <c r="O82" s="24">
        <f>MAX(M82, N82)</f>
        <v/>
      </c>
      <c r="P82" s="24">
        <f>MAX(O82, P83)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0</v>
      </c>
      <c r="J83" s="25" t="n">
        <v>0</v>
      </c>
      <c r="K83" s="25" t="n">
        <v>0</v>
      </c>
      <c r="L83" s="22" t="n">
        <v>0</v>
      </c>
      <c r="M83" s="25">
        <f>K83 * I83</f>
        <v/>
      </c>
      <c r="N83" s="25">
        <f>0</f>
        <v/>
      </c>
      <c r="O83" s="25">
        <f>MAX(M83, N83)</f>
        <v/>
      </c>
      <c r="P83" s="25">
        <f>MAX(O83, P84)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0</v>
      </c>
      <c r="J84" s="24" t="n">
        <v>0</v>
      </c>
      <c r="K84" s="24" t="n">
        <v>0</v>
      </c>
      <c r="L84" s="20" t="n">
        <v>0</v>
      </c>
      <c r="M84" s="24">
        <f>K84 * I84</f>
        <v/>
      </c>
      <c r="N84" s="24">
        <f>0</f>
        <v/>
      </c>
      <c r="O84" s="24">
        <f>MAX(M84, N84)</f>
        <v/>
      </c>
      <c r="P84" s="24">
        <f>MAX(O84, P85)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0</v>
      </c>
      <c r="J85" s="25" t="n">
        <v>0</v>
      </c>
      <c r="K85" s="25" t="n">
        <v>0</v>
      </c>
      <c r="L85" s="22" t="n">
        <v>0</v>
      </c>
      <c r="M85" s="25">
        <f>K85 * I85</f>
        <v/>
      </c>
      <c r="N85" s="25">
        <f>0</f>
        <v/>
      </c>
      <c r="O85" s="25">
        <f>MAX(M85, N85)</f>
        <v/>
      </c>
      <c r="P85" s="25">
        <f>MAX(O85, P86)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0</v>
      </c>
      <c r="J86" s="24" t="n">
        <v>0</v>
      </c>
      <c r="K86" s="24" t="n">
        <v>0</v>
      </c>
      <c r="L86" s="20" t="n">
        <v>0</v>
      </c>
      <c r="M86" s="24">
        <f>K86 * I86</f>
        <v/>
      </c>
      <c r="N86" s="24">
        <f>0</f>
        <v/>
      </c>
      <c r="O86" s="24">
        <f>MAX(M86, N86)</f>
        <v/>
      </c>
      <c r="P86" s="24">
        <f>MAX(O86, P87)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0</v>
      </c>
      <c r="J87" s="25" t="n">
        <v>0</v>
      </c>
      <c r="K87" s="25" t="n">
        <v>0</v>
      </c>
      <c r="L87" s="22" t="n">
        <v>0</v>
      </c>
      <c r="M87" s="25">
        <f>K87 * I87</f>
        <v/>
      </c>
      <c r="N87" s="25">
        <f>0</f>
        <v/>
      </c>
      <c r="O87" s="25">
        <f>MAX(M87, N87)</f>
        <v/>
      </c>
      <c r="P87" s="25">
        <f>MAX(O87, P88)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>0</v>
      </c>
      <c r="J88" s="24" t="n">
        <v>0</v>
      </c>
      <c r="K88" s="24" t="n">
        <v>0</v>
      </c>
      <c r="L88" s="20" t="n">
        <v>0</v>
      </c>
      <c r="M88" s="24">
        <f>K88 * I88</f>
        <v/>
      </c>
      <c r="N88" s="24">
        <f>0</f>
        <v/>
      </c>
      <c r="O88" s="24">
        <f>MAX(M88, N88)</f>
        <v/>
      </c>
      <c r="P88" s="24">
        <f>MAX(O88, P89)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>0</v>
      </c>
      <c r="J89" s="25" t="n">
        <v>0</v>
      </c>
      <c r="K89" s="25" t="n">
        <v>0</v>
      </c>
      <c r="L89" s="22" t="n">
        <v>0</v>
      </c>
      <c r="M89" s="25">
        <f>K89 * I89</f>
        <v/>
      </c>
      <c r="N89" s="25">
        <f>0</f>
        <v/>
      </c>
      <c r="O89" s="25">
        <f>MAX(M89, N89)</f>
        <v/>
      </c>
      <c r="P89" s="25">
        <f>MAX(O89, P90)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>0</v>
      </c>
      <c r="J90" s="24" t="n">
        <v>0</v>
      </c>
      <c r="K90" s="24" t="n">
        <v>0</v>
      </c>
      <c r="L90" s="20" t="n">
        <v>0</v>
      </c>
      <c r="M90" s="24">
        <f>K90 * I90</f>
        <v/>
      </c>
      <c r="N90" s="24">
        <f>0</f>
        <v/>
      </c>
      <c r="O90" s="24">
        <f>MAX(M90, N90)</f>
        <v/>
      </c>
      <c r="P90" s="24">
        <f>MAX(O90, P91)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>0</v>
      </c>
      <c r="J91" s="25" t="n">
        <v>0</v>
      </c>
      <c r="K91" s="25" t="n">
        <v>0</v>
      </c>
      <c r="L91" s="22" t="n">
        <v>0</v>
      </c>
      <c r="M91" s="25">
        <f>K91 * I91</f>
        <v/>
      </c>
      <c r="N91" s="25">
        <f>0</f>
        <v/>
      </c>
      <c r="O91" s="25">
        <f>MAX(M91, N91)</f>
        <v/>
      </c>
      <c r="P91" s="25">
        <f>MAX(O91, P92)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>0</v>
      </c>
      <c r="J92" s="24" t="n">
        <v>0</v>
      </c>
      <c r="K92" s="24" t="n">
        <v>0</v>
      </c>
      <c r="L92" s="20" t="n">
        <v>0</v>
      </c>
      <c r="M92" s="24">
        <f>K92 * I92</f>
        <v/>
      </c>
      <c r="N92" s="24">
        <f>0</f>
        <v/>
      </c>
      <c r="O92" s="24">
        <f>MAX(M92, N92)</f>
        <v/>
      </c>
      <c r="P92" s="24">
        <f>MAX(O92, P93)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>0</v>
      </c>
      <c r="J93" s="25" t="n">
        <v>0</v>
      </c>
      <c r="K93" s="25" t="n">
        <v>0</v>
      </c>
      <c r="L93" s="22" t="n">
        <v>0</v>
      </c>
      <c r="M93" s="25">
        <f>K93 * I93</f>
        <v/>
      </c>
      <c r="N93" s="25">
        <f>0</f>
        <v/>
      </c>
      <c r="O93" s="25">
        <f>MAX(M93, N93)</f>
        <v/>
      </c>
      <c r="P93" s="25">
        <f>MAX(O93, P94)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>0</v>
      </c>
      <c r="J94" s="24" t="n">
        <v>0</v>
      </c>
      <c r="K94" s="24" t="n">
        <v>0</v>
      </c>
      <c r="L94" s="20" t="n">
        <v>0</v>
      </c>
      <c r="M94" s="24">
        <f>K94 * I94</f>
        <v/>
      </c>
      <c r="N94" s="24">
        <f>0</f>
        <v/>
      </c>
      <c r="O94" s="24">
        <f>MAX(M94, N94)</f>
        <v/>
      </c>
      <c r="P94" s="24">
        <f>MAX(O94, P95)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>0</v>
      </c>
      <c r="J95" s="25" t="n">
        <v>0</v>
      </c>
      <c r="K95" s="25" t="n">
        <v>0</v>
      </c>
      <c r="L95" s="22" t="n">
        <v>0</v>
      </c>
      <c r="M95" s="25">
        <f>K95 * I95</f>
        <v/>
      </c>
      <c r="N95" s="25">
        <f>0</f>
        <v/>
      </c>
      <c r="O95" s="25">
        <f>MAX(M95, N95)</f>
        <v/>
      </c>
      <c r="P95" s="25">
        <f>MAX(O95, P96)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>0</v>
      </c>
      <c r="J96" s="24" t="n">
        <v>0</v>
      </c>
      <c r="K96" s="24" t="n">
        <v>0</v>
      </c>
      <c r="L96" s="20" t="n">
        <v>0</v>
      </c>
      <c r="M96" s="24">
        <f>K96 * I96</f>
        <v/>
      </c>
      <c r="N96" s="24">
        <f>0</f>
        <v/>
      </c>
      <c r="O96" s="24">
        <f>MAX(M96, N96)</f>
        <v/>
      </c>
      <c r="P96" s="24">
        <f>MAX(O96, P97)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>0</v>
      </c>
      <c r="J97" s="25" t="n">
        <v>0</v>
      </c>
      <c r="K97" s="25" t="n">
        <v>0</v>
      </c>
      <c r="L97" s="22" t="n">
        <v>0</v>
      </c>
      <c r="M97" s="25">
        <f>K97 * I97</f>
        <v/>
      </c>
      <c r="N97" s="25">
        <f>0</f>
        <v/>
      </c>
      <c r="O97" s="25">
        <f>MAX(M97, N97)</f>
        <v/>
      </c>
      <c r="P97" s="25">
        <f>MAX(O97, P98)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>0</v>
      </c>
      <c r="J98" s="24" t="n">
        <v>0</v>
      </c>
      <c r="K98" s="24" t="n">
        <v>0</v>
      </c>
      <c r="L98" s="20" t="n">
        <v>0</v>
      </c>
      <c r="M98" s="24">
        <f>K98 * I98</f>
        <v/>
      </c>
      <c r="N98" s="24">
        <f>0</f>
        <v/>
      </c>
      <c r="O98" s="24">
        <f>MAX(M98, N98)</f>
        <v/>
      </c>
      <c r="P98" s="24">
        <f>MAX(O98, P99)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>0</v>
      </c>
      <c r="J99" s="25" t="n">
        <v>0</v>
      </c>
      <c r="K99" s="25" t="n">
        <v>0</v>
      </c>
      <c r="L99" s="22" t="n">
        <v>0</v>
      </c>
      <c r="M99" s="25">
        <f>K99 * I99</f>
        <v/>
      </c>
      <c r="N99" s="25">
        <f>0</f>
        <v/>
      </c>
      <c r="O99" s="25">
        <f>MAX(M99, N99)</f>
        <v/>
      </c>
      <c r="P99" s="25">
        <f>MAX(O99, P100)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0</v>
      </c>
      <c r="J100" s="24" t="n">
        <v>0</v>
      </c>
      <c r="K100" s="24" t="n">
        <v>0</v>
      </c>
      <c r="L100" s="20" t="n">
        <v>0</v>
      </c>
      <c r="M100" s="24">
        <f>K100 * I100</f>
        <v/>
      </c>
      <c r="N100" s="24">
        <f>0</f>
        <v/>
      </c>
      <c r="O100" s="24">
        <f>MAX(M100, N100)</f>
        <v/>
      </c>
      <c r="P100" s="24">
        <f>MAX(O100, P101)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0</v>
      </c>
      <c r="J101" s="25" t="n">
        <v>0</v>
      </c>
      <c r="K101" s="25" t="n">
        <v>0</v>
      </c>
      <c r="L101" s="22" t="n">
        <v>0</v>
      </c>
      <c r="M101" s="25">
        <f>K101 * I101</f>
        <v/>
      </c>
      <c r="N101" s="25">
        <f>0</f>
        <v/>
      </c>
      <c r="O101" s="25">
        <f>MAX(M101, N101)</f>
        <v/>
      </c>
      <c r="P101" s="25">
        <f>MAX(O101, P102)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0</v>
      </c>
      <c r="J102" s="24" t="n">
        <v>0</v>
      </c>
      <c r="K102" s="24" t="n">
        <v>0</v>
      </c>
      <c r="L102" s="20" t="n">
        <v>0</v>
      </c>
      <c r="M102" s="24">
        <f>K102 * I102</f>
        <v/>
      </c>
      <c r="N102" s="24">
        <f>0</f>
        <v/>
      </c>
      <c r="O102" s="24">
        <f>MAX(M102, N102)</f>
        <v/>
      </c>
      <c r="P102" s="24">
        <f>MAX(O102, P103)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0</v>
      </c>
      <c r="J103" s="25" t="n">
        <v>0</v>
      </c>
      <c r="K103" s="25" t="n">
        <v>0</v>
      </c>
      <c r="L103" s="22" t="n">
        <v>0</v>
      </c>
      <c r="M103" s="25">
        <f>K103 * I103</f>
        <v/>
      </c>
      <c r="N103" s="25">
        <f>0</f>
        <v/>
      </c>
      <c r="O103" s="25">
        <f>MAX(M103, N103)</f>
        <v/>
      </c>
      <c r="P103" s="25">
        <f>MAX(O103, P104)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0</v>
      </c>
      <c r="J104" s="24" t="n">
        <v>0</v>
      </c>
      <c r="K104" s="24" t="n">
        <v>0</v>
      </c>
      <c r="L104" s="20" t="n">
        <v>0</v>
      </c>
      <c r="M104" s="24">
        <f>K104 * I104</f>
        <v/>
      </c>
      <c r="N104" s="24">
        <f>0</f>
        <v/>
      </c>
      <c r="O104" s="24">
        <f>MAX(M104, N104)</f>
        <v/>
      </c>
      <c r="P104" s="24">
        <f>MAX(O104, P105)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0</v>
      </c>
      <c r="J105" s="25" t="n">
        <v>0</v>
      </c>
      <c r="K105" s="25" t="n">
        <v>0</v>
      </c>
      <c r="L105" s="22" t="n">
        <v>0</v>
      </c>
      <c r="M105" s="25">
        <f>K105 * I105</f>
        <v/>
      </c>
      <c r="N105" s="25">
        <f>0</f>
        <v/>
      </c>
      <c r="O105" s="25">
        <f>MAX(M105, N105)</f>
        <v/>
      </c>
      <c r="P105" s="25">
        <f>MAX(O105, P106)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0</v>
      </c>
      <c r="J106" s="24" t="n">
        <v>0</v>
      </c>
      <c r="K106" s="24" t="n">
        <v>0</v>
      </c>
      <c r="L106" s="20" t="n">
        <v>0</v>
      </c>
      <c r="M106" s="24">
        <f>K106 * I106</f>
        <v/>
      </c>
      <c r="N106" s="24">
        <f>0</f>
        <v/>
      </c>
      <c r="O106" s="24">
        <f>MAX(M106, N106)</f>
        <v/>
      </c>
      <c r="P106" s="24">
        <f>MAX(O106, P107)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0</v>
      </c>
      <c r="J107" s="25" t="n">
        <v>0</v>
      </c>
      <c r="K107" s="25" t="n">
        <v>0</v>
      </c>
      <c r="L107" s="22" t="n">
        <v>0</v>
      </c>
      <c r="M107" s="25">
        <f>K107 * I107</f>
        <v/>
      </c>
      <c r="N107" s="25">
        <f>0</f>
        <v/>
      </c>
      <c r="O107" s="25">
        <f>MAX(M107, N107)</f>
        <v/>
      </c>
      <c r="P107" s="25">
        <f>MAX(O107, P108)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0</v>
      </c>
      <c r="J108" s="24" t="n">
        <v>0</v>
      </c>
      <c r="K108" s="24" t="n">
        <v>0</v>
      </c>
      <c r="L108" s="20" t="n">
        <v>0</v>
      </c>
      <c r="M108" s="24">
        <f>K108 * I108</f>
        <v/>
      </c>
      <c r="N108" s="24">
        <f>0</f>
        <v/>
      </c>
      <c r="O108" s="24">
        <f>MAX(M108, N108)</f>
        <v/>
      </c>
      <c r="P108" s="24">
        <f>MAX(O108, P109)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0</v>
      </c>
      <c r="J109" s="25" t="n">
        <v>0</v>
      </c>
      <c r="K109" s="25" t="n">
        <v>0</v>
      </c>
      <c r="L109" s="22" t="n">
        <v>0</v>
      </c>
      <c r="M109" s="25">
        <f>K109 * I109</f>
        <v/>
      </c>
      <c r="N109" s="25">
        <f>0</f>
        <v/>
      </c>
      <c r="O109" s="25">
        <f>MAX(M109, N109)</f>
        <v/>
      </c>
      <c r="P109" s="25">
        <f>MAX(O109, P110)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0</v>
      </c>
      <c r="J110" s="24" t="n">
        <v>0</v>
      </c>
      <c r="K110" s="24" t="n">
        <v>0</v>
      </c>
      <c r="L110" s="20" t="n">
        <v>0</v>
      </c>
      <c r="M110" s="24">
        <f>K110 * I110</f>
        <v/>
      </c>
      <c r="N110" s="24">
        <f>0</f>
        <v/>
      </c>
      <c r="O110" s="24">
        <f>MAX(M110, N110)</f>
        <v/>
      </c>
      <c r="P110" s="24">
        <f>MAX(O110, P111)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0</v>
      </c>
      <c r="J111" s="25" t="n">
        <v>0</v>
      </c>
      <c r="K111" s="25" t="n">
        <v>0</v>
      </c>
      <c r="L111" s="22" t="n">
        <v>0</v>
      </c>
      <c r="M111" s="25">
        <f>K111 * I111</f>
        <v/>
      </c>
      <c r="N111" s="25">
        <f>0</f>
        <v/>
      </c>
      <c r="O111" s="25">
        <f>MAX(M111, N111)</f>
        <v/>
      </c>
      <c r="P111" s="25">
        <f>MAX(O111, P112)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0</v>
      </c>
      <c r="J112" s="24" t="n">
        <v>0</v>
      </c>
      <c r="K112" s="24" t="n">
        <v>0</v>
      </c>
      <c r="L112" s="20" t="n">
        <v>0</v>
      </c>
      <c r="M112" s="24">
        <f>K112 * I112</f>
        <v/>
      </c>
      <c r="N112" s="24">
        <f>0</f>
        <v/>
      </c>
      <c r="O112" s="24">
        <f>MAX(M112, N112)</f>
        <v/>
      </c>
      <c r="P112" s="24">
        <f>MAX(O112, P113)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0</v>
      </c>
      <c r="J113" s="25" t="n">
        <v>0</v>
      </c>
      <c r="K113" s="25" t="n">
        <v>0</v>
      </c>
      <c r="L113" s="22" t="n">
        <v>0</v>
      </c>
      <c r="M113" s="25">
        <f>K113 * I113</f>
        <v/>
      </c>
      <c r="N113" s="25">
        <f>0</f>
        <v/>
      </c>
      <c r="O113" s="25">
        <f>MAX(M113, N113)</f>
        <v/>
      </c>
      <c r="P113" s="25">
        <f>MAX(O113, P114)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0</v>
      </c>
      <c r="J114" s="24" t="n">
        <v>0</v>
      </c>
      <c r="K114" s="24" t="n">
        <v>0</v>
      </c>
      <c r="L114" s="20" t="n">
        <v>0</v>
      </c>
      <c r="M114" s="24">
        <f>K114 * I114</f>
        <v/>
      </c>
      <c r="N114" s="24">
        <f>0</f>
        <v/>
      </c>
      <c r="O114" s="24">
        <f>MAX(M114, N114)</f>
        <v/>
      </c>
      <c r="P114" s="24">
        <f>MAX(O114, P115)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0</v>
      </c>
      <c r="J115" s="25" t="n">
        <v>0</v>
      </c>
      <c r="K115" s="25" t="n">
        <v>0</v>
      </c>
      <c r="L115" s="22" t="n">
        <v>0</v>
      </c>
      <c r="M115" s="25">
        <f>K115 * I115</f>
        <v/>
      </c>
      <c r="N115" s="25">
        <f>0</f>
        <v/>
      </c>
      <c r="O115" s="25">
        <f>MAX(M115, N115)</f>
        <v/>
      </c>
      <c r="P115" s="25">
        <f>MAX(O115, P116)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0</v>
      </c>
      <c r="J116" s="24" t="n">
        <v>0</v>
      </c>
      <c r="K116" s="24" t="n">
        <v>0</v>
      </c>
      <c r="L116" s="20" t="n">
        <v>0</v>
      </c>
      <c r="M116" s="24">
        <f>K116 * I116</f>
        <v/>
      </c>
      <c r="N116" s="24">
        <f>0</f>
        <v/>
      </c>
      <c r="O116" s="24">
        <f>MAX(M116, N116)</f>
        <v/>
      </c>
      <c r="P116" s="24">
        <f>MAX(O116, P117)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0</v>
      </c>
      <c r="J117" s="25" t="n">
        <v>0</v>
      </c>
      <c r="K117" s="25" t="n">
        <v>0</v>
      </c>
      <c r="L117" s="22" t="n">
        <v>0</v>
      </c>
      <c r="M117" s="25">
        <f>K117 * I117</f>
        <v/>
      </c>
      <c r="N117" s="25">
        <f>0</f>
        <v/>
      </c>
      <c r="O117" s="25">
        <f>MAX(M117, N117)</f>
        <v/>
      </c>
      <c r="P117" s="25">
        <f>MAX(O117, P118)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0</v>
      </c>
      <c r="J118" s="24" t="n">
        <v>0</v>
      </c>
      <c r="K118" s="24" t="n">
        <v>0</v>
      </c>
      <c r="L118" s="20" t="n">
        <v>0</v>
      </c>
      <c r="M118" s="24">
        <f>K118 * I118</f>
        <v/>
      </c>
      <c r="N118" s="24">
        <f>0</f>
        <v/>
      </c>
      <c r="O118" s="24">
        <f>MAX(M118, N118)</f>
        <v/>
      </c>
      <c r="P118" s="24">
        <f>MAX(O118, P119)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0</v>
      </c>
      <c r="J119" s="25" t="n">
        <v>0</v>
      </c>
      <c r="K119" s="25" t="n">
        <v>0</v>
      </c>
      <c r="L119" s="22" t="n">
        <v>0</v>
      </c>
      <c r="M119" s="25">
        <f>K119 * I119</f>
        <v/>
      </c>
      <c r="N119" s="25">
        <f>0</f>
        <v/>
      </c>
      <c r="O119" s="25">
        <f>MAX(M119, N119)</f>
        <v/>
      </c>
      <c r="P119" s="25">
        <f>MAX(O119, P120)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0</v>
      </c>
      <c r="J120" s="24" t="n">
        <v>0</v>
      </c>
      <c r="K120" s="24" t="n">
        <v>0</v>
      </c>
      <c r="L120" s="20" t="n">
        <v>0</v>
      </c>
      <c r="M120" s="24">
        <f>K120 * I120</f>
        <v/>
      </c>
      <c r="N120" s="24">
        <f>0</f>
        <v/>
      </c>
      <c r="O120" s="24">
        <f>MAX(M120, N120)</f>
        <v/>
      </c>
      <c r="P120" s="24">
        <f>MAX(O120, P121)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0</v>
      </c>
      <c r="J121" s="25" t="n">
        <v>0</v>
      </c>
      <c r="K121" s="25" t="n">
        <v>0</v>
      </c>
      <c r="L121" s="22" t="n">
        <v>0</v>
      </c>
      <c r="M121" s="25">
        <f>K121 * I121</f>
        <v/>
      </c>
      <c r="N121" s="25">
        <f>0</f>
        <v/>
      </c>
      <c r="O121" s="25">
        <f>MAX(M121, N121)</f>
        <v/>
      </c>
      <c r="P121" s="25">
        <f>MAX(O121, P122)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0</v>
      </c>
      <c r="J122" s="24" t="n">
        <v>0</v>
      </c>
      <c r="K122" s="24" t="n">
        <v>0</v>
      </c>
      <c r="L122" s="20" t="n">
        <v>0</v>
      </c>
      <c r="M122" s="24">
        <f>K122 * I122</f>
        <v/>
      </c>
      <c r="N122" s="24">
        <f>0</f>
        <v/>
      </c>
      <c r="O122" s="24">
        <f>MAX(M122, N122)</f>
        <v/>
      </c>
      <c r="P122" s="24">
        <f>MAX(O122, P123)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0</v>
      </c>
      <c r="J123" s="25" t="n">
        <v>0</v>
      </c>
      <c r="K123" s="25" t="n">
        <v>0</v>
      </c>
      <c r="L123" s="22" t="n">
        <v>0</v>
      </c>
      <c r="M123" s="25">
        <f>K123 * I123</f>
        <v/>
      </c>
      <c r="N123" s="25">
        <f>0</f>
        <v/>
      </c>
      <c r="O123" s="25">
        <f>MAX(M123, N123)</f>
        <v/>
      </c>
      <c r="P123" s="25">
        <f>MAX(O123, P124)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0</v>
      </c>
      <c r="J124" s="24" t="n">
        <v>0</v>
      </c>
      <c r="K124" s="24" t="n">
        <v>0</v>
      </c>
      <c r="L124" s="20" t="n">
        <v>0</v>
      </c>
      <c r="M124" s="24">
        <f>K124 * I124</f>
        <v/>
      </c>
      <c r="N124" s="24">
        <f>0</f>
        <v/>
      </c>
      <c r="O124" s="24">
        <f>MAX(M124, N124)</f>
        <v/>
      </c>
      <c r="P124" s="24">
        <f>MAX(O124, P125)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0</v>
      </c>
      <c r="J125" s="25" t="n">
        <v>0</v>
      </c>
      <c r="K125" s="25" t="n">
        <v>0</v>
      </c>
      <c r="L125" s="22" t="n">
        <v>0</v>
      </c>
      <c r="M125" s="25">
        <f>K125 * I125</f>
        <v/>
      </c>
      <c r="N125" s="25">
        <f>0</f>
        <v/>
      </c>
      <c r="O125" s="25">
        <f>MAX(M125, N125)</f>
        <v/>
      </c>
      <c r="P125" s="25">
        <f>MAX(O125, P126)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0</v>
      </c>
      <c r="J126" s="24" t="n">
        <v>0</v>
      </c>
      <c r="K126" s="24" t="n">
        <v>0</v>
      </c>
      <c r="L126" s="20" t="n">
        <v>0</v>
      </c>
      <c r="M126" s="24">
        <f>K126 * I126</f>
        <v/>
      </c>
      <c r="N126" s="24">
        <f>0</f>
        <v/>
      </c>
      <c r="O126" s="24">
        <f>MAX(M126, N126)</f>
        <v/>
      </c>
      <c r="P126" s="24">
        <f>MAX(O126, P127)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0</v>
      </c>
      <c r="J127" s="25" t="n">
        <v>0</v>
      </c>
      <c r="K127" s="25" t="n">
        <v>0</v>
      </c>
      <c r="L127" s="22" t="n">
        <v>0</v>
      </c>
      <c r="M127" s="25">
        <f>K127 * I127</f>
        <v/>
      </c>
      <c r="N127" s="25">
        <f>0</f>
        <v/>
      </c>
      <c r="O127" s="25">
        <f>MAX(M127, N127)</f>
        <v/>
      </c>
      <c r="P127" s="25">
        <f>MAX(O127, P128)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0</v>
      </c>
      <c r="J128" s="24" t="n">
        <v>0</v>
      </c>
      <c r="K128" s="24" t="n">
        <v>0</v>
      </c>
      <c r="L128" s="20" t="n">
        <v>0</v>
      </c>
      <c r="M128" s="24">
        <f>K128 * I128</f>
        <v/>
      </c>
      <c r="N128" s="24">
        <f>0</f>
        <v/>
      </c>
      <c r="O128" s="24">
        <f>MAX(M128, N128)</f>
        <v/>
      </c>
      <c r="P128" s="24">
        <f>MAX(O128, P129)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0</v>
      </c>
      <c r="J129" s="25" t="n">
        <v>0</v>
      </c>
      <c r="K129" s="25" t="n">
        <v>0</v>
      </c>
      <c r="L129" s="22" t="n">
        <v>0</v>
      </c>
      <c r="M129" s="25">
        <f>K129 * I129</f>
        <v/>
      </c>
      <c r="N129" s="25">
        <f>0</f>
        <v/>
      </c>
      <c r="O129" s="25">
        <f>MAX(M129, N129)</f>
        <v/>
      </c>
      <c r="P129" s="25">
        <f>MAX(O129, P130)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0</v>
      </c>
      <c r="J130" s="24" t="n">
        <v>0</v>
      </c>
      <c r="K130" s="24" t="n">
        <v>0</v>
      </c>
      <c r="L130" s="20" t="n">
        <v>0</v>
      </c>
      <c r="M130" s="24">
        <f>K130 * I130</f>
        <v/>
      </c>
      <c r="N130" s="24">
        <f>0</f>
        <v/>
      </c>
      <c r="O130" s="24">
        <f>MAX(M130, N130)</f>
        <v/>
      </c>
      <c r="P130" s="24">
        <f>MAX(O130, P131)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0</v>
      </c>
      <c r="J131" s="25" t="n">
        <v>0</v>
      </c>
      <c r="K131" s="25" t="n">
        <v>0</v>
      </c>
      <c r="L131" s="22" t="n">
        <v>0</v>
      </c>
      <c r="M131" s="25">
        <f>K131 * I131</f>
        <v/>
      </c>
      <c r="N131" s="25">
        <f>0</f>
        <v/>
      </c>
      <c r="O131" s="25">
        <f>MAX(M131, N131)</f>
        <v/>
      </c>
      <c r="P131" s="25">
        <f>MAX(O131, P132)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0</v>
      </c>
      <c r="J132" s="24" t="n">
        <v>0</v>
      </c>
      <c r="K132" s="24" t="n">
        <v>0</v>
      </c>
      <c r="L132" s="20" t="n">
        <v>0</v>
      </c>
      <c r="M132" s="24">
        <f>K132 * I132</f>
        <v/>
      </c>
      <c r="N132" s="24">
        <f>0</f>
        <v/>
      </c>
      <c r="O132" s="24">
        <f>MAX(M132, N132)</f>
        <v/>
      </c>
      <c r="P132" s="24">
        <f>MAX(O132, P133)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0</v>
      </c>
      <c r="J133" s="25" t="n">
        <v>0</v>
      </c>
      <c r="K133" s="25" t="n">
        <v>0</v>
      </c>
      <c r="L133" s="22" t="n">
        <v>0</v>
      </c>
      <c r="M133" s="25">
        <f>K133 * I133</f>
        <v/>
      </c>
      <c r="N133" s="25">
        <f>0</f>
        <v/>
      </c>
      <c r="O133" s="25">
        <f>MAX(M133, N133)</f>
        <v/>
      </c>
      <c r="P133" s="25">
        <f>MAX(O133, P134)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0</v>
      </c>
      <c r="J134" s="24" t="n">
        <v>0</v>
      </c>
      <c r="K134" s="24" t="n">
        <v>0</v>
      </c>
      <c r="L134" s="20" t="n">
        <v>0</v>
      </c>
      <c r="M134" s="24">
        <f>K134 * I134</f>
        <v/>
      </c>
      <c r="N134" s="24">
        <f>0</f>
        <v/>
      </c>
      <c r="O134" s="24">
        <f>MAX(M134, N134)</f>
        <v/>
      </c>
      <c r="P134" s="24">
        <f>MAX(O134, P135)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0</v>
      </c>
      <c r="J135" s="25" t="n">
        <v>0</v>
      </c>
      <c r="K135" s="25" t="n">
        <v>0</v>
      </c>
      <c r="L135" s="22" t="n">
        <v>0</v>
      </c>
      <c r="M135" s="25">
        <f>K135 * I135</f>
        <v/>
      </c>
      <c r="N135" s="25">
        <f>0</f>
        <v/>
      </c>
      <c r="O135" s="25">
        <f>MAX(M135, N135)</f>
        <v/>
      </c>
      <c r="P135" s="25">
        <f>MAX(O135, P136)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0</v>
      </c>
      <c r="J136" s="24" t="n">
        <v>0</v>
      </c>
      <c r="K136" s="24" t="n">
        <v>0</v>
      </c>
      <c r="L136" s="20" t="n">
        <v>0</v>
      </c>
      <c r="M136" s="24">
        <f>K136 * I136</f>
        <v/>
      </c>
      <c r="N136" s="24">
        <f>0</f>
        <v/>
      </c>
      <c r="O136" s="24">
        <f>MAX(M136, N136)</f>
        <v/>
      </c>
      <c r="P136" s="24">
        <f>MAX(O136, P137)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0</v>
      </c>
      <c r="J137" s="25" t="n">
        <v>0</v>
      </c>
      <c r="K137" s="25" t="n">
        <v>0</v>
      </c>
      <c r="L137" s="22" t="n">
        <v>0</v>
      </c>
      <c r="M137" s="25">
        <f>K137 * I137</f>
        <v/>
      </c>
      <c r="N137" s="25">
        <f>0</f>
        <v/>
      </c>
      <c r="O137" s="25">
        <f>MAX(M137, N137)</f>
        <v/>
      </c>
      <c r="P137" s="25">
        <f>MAX(O137, P138)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0</v>
      </c>
      <c r="J138" s="24" t="n">
        <v>0</v>
      </c>
      <c r="K138" s="24" t="n">
        <v>0</v>
      </c>
      <c r="L138" s="20" t="n">
        <v>0</v>
      </c>
      <c r="M138" s="24">
        <f>K138 * I138</f>
        <v/>
      </c>
      <c r="N138" s="24">
        <f>0</f>
        <v/>
      </c>
      <c r="O138" s="24">
        <f>MAX(M138, N138)</f>
        <v/>
      </c>
      <c r="P138" s="24">
        <f>MAX(O138, P139)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0</v>
      </c>
      <c r="J139" s="25" t="n">
        <v>0</v>
      </c>
      <c r="K139" s="25" t="n">
        <v>0</v>
      </c>
      <c r="L139" s="22" t="n">
        <v>0</v>
      </c>
      <c r="M139" s="25">
        <f>K139 * I139</f>
        <v/>
      </c>
      <c r="N139" s="25">
        <f>0</f>
        <v/>
      </c>
      <c r="O139" s="25">
        <f>MAX(M139, N139)</f>
        <v/>
      </c>
      <c r="P139" s="25">
        <f>MAX(O139, P140)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0</v>
      </c>
      <c r="J140" s="24" t="n">
        <v>0</v>
      </c>
      <c r="K140" s="24" t="n">
        <v>0</v>
      </c>
      <c r="L140" s="20" t="n">
        <v>0</v>
      </c>
      <c r="M140" s="24">
        <f>K140 * I140</f>
        <v/>
      </c>
      <c r="N140" s="24">
        <f>0</f>
        <v/>
      </c>
      <c r="O140" s="24">
        <f>MAX(M140, N140)</f>
        <v/>
      </c>
      <c r="P140" s="24">
        <f>MAX(O140, P141)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0</v>
      </c>
      <c r="J141" s="25" t="n">
        <v>0</v>
      </c>
      <c r="K141" s="25" t="n">
        <v>0</v>
      </c>
      <c r="L141" s="22" t="n">
        <v>0</v>
      </c>
      <c r="M141" s="25">
        <f>K141 * I141</f>
        <v/>
      </c>
      <c r="N141" s="25">
        <f>0</f>
        <v/>
      </c>
      <c r="O141" s="25">
        <f>MAX(M141, N141)</f>
        <v/>
      </c>
      <c r="P141" s="25">
        <f>MAX(O141, P142)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0</v>
      </c>
      <c r="J142" s="24" t="n">
        <v>0</v>
      </c>
      <c r="K142" s="24" t="n">
        <v>0</v>
      </c>
      <c r="L142" s="20" t="n">
        <v>0</v>
      </c>
      <c r="M142" s="24">
        <f>K142 * I142</f>
        <v/>
      </c>
      <c r="N142" s="24">
        <f>0</f>
        <v/>
      </c>
      <c r="O142" s="24">
        <f>MAX(M142, N142)</f>
        <v/>
      </c>
      <c r="P142" s="24">
        <f>MAX(O142, P143)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0</v>
      </c>
      <c r="J143" s="25" t="n">
        <v>0</v>
      </c>
      <c r="K143" s="25" t="n">
        <v>0</v>
      </c>
      <c r="L143" s="22" t="n">
        <v>0</v>
      </c>
      <c r="M143" s="25">
        <f>K143 * I143</f>
        <v/>
      </c>
      <c r="N143" s="25">
        <f>0</f>
        <v/>
      </c>
      <c r="O143" s="25">
        <f>MAX(M143, N143)</f>
        <v/>
      </c>
      <c r="P143" s="25">
        <f>MAX(O143, P144)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0</v>
      </c>
      <c r="J144" s="24" t="n">
        <v>0</v>
      </c>
      <c r="K144" s="24" t="n">
        <v>0</v>
      </c>
      <c r="L144" s="20" t="n">
        <v>0</v>
      </c>
      <c r="M144" s="24">
        <f>K144 * I144</f>
        <v/>
      </c>
      <c r="N144" s="24">
        <f>0</f>
        <v/>
      </c>
      <c r="O144" s="24">
        <f>MAX(M144, N144)</f>
        <v/>
      </c>
      <c r="P144" s="24">
        <f>MAX(O144, P145)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0</v>
      </c>
      <c r="J145" s="25" t="n">
        <v>0</v>
      </c>
      <c r="K145" s="25" t="n">
        <v>0</v>
      </c>
      <c r="L145" s="22" t="n">
        <v>0</v>
      </c>
      <c r="M145" s="25">
        <f>K145 * I145</f>
        <v/>
      </c>
      <c r="N145" s="25">
        <f>0</f>
        <v/>
      </c>
      <c r="O145" s="25">
        <f>MAX(M145, N145)</f>
        <v/>
      </c>
      <c r="P145" s="25">
        <f>MAX(O145, P146)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0</v>
      </c>
      <c r="J146" s="24" t="n">
        <v>0</v>
      </c>
      <c r="K146" s="24" t="n">
        <v>0</v>
      </c>
      <c r="L146" s="20" t="n">
        <v>0</v>
      </c>
      <c r="M146" s="24">
        <f>K146 * I146</f>
        <v/>
      </c>
      <c r="N146" s="24">
        <f>0</f>
        <v/>
      </c>
      <c r="O146" s="24">
        <f>MAX(M146, N146)</f>
        <v/>
      </c>
      <c r="P146" s="24">
        <f>MAX(O146, P147)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0</v>
      </c>
      <c r="J147" s="25" t="n">
        <v>0</v>
      </c>
      <c r="K147" s="25" t="n">
        <v>0</v>
      </c>
      <c r="L147" s="22" t="n">
        <v>0</v>
      </c>
      <c r="M147" s="25">
        <f>K147 * I147</f>
        <v/>
      </c>
      <c r="N147" s="25">
        <f>0</f>
        <v/>
      </c>
      <c r="O147" s="25">
        <f>MAX(M147, N147)</f>
        <v/>
      </c>
      <c r="P147" s="25">
        <f>MAX(O147, P148)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0</v>
      </c>
      <c r="J148" s="24" t="n">
        <v>0</v>
      </c>
      <c r="K148" s="24" t="n">
        <v>0</v>
      </c>
      <c r="L148" s="20" t="n">
        <v>0</v>
      </c>
      <c r="M148" s="24">
        <f>K148 * I148</f>
        <v/>
      </c>
      <c r="N148" s="24">
        <f>0</f>
        <v/>
      </c>
      <c r="O148" s="24">
        <f>MAX(M148, N148)</f>
        <v/>
      </c>
      <c r="P148" s="24">
        <f>MAX(O148, P149)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0</v>
      </c>
      <c r="J149" s="25" t="n">
        <v>0</v>
      </c>
      <c r="K149" s="25" t="n">
        <v>0</v>
      </c>
      <c r="L149" s="22" t="n">
        <v>0</v>
      </c>
      <c r="M149" s="25">
        <f>K149 * I149</f>
        <v/>
      </c>
      <c r="N149" s="25">
        <f>0</f>
        <v/>
      </c>
      <c r="O149" s="25">
        <f>MAX(M149, N149)</f>
        <v/>
      </c>
      <c r="P149" s="25">
        <f>MAX(O149, P150)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0</v>
      </c>
      <c r="J150" s="24" t="n">
        <v>0</v>
      </c>
      <c r="K150" s="24" t="n">
        <v>0</v>
      </c>
      <c r="L150" s="20" t="n">
        <v>0</v>
      </c>
      <c r="M150" s="24">
        <f>K150 * I150</f>
        <v/>
      </c>
      <c r="N150" s="24">
        <f>0</f>
        <v/>
      </c>
      <c r="O150" s="24">
        <f>MAX(M150, N150)</f>
        <v/>
      </c>
      <c r="P150" s="24">
        <f>MAX(O150, P151)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0</v>
      </c>
      <c r="J151" s="25" t="n">
        <v>0</v>
      </c>
      <c r="K151" s="25" t="n">
        <v>0</v>
      </c>
      <c r="L151" s="22" t="n">
        <v>0</v>
      </c>
      <c r="M151" s="25">
        <f>K151 * I151</f>
        <v/>
      </c>
      <c r="N151" s="25">
        <f>0</f>
        <v/>
      </c>
      <c r="O151" s="25">
        <f>MAX(M151, N151)</f>
        <v/>
      </c>
      <c r="P151" s="25">
        <f>MAX(O151, P152)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0</v>
      </c>
      <c r="J152" s="24" t="n">
        <v>0</v>
      </c>
      <c r="K152" s="24" t="n">
        <v>0</v>
      </c>
      <c r="L152" s="20" t="n">
        <v>0</v>
      </c>
      <c r="M152" s="24">
        <f>K152 * I152</f>
        <v/>
      </c>
      <c r="N152" s="24">
        <f>0</f>
        <v/>
      </c>
      <c r="O152" s="24">
        <f>MAX(M152, N152)</f>
        <v/>
      </c>
      <c r="P152" s="24">
        <f>MAX(O152, P153)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0</v>
      </c>
      <c r="J153" s="25" t="n">
        <v>0</v>
      </c>
      <c r="K153" s="25" t="n">
        <v>0</v>
      </c>
      <c r="L153" s="22" t="n">
        <v>0</v>
      </c>
      <c r="M153" s="25">
        <f>K153 * I153</f>
        <v/>
      </c>
      <c r="N153" s="25">
        <f>0</f>
        <v/>
      </c>
      <c r="O153" s="25">
        <f>MAX(M153, N153)</f>
        <v/>
      </c>
      <c r="P153" s="25">
        <f>MAX(O153, P154)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0</v>
      </c>
      <c r="J154" s="24" t="n">
        <v>0</v>
      </c>
      <c r="K154" s="24" t="n">
        <v>0</v>
      </c>
      <c r="L154" s="20" t="n">
        <v>0</v>
      </c>
      <c r="M154" s="24">
        <f>K154 * I154</f>
        <v/>
      </c>
      <c r="N154" s="24">
        <f>0</f>
        <v/>
      </c>
      <c r="O154" s="24">
        <f>MAX(M154, N154)</f>
        <v/>
      </c>
      <c r="P154" s="24">
        <f>MAX(O154, P155)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0</v>
      </c>
      <c r="J155" s="25" t="n">
        <v>0</v>
      </c>
      <c r="K155" s="25" t="n">
        <v>0</v>
      </c>
      <c r="L155" s="22" t="n">
        <v>0</v>
      </c>
      <c r="M155" s="25">
        <f>K155 * I155</f>
        <v/>
      </c>
      <c r="N155" s="25">
        <f>0</f>
        <v/>
      </c>
      <c r="O155" s="25">
        <f>MAX(M155, N155)</f>
        <v/>
      </c>
      <c r="P155" s="25">
        <f>MAX(O155, P156)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0</v>
      </c>
      <c r="J156" s="24" t="n">
        <v>0</v>
      </c>
      <c r="K156" s="24" t="n">
        <v>0</v>
      </c>
      <c r="L156" s="20" t="n">
        <v>0</v>
      </c>
      <c r="M156" s="24">
        <f>K156 * I156</f>
        <v/>
      </c>
      <c r="N156" s="24">
        <f>0</f>
        <v/>
      </c>
      <c r="O156" s="24">
        <f>MAX(M156, N156)</f>
        <v/>
      </c>
      <c r="P156" s="24">
        <f>MAX(O156, P157)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0</v>
      </c>
      <c r="J157" s="25" t="n">
        <v>0</v>
      </c>
      <c r="K157" s="25" t="n">
        <v>0</v>
      </c>
      <c r="L157" s="22" t="n">
        <v>0</v>
      </c>
      <c r="M157" s="25">
        <f>K157 * I157</f>
        <v/>
      </c>
      <c r="N157" s="25">
        <f>0</f>
        <v/>
      </c>
      <c r="O157" s="25">
        <f>MAX(M157, N157)</f>
        <v/>
      </c>
      <c r="P157" s="25">
        <f>MAX(O157, P158)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0</v>
      </c>
      <c r="J158" s="24" t="n">
        <v>0</v>
      </c>
      <c r="K158" s="24" t="n">
        <v>0</v>
      </c>
      <c r="L158" s="20" t="n">
        <v>0</v>
      </c>
      <c r="M158" s="24">
        <f>K158 * I158</f>
        <v/>
      </c>
      <c r="N158" s="24">
        <f>0</f>
        <v/>
      </c>
      <c r="O158" s="24">
        <f>MAX(M158, N158)</f>
        <v/>
      </c>
      <c r="P158" s="24">
        <f>MAX(O158, P159)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0</v>
      </c>
      <c r="J159" s="25" t="n">
        <v>0</v>
      </c>
      <c r="K159" s="25" t="n">
        <v>0</v>
      </c>
      <c r="L159" s="22" t="n">
        <v>0</v>
      </c>
      <c r="M159" s="25">
        <f>K159 * I159</f>
        <v/>
      </c>
      <c r="N159" s="25">
        <f>0</f>
        <v/>
      </c>
      <c r="O159" s="25">
        <f>MAX(M159, N159)</f>
        <v/>
      </c>
      <c r="P159" s="25">
        <f>MAX(O159, P160)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0</v>
      </c>
      <c r="J160" s="24" t="n">
        <v>0</v>
      </c>
      <c r="K160" s="24" t="n">
        <v>0</v>
      </c>
      <c r="L160" s="20" t="n">
        <v>0</v>
      </c>
      <c r="M160" s="24">
        <f>K160 * I160</f>
        <v/>
      </c>
      <c r="N160" s="24">
        <f>0</f>
        <v/>
      </c>
      <c r="O160" s="24">
        <f>MAX(M160, N160)</f>
        <v/>
      </c>
      <c r="P160" s="24">
        <f>MAX(O160, P161)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0</v>
      </c>
      <c r="J161" s="25" t="n">
        <v>0</v>
      </c>
      <c r="K161" s="25" t="n">
        <v>0</v>
      </c>
      <c r="L161" s="22" t="n">
        <v>0</v>
      </c>
      <c r="M161" s="25">
        <f>K161 * I161</f>
        <v/>
      </c>
      <c r="N161" s="25">
        <f>0</f>
        <v/>
      </c>
      <c r="O161" s="25">
        <f>MAX(M161, N161)</f>
        <v/>
      </c>
      <c r="P161" s="25">
        <f>MAX(O161, P162)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0</v>
      </c>
      <c r="J162" s="24" t="n">
        <v>0</v>
      </c>
      <c r="K162" s="24" t="n">
        <v>0</v>
      </c>
      <c r="L162" s="20" t="n">
        <v>0</v>
      </c>
      <c r="M162" s="24">
        <f>K162 * I162</f>
        <v/>
      </c>
      <c r="N162" s="24">
        <f>0</f>
        <v/>
      </c>
      <c r="O162" s="24">
        <f>MAX(M162, N162)</f>
        <v/>
      </c>
      <c r="P162" s="24">
        <f>MAX(O162, P163)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0</v>
      </c>
      <c r="J163" s="25" t="n">
        <v>0</v>
      </c>
      <c r="K163" s="25" t="n">
        <v>0</v>
      </c>
      <c r="L163" s="22" t="n">
        <v>0</v>
      </c>
      <c r="M163" s="25">
        <f>K163 * I163</f>
        <v/>
      </c>
      <c r="N163" s="25">
        <f>0</f>
        <v/>
      </c>
      <c r="O163" s="25">
        <f>MAX(M163, N163)</f>
        <v/>
      </c>
      <c r="P163" s="25">
        <f>MAX(O163, P164)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0</v>
      </c>
      <c r="J164" s="24" t="n">
        <v>0</v>
      </c>
      <c r="K164" s="24" t="n">
        <v>0</v>
      </c>
      <c r="L164" s="20" t="n">
        <v>0</v>
      </c>
      <c r="M164" s="24">
        <f>K164 * I164</f>
        <v/>
      </c>
      <c r="N164" s="24">
        <f>0</f>
        <v/>
      </c>
      <c r="O164" s="24">
        <f>MAX(M164, N164)</f>
        <v/>
      </c>
      <c r="P164" s="24">
        <f>MAX(O164, P165)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0</v>
      </c>
      <c r="J165" s="25" t="n">
        <v>0</v>
      </c>
      <c r="K165" s="25" t="n">
        <v>0</v>
      </c>
      <c r="L165" s="22" t="n">
        <v>0</v>
      </c>
      <c r="M165" s="25">
        <f>K165 * I165</f>
        <v/>
      </c>
      <c r="N165" s="25">
        <f>0</f>
        <v/>
      </c>
      <c r="O165" s="25">
        <f>MAX(M165, N165)</f>
        <v/>
      </c>
      <c r="P165" s="25">
        <f>MAX(O165, P166)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0</v>
      </c>
      <c r="J166" s="24" t="n">
        <v>0</v>
      </c>
      <c r="K166" s="24" t="n">
        <v>0</v>
      </c>
      <c r="L166" s="20" t="n">
        <v>0</v>
      </c>
      <c r="M166" s="24">
        <f>K166 * I166</f>
        <v/>
      </c>
      <c r="N166" s="24">
        <f>0</f>
        <v/>
      </c>
      <c r="O166" s="24">
        <f>MAX(M166, N166)</f>
        <v/>
      </c>
      <c r="P166" s="24">
        <f>MAX(O166, P167)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0</v>
      </c>
      <c r="J167" s="25" t="n">
        <v>0</v>
      </c>
      <c r="K167" s="25" t="n">
        <v>0</v>
      </c>
      <c r="L167" s="22" t="n">
        <v>0</v>
      </c>
      <c r="M167" s="25">
        <f>K167 * I167</f>
        <v/>
      </c>
      <c r="N167" s="25">
        <f>0</f>
        <v/>
      </c>
      <c r="O167" s="25">
        <f>MAX(M167, N167)</f>
        <v/>
      </c>
      <c r="P167" s="25">
        <f>MAX(O167, P168)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0</v>
      </c>
      <c r="J168" s="24" t="n">
        <v>0</v>
      </c>
      <c r="K168" s="24" t="n">
        <v>0</v>
      </c>
      <c r="L168" s="20" t="n">
        <v>0</v>
      </c>
      <c r="M168" s="24">
        <f>K168 * I168</f>
        <v/>
      </c>
      <c r="N168" s="24">
        <f>0</f>
        <v/>
      </c>
      <c r="O168" s="24">
        <f>MAX(M168, N168)</f>
        <v/>
      </c>
      <c r="P168" s="24">
        <f>MAX(O168, P169)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0</v>
      </c>
      <c r="J169" s="25" t="n">
        <v>0</v>
      </c>
      <c r="K169" s="25" t="n">
        <v>0</v>
      </c>
      <c r="L169" s="22" t="n">
        <v>0</v>
      </c>
      <c r="M169" s="25">
        <f>K169 * I169</f>
        <v/>
      </c>
      <c r="N169" s="25">
        <f>0</f>
        <v/>
      </c>
      <c r="O169" s="25">
        <f>MAX(M169, N169)</f>
        <v/>
      </c>
      <c r="P169" s="25">
        <f>MAX(O169, P170)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0</v>
      </c>
      <c r="J170" s="24" t="n">
        <v>0</v>
      </c>
      <c r="K170" s="24" t="n">
        <v>0</v>
      </c>
      <c r="L170" s="20" t="n">
        <v>0</v>
      </c>
      <c r="M170" s="24">
        <f>K170 * I170</f>
        <v/>
      </c>
      <c r="N170" s="24">
        <f>0</f>
        <v/>
      </c>
      <c r="O170" s="24">
        <f>MAX(M170, N170)</f>
        <v/>
      </c>
      <c r="P170" s="24">
        <f>MAX(O170, P171)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0</v>
      </c>
      <c r="J171" s="25" t="n">
        <v>0</v>
      </c>
      <c r="K171" s="25" t="n">
        <v>0</v>
      </c>
      <c r="L171" s="22" t="n">
        <v>0</v>
      </c>
      <c r="M171" s="25">
        <f>K171 * I171</f>
        <v/>
      </c>
      <c r="N171" s="25">
        <f>0</f>
        <v/>
      </c>
      <c r="O171" s="25">
        <f>MAX(M171, N171)</f>
        <v/>
      </c>
      <c r="P171" s="25">
        <f>MAX(O171, P172)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0</v>
      </c>
      <c r="J172" s="24" t="n">
        <v>0</v>
      </c>
      <c r="K172" s="24" t="n">
        <v>0</v>
      </c>
      <c r="L172" s="20" t="n">
        <v>0</v>
      </c>
      <c r="M172" s="24">
        <f>K172 * I172</f>
        <v/>
      </c>
      <c r="N172" s="24">
        <f>0</f>
        <v/>
      </c>
      <c r="O172" s="24">
        <f>MAX(M172, N172)</f>
        <v/>
      </c>
      <c r="P172" s="24">
        <f>MAX(O172, P173)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0</v>
      </c>
      <c r="J173" s="25" t="n">
        <v>0</v>
      </c>
      <c r="K173" s="25" t="n">
        <v>0</v>
      </c>
      <c r="L173" s="22" t="n">
        <v>0</v>
      </c>
      <c r="M173" s="25">
        <f>K173 * I173</f>
        <v/>
      </c>
      <c r="N173" s="25">
        <f>0</f>
        <v/>
      </c>
      <c r="O173" s="25">
        <f>MAX(M173, N173)</f>
        <v/>
      </c>
      <c r="P173" s="25">
        <f>MAX(O173, P174)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0</v>
      </c>
      <c r="J174" s="24" t="n">
        <v>0</v>
      </c>
      <c r="K174" s="24" t="n">
        <v>0</v>
      </c>
      <c r="L174" s="20" t="n">
        <v>0</v>
      </c>
      <c r="M174" s="24">
        <f>K174 * I174</f>
        <v/>
      </c>
      <c r="N174" s="24">
        <f>0</f>
        <v/>
      </c>
      <c r="O174" s="24">
        <f>MAX(M174, N174)</f>
        <v/>
      </c>
      <c r="P174" s="24">
        <f>MAX(O174, P175)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0</v>
      </c>
      <c r="J175" s="25" t="n">
        <v>0</v>
      </c>
      <c r="K175" s="25" t="n">
        <v>0</v>
      </c>
      <c r="L175" s="22" t="n">
        <v>0</v>
      </c>
      <c r="M175" s="25">
        <f>K175 * I175</f>
        <v/>
      </c>
      <c r="N175" s="25">
        <f>0</f>
        <v/>
      </c>
      <c r="O175" s="25">
        <f>MAX(M175, N175)</f>
        <v/>
      </c>
      <c r="P175" s="25">
        <f>MAX(O175, P176)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0</v>
      </c>
      <c r="J176" s="24" t="n">
        <v>0</v>
      </c>
      <c r="K176" s="24" t="n">
        <v>0</v>
      </c>
      <c r="L176" s="20" t="n">
        <v>0</v>
      </c>
      <c r="M176" s="24">
        <f>K176 * I176</f>
        <v/>
      </c>
      <c r="N176" s="24">
        <f>0</f>
        <v/>
      </c>
      <c r="O176" s="24">
        <f>MAX(M176, N176)</f>
        <v/>
      </c>
      <c r="P176" s="24">
        <f>MAX(O176, P177)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0</v>
      </c>
      <c r="J177" s="25" t="n">
        <v>0</v>
      </c>
      <c r="K177" s="25" t="n">
        <v>0</v>
      </c>
      <c r="L177" s="22" t="n">
        <v>0</v>
      </c>
      <c r="M177" s="25">
        <f>K177 * I177</f>
        <v/>
      </c>
      <c r="N177" s="25">
        <f>0</f>
        <v/>
      </c>
      <c r="O177" s="25">
        <f>MAX(M177, N177)</f>
        <v/>
      </c>
      <c r="P177" s="25">
        <f>MAX(O177, P178)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0</v>
      </c>
      <c r="J178" s="24" t="n">
        <v>0</v>
      </c>
      <c r="K178" s="24" t="n">
        <v>0</v>
      </c>
      <c r="L178" s="20" t="n">
        <v>0</v>
      </c>
      <c r="M178" s="24">
        <f>K178 * I178</f>
        <v/>
      </c>
      <c r="N178" s="24">
        <f>0</f>
        <v/>
      </c>
      <c r="O178" s="24">
        <f>MAX(M178, N178)</f>
        <v/>
      </c>
      <c r="P178" s="24">
        <f>MAX(O178, P179)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0</v>
      </c>
      <c r="J179" s="25" t="n">
        <v>0</v>
      </c>
      <c r="K179" s="25" t="n">
        <v>0</v>
      </c>
      <c r="L179" s="22" t="n">
        <v>0</v>
      </c>
      <c r="M179" s="25">
        <f>K179 * I179</f>
        <v/>
      </c>
      <c r="N179" s="25">
        <f>0</f>
        <v/>
      </c>
      <c r="O179" s="25">
        <f>MAX(M179, N179)</f>
        <v/>
      </c>
      <c r="P179" s="25">
        <f>MAX(O179, P180)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0</v>
      </c>
      <c r="J180" s="24" t="n">
        <v>0</v>
      </c>
      <c r="K180" s="24" t="n">
        <v>0</v>
      </c>
      <c r="L180" s="20" t="n">
        <v>0</v>
      </c>
      <c r="M180" s="24">
        <f>K180 * I180</f>
        <v/>
      </c>
      <c r="N180" s="24">
        <f>0</f>
        <v/>
      </c>
      <c r="O180" s="24">
        <f>MAX(M180, N180)</f>
        <v/>
      </c>
      <c r="P180" s="24">
        <f>MAX(O180, P181)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0</v>
      </c>
      <c r="J181" s="25" t="n">
        <v>0</v>
      </c>
      <c r="K181" s="25" t="n">
        <v>0</v>
      </c>
      <c r="L181" s="22" t="n">
        <v>0</v>
      </c>
      <c r="M181" s="25">
        <f>K181 * I181</f>
        <v/>
      </c>
      <c r="N181" s="25">
        <f>0</f>
        <v/>
      </c>
      <c r="O181" s="25">
        <f>MAX(M181, N181)</f>
        <v/>
      </c>
      <c r="P181" s="25">
        <f>MAX(O181, P182)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0</v>
      </c>
      <c r="J182" s="24" t="n">
        <v>0</v>
      </c>
      <c r="K182" s="24" t="n">
        <v>0</v>
      </c>
      <c r="L182" s="20" t="n">
        <v>0</v>
      </c>
      <c r="M182" s="24">
        <f>K182 * I182</f>
        <v/>
      </c>
      <c r="N182" s="24">
        <f>0</f>
        <v/>
      </c>
      <c r="O182" s="24">
        <f>MAX(M182, N182)</f>
        <v/>
      </c>
      <c r="P182" s="24">
        <f>MAX(O182, P183)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0</v>
      </c>
      <c r="J183" s="25" t="n">
        <v>0</v>
      </c>
      <c r="K183" s="25" t="n">
        <v>0</v>
      </c>
      <c r="L183" s="22" t="n">
        <v>0</v>
      </c>
      <c r="M183" s="25">
        <f>K183 * I183</f>
        <v/>
      </c>
      <c r="N183" s="25">
        <f>0</f>
        <v/>
      </c>
      <c r="O183" s="25">
        <f>MAX(M183, N183)</f>
        <v/>
      </c>
      <c r="P183" s="25">
        <f>MAX(O183, P184)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0</v>
      </c>
      <c r="J184" s="24" t="n">
        <v>0</v>
      </c>
      <c r="K184" s="24" t="n">
        <v>0</v>
      </c>
      <c r="L184" s="20" t="n">
        <v>0</v>
      </c>
      <c r="M184" s="24">
        <f>K184 * I184</f>
        <v/>
      </c>
      <c r="N184" s="24">
        <f>0</f>
        <v/>
      </c>
      <c r="O184" s="24">
        <f>MAX(M184, N184)</f>
        <v/>
      </c>
      <c r="P184" s="24">
        <f>MAX(O184, P185)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0</v>
      </c>
      <c r="J185" s="25" t="n">
        <v>0</v>
      </c>
      <c r="K185" s="25" t="n">
        <v>0</v>
      </c>
      <c r="L185" s="22" t="n">
        <v>0</v>
      </c>
      <c r="M185" s="25">
        <f>K185 * I185</f>
        <v/>
      </c>
      <c r="N185" s="25">
        <f>0</f>
        <v/>
      </c>
      <c r="O185" s="25">
        <f>MAX(M185, N185)</f>
        <v/>
      </c>
      <c r="P185" s="25">
        <f>MAX(O185, P186)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0</v>
      </c>
      <c r="J186" s="24" t="n">
        <v>0</v>
      </c>
      <c r="K186" s="24" t="n">
        <v>0</v>
      </c>
      <c r="L186" s="20" t="n">
        <v>0</v>
      </c>
      <c r="M186" s="24">
        <f>K186 * I186</f>
        <v/>
      </c>
      <c r="N186" s="24">
        <f>0</f>
        <v/>
      </c>
      <c r="O186" s="24">
        <f>MAX(M186, N186)</f>
        <v/>
      </c>
      <c r="P186" s="24">
        <f>MAX(O186, P187)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0</v>
      </c>
      <c r="J187" s="25" t="n">
        <v>0</v>
      </c>
      <c r="K187" s="25" t="n">
        <v>0</v>
      </c>
      <c r="L187" s="22" t="n">
        <v>0</v>
      </c>
      <c r="M187" s="25">
        <f>K187 * I187</f>
        <v/>
      </c>
      <c r="N187" s="25">
        <f>0</f>
        <v/>
      </c>
      <c r="O187" s="25">
        <f>MAX(M187, N187)</f>
        <v/>
      </c>
      <c r="P187" s="25">
        <f>MAX(O187, P188)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0</v>
      </c>
      <c r="J188" s="24" t="n">
        <v>0</v>
      </c>
      <c r="K188" s="24" t="n">
        <v>0</v>
      </c>
      <c r="L188" s="20" t="n">
        <v>0</v>
      </c>
      <c r="M188" s="24">
        <f>K188 * I188</f>
        <v/>
      </c>
      <c r="N188" s="24">
        <f>0</f>
        <v/>
      </c>
      <c r="O188" s="24">
        <f>MAX(M188, N188)</f>
        <v/>
      </c>
      <c r="P188" s="24">
        <f>MAX(O188, P189)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0</v>
      </c>
      <c r="J189" s="25" t="n">
        <v>0</v>
      </c>
      <c r="K189" s="25" t="n">
        <v>0</v>
      </c>
      <c r="L189" s="22" t="n">
        <v>0</v>
      </c>
      <c r="M189" s="25">
        <f>K189 * I189</f>
        <v/>
      </c>
      <c r="N189" s="25">
        <f>0</f>
        <v/>
      </c>
      <c r="O189" s="25">
        <f>MAX(M189, N189)</f>
        <v/>
      </c>
      <c r="P189" s="25">
        <f>MAX(O189, P190)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0</v>
      </c>
      <c r="J190" s="24" t="n">
        <v>0</v>
      </c>
      <c r="K190" s="24" t="n">
        <v>0</v>
      </c>
      <c r="L190" s="20" t="n">
        <v>0</v>
      </c>
      <c r="M190" s="24">
        <f>K190 * I190</f>
        <v/>
      </c>
      <c r="N190" s="24">
        <f>0</f>
        <v/>
      </c>
      <c r="O190" s="24">
        <f>MAX(M190, N190)</f>
        <v/>
      </c>
      <c r="P190" s="24">
        <f>MAX(O190, P191)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0</v>
      </c>
      <c r="J191" s="25" t="n">
        <v>0</v>
      </c>
      <c r="K191" s="25" t="n">
        <v>0</v>
      </c>
      <c r="L191" s="22" t="n">
        <v>0</v>
      </c>
      <c r="M191" s="25">
        <f>K191 * I191</f>
        <v/>
      </c>
      <c r="N191" s="25">
        <f>0</f>
        <v/>
      </c>
      <c r="O191" s="25">
        <f>MAX(M191, N191)</f>
        <v/>
      </c>
      <c r="P191" s="25">
        <f>MAX(O191, P192)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0</v>
      </c>
      <c r="J192" s="24" t="n">
        <v>0</v>
      </c>
      <c r="K192" s="24" t="n">
        <v>0</v>
      </c>
      <c r="L192" s="20" t="n">
        <v>0</v>
      </c>
      <c r="M192" s="24">
        <f>K192 * I192</f>
        <v/>
      </c>
      <c r="N192" s="24">
        <f>0</f>
        <v/>
      </c>
      <c r="O192" s="24">
        <f>MAX(M192, N192)</f>
        <v/>
      </c>
      <c r="P192" s="24">
        <f>MAX(O192, P193)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0</v>
      </c>
      <c r="J193" s="25" t="n">
        <v>0</v>
      </c>
      <c r="K193" s="25" t="n">
        <v>0</v>
      </c>
      <c r="L193" s="22" t="n">
        <v>0</v>
      </c>
      <c r="M193" s="25">
        <f>K193 * I193</f>
        <v/>
      </c>
      <c r="N193" s="25">
        <f>0</f>
        <v/>
      </c>
      <c r="O193" s="25">
        <f>MAX(M193, N193)</f>
        <v/>
      </c>
      <c r="P193" s="25">
        <f>MAX(O193, P194)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0</v>
      </c>
      <c r="J194" s="24" t="n">
        <v>0</v>
      </c>
      <c r="K194" s="24" t="n">
        <v>0</v>
      </c>
      <c r="L194" s="20" t="n">
        <v>0</v>
      </c>
      <c r="M194" s="24">
        <f>K194 * I194</f>
        <v/>
      </c>
      <c r="N194" s="24">
        <f>0</f>
        <v/>
      </c>
      <c r="O194" s="24">
        <f>MAX(M194, N194)</f>
        <v/>
      </c>
      <c r="P194" s="24">
        <f>MAX(O194, P195)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0</v>
      </c>
      <c r="J195" s="25" t="n">
        <v>0</v>
      </c>
      <c r="K195" s="25" t="n">
        <v>0</v>
      </c>
      <c r="L195" s="22" t="n">
        <v>0</v>
      </c>
      <c r="M195" s="25">
        <f>K195 * I195</f>
        <v/>
      </c>
      <c r="N195" s="25">
        <f>0</f>
        <v/>
      </c>
      <c r="O195" s="25">
        <f>MAX(M195, N195)</f>
        <v/>
      </c>
      <c r="P195" s="25">
        <f>MAX(O195, P196)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>0</v>
      </c>
      <c r="J196" s="24" t="n">
        <v>0</v>
      </c>
      <c r="K196" s="24" t="n">
        <v>0</v>
      </c>
      <c r="L196" s="20" t="n">
        <v>0</v>
      </c>
      <c r="M196" s="24">
        <f>K196 * I196</f>
        <v/>
      </c>
      <c r="N196" s="24">
        <f>0</f>
        <v/>
      </c>
      <c r="O196" s="24">
        <f>MAX(M196, N196)</f>
        <v/>
      </c>
      <c r="P196" s="24">
        <f>MAX(O196, P197)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>0</v>
      </c>
      <c r="J197" s="25" t="n">
        <v>0</v>
      </c>
      <c r="K197" s="25" t="n">
        <v>0</v>
      </c>
      <c r="L197" s="22" t="n">
        <v>0</v>
      </c>
      <c r="M197" s="25">
        <f>K197 * I197</f>
        <v/>
      </c>
      <c r="N197" s="25">
        <f>0</f>
        <v/>
      </c>
      <c r="O197" s="25">
        <f>MAX(M197, N197)</f>
        <v/>
      </c>
      <c r="P197" s="25">
        <f>MAX(O197, P198)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>0</v>
      </c>
      <c r="J198" s="24" t="n">
        <v>0</v>
      </c>
      <c r="K198" s="24" t="n">
        <v>0</v>
      </c>
      <c r="L198" s="20" t="n">
        <v>0</v>
      </c>
      <c r="M198" s="24">
        <f>K198 * I198</f>
        <v/>
      </c>
      <c r="N198" s="24">
        <f>0</f>
        <v/>
      </c>
      <c r="O198" s="24">
        <f>MAX(M198, N198)</f>
        <v/>
      </c>
      <c r="P198" s="24">
        <f>MAX(O198, P199)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>0</v>
      </c>
      <c r="J199" s="25" t="n">
        <v>0</v>
      </c>
      <c r="K199" s="25" t="n">
        <v>0</v>
      </c>
      <c r="L199" s="22" t="n">
        <v>0</v>
      </c>
      <c r="M199" s="25">
        <f>K199 * I199</f>
        <v/>
      </c>
      <c r="N199" s="25">
        <f>0</f>
        <v/>
      </c>
      <c r="O199" s="25">
        <f>MAX(M199, N199)</f>
        <v/>
      </c>
      <c r="P199" s="25">
        <f>MAX(O199, P200)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>0</v>
      </c>
      <c r="J200" s="24" t="n">
        <v>0</v>
      </c>
      <c r="K200" s="24" t="n">
        <v>0</v>
      </c>
      <c r="L200" s="20" t="n">
        <v>0</v>
      </c>
      <c r="M200" s="24">
        <f>K200 * I200</f>
        <v/>
      </c>
      <c r="N200" s="24">
        <f>0</f>
        <v/>
      </c>
      <c r="O200" s="24">
        <f>MAX(M200, N200)</f>
        <v/>
      </c>
      <c r="P200" s="24">
        <f>MAX(O200, P201)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>0</v>
      </c>
      <c r="J201" s="25" t="n">
        <v>0</v>
      </c>
      <c r="K201" s="25" t="n">
        <v>0</v>
      </c>
      <c r="L201" s="22" t="n">
        <v>0</v>
      </c>
      <c r="M201" s="25">
        <f>K201 * I201</f>
        <v/>
      </c>
      <c r="N201" s="25">
        <f>0</f>
        <v/>
      </c>
      <c r="O201" s="25">
        <f>MAX(M201, N201)</f>
        <v/>
      </c>
      <c r="P201" s="25">
        <f>MAX(O201, P202)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>0</v>
      </c>
      <c r="J202" s="24" t="n">
        <v>0</v>
      </c>
      <c r="K202" s="24" t="n">
        <v>0</v>
      </c>
      <c r="L202" s="20" t="n">
        <v>0</v>
      </c>
      <c r="M202" s="24">
        <f>K202 * I202</f>
        <v/>
      </c>
      <c r="N202" s="24">
        <f>0</f>
        <v/>
      </c>
      <c r="O202" s="24">
        <f>MAX(M202, N202)</f>
        <v/>
      </c>
      <c r="P202" s="24">
        <f>MAX(O202, P203)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>0</v>
      </c>
      <c r="J203" s="25" t="n">
        <v>0</v>
      </c>
      <c r="K203" s="25" t="n">
        <v>0</v>
      </c>
      <c r="L203" s="22" t="n">
        <v>0</v>
      </c>
      <c r="M203" s="25">
        <f>K203 * I203</f>
        <v/>
      </c>
      <c r="N203" s="25">
        <f>0</f>
        <v/>
      </c>
      <c r="O203" s="25">
        <f>MAX(M203, N203)</f>
        <v/>
      </c>
      <c r="P203" s="25">
        <f>MAX(O203, P204)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>0</v>
      </c>
      <c r="J204" s="24" t="n">
        <v>0</v>
      </c>
      <c r="K204" s="24" t="n">
        <v>0</v>
      </c>
      <c r="L204" s="20" t="n">
        <v>0</v>
      </c>
      <c r="M204" s="24">
        <f>K204 * I204</f>
        <v/>
      </c>
      <c r="N204" s="24">
        <f>0</f>
        <v/>
      </c>
      <c r="O204" s="24">
        <f>MAX(M204, N204)</f>
        <v/>
      </c>
      <c r="P204" s="24">
        <f>MAX(O204, P205)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>0</v>
      </c>
      <c r="J205" s="25" t="n">
        <v>0</v>
      </c>
      <c r="K205" s="25" t="n">
        <v>0</v>
      </c>
      <c r="L205" s="22" t="n">
        <v>0</v>
      </c>
      <c r="M205" s="25">
        <f>K205 * I205</f>
        <v/>
      </c>
      <c r="N205" s="25">
        <f>0</f>
        <v/>
      </c>
      <c r="O205" s="25">
        <f>MAX(M205, N205)</f>
        <v/>
      </c>
      <c r="P205" s="25">
        <f>MAX(O205, P206)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>0</v>
      </c>
      <c r="J206" s="24" t="n">
        <v>0</v>
      </c>
      <c r="K206" s="24" t="n">
        <v>0</v>
      </c>
      <c r="L206" s="20" t="n">
        <v>0</v>
      </c>
      <c r="M206" s="24">
        <f>K206 * I206</f>
        <v/>
      </c>
      <c r="N206" s="24">
        <f>0</f>
        <v/>
      </c>
      <c r="O206" s="24">
        <f>MAX(M206, N206)</f>
        <v/>
      </c>
      <c r="P206" s="24">
        <f>MAX(O206, P207)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>0</v>
      </c>
      <c r="J207" s="25" t="n">
        <v>0</v>
      </c>
      <c r="K207" s="25" t="n">
        <v>0</v>
      </c>
      <c r="L207" s="22" t="n">
        <v>0</v>
      </c>
      <c r="M207" s="25">
        <f>K207 * I207</f>
        <v/>
      </c>
      <c r="N207" s="25">
        <f>0</f>
        <v/>
      </c>
      <c r="O207" s="25">
        <f>MAX(M207, N207)</f>
        <v/>
      </c>
      <c r="P207" s="25">
        <f>MAX(O207, P208)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0</v>
      </c>
      <c r="J208" s="24" t="n">
        <v>0</v>
      </c>
      <c r="K208" s="24" t="n">
        <v>0</v>
      </c>
      <c r="L208" s="20" t="n">
        <v>0</v>
      </c>
      <c r="M208" s="24">
        <f>K208 * I208</f>
        <v/>
      </c>
      <c r="N208" s="24">
        <f>0</f>
        <v/>
      </c>
      <c r="O208" s="24">
        <f>MAX(M208, N208)</f>
        <v/>
      </c>
      <c r="P208" s="24">
        <f>MAX(O208, P209)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0</v>
      </c>
      <c r="J209" s="25" t="n">
        <v>0</v>
      </c>
      <c r="K209" s="25" t="n">
        <v>0</v>
      </c>
      <c r="L209" s="22" t="n">
        <v>0</v>
      </c>
      <c r="M209" s="25">
        <f>K209 * I209</f>
        <v/>
      </c>
      <c r="N209" s="25">
        <f>0</f>
        <v/>
      </c>
      <c r="O209" s="25">
        <f>MAX(M209, N209)</f>
        <v/>
      </c>
      <c r="P209" s="25">
        <f>MAX(O209, P210)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0</v>
      </c>
      <c r="J210" s="24" t="n">
        <v>0</v>
      </c>
      <c r="K210" s="24" t="n">
        <v>0</v>
      </c>
      <c r="L210" s="20" t="n">
        <v>0</v>
      </c>
      <c r="M210" s="24">
        <f>K210 * I210</f>
        <v/>
      </c>
      <c r="N210" s="24">
        <f>0</f>
        <v/>
      </c>
      <c r="O210" s="24">
        <f>MAX(M210, N210)</f>
        <v/>
      </c>
      <c r="P210" s="24">
        <f>MAX(O210, P211)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0</v>
      </c>
      <c r="J211" s="25" t="n">
        <v>0</v>
      </c>
      <c r="K211" s="25" t="n">
        <v>0</v>
      </c>
      <c r="L211" s="22" t="n">
        <v>0</v>
      </c>
      <c r="M211" s="25">
        <f>K211 * I211</f>
        <v/>
      </c>
      <c r="N211" s="25">
        <f>0</f>
        <v/>
      </c>
      <c r="O211" s="25">
        <f>MAX(M211, N211)</f>
        <v/>
      </c>
      <c r="P211" s="25">
        <f>MAX(O211, P212)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0</v>
      </c>
      <c r="J212" s="24" t="n">
        <v>0</v>
      </c>
      <c r="K212" s="24" t="n">
        <v>0</v>
      </c>
      <c r="L212" s="20" t="n">
        <v>0</v>
      </c>
      <c r="M212" s="24">
        <f>K212 * I212</f>
        <v/>
      </c>
      <c r="N212" s="24">
        <f>0</f>
        <v/>
      </c>
      <c r="O212" s="24">
        <f>MAX(M212, N212)</f>
        <v/>
      </c>
      <c r="P212" s="24">
        <f>MAX(O212, P213)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0</v>
      </c>
      <c r="J213" s="25" t="n">
        <v>0</v>
      </c>
      <c r="K213" s="25" t="n">
        <v>0</v>
      </c>
      <c r="L213" s="22" t="n">
        <v>0</v>
      </c>
      <c r="M213" s="25">
        <f>K213 * I213</f>
        <v/>
      </c>
      <c r="N213" s="25">
        <f>0</f>
        <v/>
      </c>
      <c r="O213" s="25">
        <f>MAX(M213, N213)</f>
        <v/>
      </c>
      <c r="P213" s="25">
        <f>MAX(O213, P214)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0</v>
      </c>
      <c r="J214" s="24" t="n">
        <v>0</v>
      </c>
      <c r="K214" s="24" t="n">
        <v>0</v>
      </c>
      <c r="L214" s="20" t="n">
        <v>0</v>
      </c>
      <c r="M214" s="24">
        <f>K214 * I214</f>
        <v/>
      </c>
      <c r="N214" s="24">
        <f>0</f>
        <v/>
      </c>
      <c r="O214" s="24">
        <f>MAX(M214, N214)</f>
        <v/>
      </c>
      <c r="P214" s="24">
        <f>MAX(O214, P215)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0</v>
      </c>
      <c r="J215" s="25" t="n">
        <v>0</v>
      </c>
      <c r="K215" s="25" t="n">
        <v>0</v>
      </c>
      <c r="L215" s="22" t="n">
        <v>0</v>
      </c>
      <c r="M215" s="25">
        <f>K215 * I215</f>
        <v/>
      </c>
      <c r="N215" s="25">
        <f>0</f>
        <v/>
      </c>
      <c r="O215" s="25">
        <f>MAX(M215, N215)</f>
        <v/>
      </c>
      <c r="P215" s="25">
        <f>MAX(O215, P216)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0</v>
      </c>
      <c r="J216" s="24" t="n">
        <v>0</v>
      </c>
      <c r="K216" s="24" t="n">
        <v>0</v>
      </c>
      <c r="L216" s="20" t="n">
        <v>0</v>
      </c>
      <c r="M216" s="24">
        <f>K216 * I216</f>
        <v/>
      </c>
      <c r="N216" s="24">
        <f>0</f>
        <v/>
      </c>
      <c r="O216" s="24">
        <f>MAX(M216, N216)</f>
        <v/>
      </c>
      <c r="P216" s="24">
        <f>MAX(O216, P217)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0</v>
      </c>
      <c r="J217" s="25" t="n">
        <v>0</v>
      </c>
      <c r="K217" s="25" t="n">
        <v>0</v>
      </c>
      <c r="L217" s="22" t="n">
        <v>0</v>
      </c>
      <c r="M217" s="25">
        <f>K217 * I217</f>
        <v/>
      </c>
      <c r="N217" s="25">
        <f>0</f>
        <v/>
      </c>
      <c r="O217" s="25">
        <f>MAX(M217, N217)</f>
        <v/>
      </c>
      <c r="P217" s="25">
        <f>MAX(O217, P218)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0</v>
      </c>
      <c r="J218" s="24" t="n">
        <v>0</v>
      </c>
      <c r="K218" s="24" t="n">
        <v>0</v>
      </c>
      <c r="L218" s="20" t="n">
        <v>0</v>
      </c>
      <c r="M218" s="24">
        <f>K218 * I218</f>
        <v/>
      </c>
      <c r="N218" s="24">
        <f>0</f>
        <v/>
      </c>
      <c r="O218" s="24">
        <f>MAX(M218, N218)</f>
        <v/>
      </c>
      <c r="P218" s="24">
        <f>MAX(O218, P219)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0</v>
      </c>
      <c r="J219" s="25" t="n">
        <v>0</v>
      </c>
      <c r="K219" s="25" t="n">
        <v>0</v>
      </c>
      <c r="L219" s="22" t="n">
        <v>0</v>
      </c>
      <c r="M219" s="25">
        <f>K219 * I219</f>
        <v/>
      </c>
      <c r="N219" s="25">
        <f>0</f>
        <v/>
      </c>
      <c r="O219" s="25">
        <f>MAX(M219, N219)</f>
        <v/>
      </c>
      <c r="P219" s="25">
        <f>MAX(O219, P220)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0</v>
      </c>
      <c r="J220" s="24" t="n">
        <v>0</v>
      </c>
      <c r="K220" s="24" t="n">
        <v>0</v>
      </c>
      <c r="L220" s="20" t="n">
        <v>0</v>
      </c>
      <c r="M220" s="24">
        <f>K220 * I220</f>
        <v/>
      </c>
      <c r="N220" s="24">
        <f>0</f>
        <v/>
      </c>
      <c r="O220" s="24">
        <f>MAX(M220, N220)</f>
        <v/>
      </c>
      <c r="P220" s="24">
        <f>MAX(O220, P221)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0</v>
      </c>
      <c r="J221" s="25" t="n">
        <v>0</v>
      </c>
      <c r="K221" s="25" t="n">
        <v>0</v>
      </c>
      <c r="L221" s="22" t="n">
        <v>0</v>
      </c>
      <c r="M221" s="25">
        <f>K221 * I221</f>
        <v/>
      </c>
      <c r="N221" s="25">
        <f>0</f>
        <v/>
      </c>
      <c r="O221" s="25">
        <f>MAX(M221, N221)</f>
        <v/>
      </c>
      <c r="P221" s="25">
        <f>MAX(O221, P222)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0</v>
      </c>
      <c r="J222" s="24" t="n">
        <v>0</v>
      </c>
      <c r="K222" s="24" t="n">
        <v>0</v>
      </c>
      <c r="L222" s="20" t="n">
        <v>0</v>
      </c>
      <c r="M222" s="24">
        <f>K222 * I222</f>
        <v/>
      </c>
      <c r="N222" s="24">
        <f>0</f>
        <v/>
      </c>
      <c r="O222" s="24">
        <f>MAX(M222, N222)</f>
        <v/>
      </c>
      <c r="P222" s="24">
        <f>MAX(O222, P223)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0</v>
      </c>
      <c r="J223" s="25" t="n">
        <v>0</v>
      </c>
      <c r="K223" s="25" t="n">
        <v>0</v>
      </c>
      <c r="L223" s="22" t="n">
        <v>0</v>
      </c>
      <c r="M223" s="25">
        <f>K223 * I223</f>
        <v/>
      </c>
      <c r="N223" s="25">
        <f>0</f>
        <v/>
      </c>
      <c r="O223" s="25">
        <f>MAX(M223, N223)</f>
        <v/>
      </c>
      <c r="P223" s="25">
        <f>MAX(O223, P224)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0</v>
      </c>
      <c r="J224" s="24" t="n">
        <v>0</v>
      </c>
      <c r="K224" s="24" t="n">
        <v>0</v>
      </c>
      <c r="L224" s="20" t="n">
        <v>0</v>
      </c>
      <c r="M224" s="24">
        <f>K224 * I224</f>
        <v/>
      </c>
      <c r="N224" s="24">
        <f>0</f>
        <v/>
      </c>
      <c r="O224" s="24">
        <f>MAX(M224, N224)</f>
        <v/>
      </c>
      <c r="P224" s="24">
        <f>MAX(O224, P225)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0</v>
      </c>
      <c r="J225" s="25" t="n">
        <v>0</v>
      </c>
      <c r="K225" s="25" t="n">
        <v>0</v>
      </c>
      <c r="L225" s="22" t="n">
        <v>0</v>
      </c>
      <c r="M225" s="25">
        <f>K225 * I225</f>
        <v/>
      </c>
      <c r="N225" s="25">
        <f>0</f>
        <v/>
      </c>
      <c r="O225" s="25">
        <f>MAX(M225, N225)</f>
        <v/>
      </c>
      <c r="P225" s="25">
        <f>MAX(O225, P226)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0</v>
      </c>
      <c r="J226" s="24" t="n">
        <v>0</v>
      </c>
      <c r="K226" s="24" t="n">
        <v>0</v>
      </c>
      <c r="L226" s="20" t="n">
        <v>0</v>
      </c>
      <c r="M226" s="24">
        <f>K226 * I226</f>
        <v/>
      </c>
      <c r="N226" s="24">
        <f>0</f>
        <v/>
      </c>
      <c r="O226" s="24">
        <f>MAX(M226, N226)</f>
        <v/>
      </c>
      <c r="P226" s="24">
        <f>MAX(O226, P227)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0</v>
      </c>
      <c r="J227" s="25" t="n">
        <v>0</v>
      </c>
      <c r="K227" s="25" t="n">
        <v>0</v>
      </c>
      <c r="L227" s="22" t="n">
        <v>0</v>
      </c>
      <c r="M227" s="25">
        <f>K227 * I227</f>
        <v/>
      </c>
      <c r="N227" s="25">
        <f>0</f>
        <v/>
      </c>
      <c r="O227" s="25">
        <f>MAX(M227, N227)</f>
        <v/>
      </c>
      <c r="P227" s="25">
        <f>MAX(O227, P228)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0</v>
      </c>
      <c r="J228" s="24" t="n">
        <v>0</v>
      </c>
      <c r="K228" s="24" t="n">
        <v>0</v>
      </c>
      <c r="L228" s="20" t="n">
        <v>0</v>
      </c>
      <c r="M228" s="24">
        <f>K228 * I228</f>
        <v/>
      </c>
      <c r="N228" s="24">
        <f>0</f>
        <v/>
      </c>
      <c r="O228" s="24">
        <f>MAX(M228, N228)</f>
        <v/>
      </c>
      <c r="P228" s="24">
        <f>MAX(O228, P229)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0</v>
      </c>
      <c r="J229" s="25" t="n">
        <v>0</v>
      </c>
      <c r="K229" s="25" t="n">
        <v>0</v>
      </c>
      <c r="L229" s="22" t="n">
        <v>0</v>
      </c>
      <c r="M229" s="25">
        <f>K229 * I229</f>
        <v/>
      </c>
      <c r="N229" s="25">
        <f>0</f>
        <v/>
      </c>
      <c r="O229" s="25">
        <f>MAX(M229, N229)</f>
        <v/>
      </c>
      <c r="P229" s="25">
        <f>MAX(O229, P230)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0</v>
      </c>
      <c r="J230" s="24" t="n">
        <v>0</v>
      </c>
      <c r="K230" s="24" t="n">
        <v>0</v>
      </c>
      <c r="L230" s="20" t="n">
        <v>0</v>
      </c>
      <c r="M230" s="24">
        <f>K230 * I230</f>
        <v/>
      </c>
      <c r="N230" s="24">
        <f>0</f>
        <v/>
      </c>
      <c r="O230" s="24">
        <f>MAX(M230, N230)</f>
        <v/>
      </c>
      <c r="P230" s="24">
        <f>MAX(O230, P231)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0</v>
      </c>
      <c r="J231" s="25" t="n">
        <v>0</v>
      </c>
      <c r="K231" s="25" t="n">
        <v>0</v>
      </c>
      <c r="L231" s="22" t="n">
        <v>0</v>
      </c>
      <c r="M231" s="25">
        <f>K231 * I231</f>
        <v/>
      </c>
      <c r="N231" s="25">
        <f>0</f>
        <v/>
      </c>
      <c r="O231" s="25">
        <f>MAX(M231, N231)</f>
        <v/>
      </c>
      <c r="P231" s="25">
        <f>MAX(O231, P232)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>0</v>
      </c>
      <c r="J232" s="24" t="n">
        <v>0</v>
      </c>
      <c r="K232" s="24" t="n">
        <v>0</v>
      </c>
      <c r="L232" s="20" t="n">
        <v>0</v>
      </c>
      <c r="M232" s="24">
        <f>K232 * I232</f>
        <v/>
      </c>
      <c r="N232" s="24">
        <f>0</f>
        <v/>
      </c>
      <c r="O232" s="24">
        <f>MAX(M232, N232)</f>
        <v/>
      </c>
      <c r="P232" s="24">
        <f>MAX(O232, P233)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>0</v>
      </c>
      <c r="J233" s="25" t="n">
        <v>0</v>
      </c>
      <c r="K233" s="25" t="n">
        <v>0</v>
      </c>
      <c r="L233" s="22" t="n">
        <v>0</v>
      </c>
      <c r="M233" s="25">
        <f>K233 * I233</f>
        <v/>
      </c>
      <c r="N233" s="25">
        <f>0</f>
        <v/>
      </c>
      <c r="O233" s="25">
        <f>MAX(M233, N233)</f>
        <v/>
      </c>
      <c r="P233" s="25">
        <f>MAX(O233, P234)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>0</v>
      </c>
      <c r="J234" s="24" t="n">
        <v>0</v>
      </c>
      <c r="K234" s="24" t="n">
        <v>0</v>
      </c>
      <c r="L234" s="20" t="n">
        <v>0</v>
      </c>
      <c r="M234" s="24">
        <f>K234 * I234</f>
        <v/>
      </c>
      <c r="N234" s="24">
        <f>0</f>
        <v/>
      </c>
      <c r="O234" s="24">
        <f>MAX(M234, N234)</f>
        <v/>
      </c>
      <c r="P234" s="24">
        <f>MAX(O234, P235)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>0</v>
      </c>
      <c r="J235" s="25" t="n">
        <v>0</v>
      </c>
      <c r="K235" s="25" t="n">
        <v>0</v>
      </c>
      <c r="L235" s="22" t="n">
        <v>0</v>
      </c>
      <c r="M235" s="25">
        <f>K235 * I235</f>
        <v/>
      </c>
      <c r="N235" s="25">
        <f>0</f>
        <v/>
      </c>
      <c r="O235" s="25">
        <f>MAX(M235, N235)</f>
        <v/>
      </c>
      <c r="P235" s="25">
        <f>MAX(O235, P236)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>0</v>
      </c>
      <c r="J236" s="24" t="n">
        <v>0</v>
      </c>
      <c r="K236" s="24" t="n">
        <v>0</v>
      </c>
      <c r="L236" s="20" t="n">
        <v>0</v>
      </c>
      <c r="M236" s="24">
        <f>K236 * I236</f>
        <v/>
      </c>
      <c r="N236" s="24">
        <f>0</f>
        <v/>
      </c>
      <c r="O236" s="24">
        <f>MAX(M236, N236)</f>
        <v/>
      </c>
      <c r="P236" s="24">
        <f>MAX(O236, P237)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>0</v>
      </c>
      <c r="J237" s="25" t="n">
        <v>0</v>
      </c>
      <c r="K237" s="25" t="n">
        <v>0</v>
      </c>
      <c r="L237" s="22" t="n">
        <v>0</v>
      </c>
      <c r="M237" s="25">
        <f>K237 * I237</f>
        <v/>
      </c>
      <c r="N237" s="25">
        <f>0</f>
        <v/>
      </c>
      <c r="O237" s="25">
        <f>MAX(M237, N237)</f>
        <v/>
      </c>
      <c r="P237" s="25">
        <f>MAX(O237, P238)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>0</v>
      </c>
      <c r="J238" s="24" t="n">
        <v>0</v>
      </c>
      <c r="K238" s="24" t="n">
        <v>0</v>
      </c>
      <c r="L238" s="20" t="n">
        <v>0</v>
      </c>
      <c r="M238" s="24">
        <f>K238 * I238</f>
        <v/>
      </c>
      <c r="N238" s="24">
        <f>0</f>
        <v/>
      </c>
      <c r="O238" s="24">
        <f>MAX(M238, N238)</f>
        <v/>
      </c>
      <c r="P238" s="24">
        <f>MAX(O238, P239)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>0</v>
      </c>
      <c r="J239" s="25" t="n">
        <v>0</v>
      </c>
      <c r="K239" s="25" t="n">
        <v>0</v>
      </c>
      <c r="L239" s="22" t="n">
        <v>0</v>
      </c>
      <c r="M239" s="25">
        <f>K239 * I239</f>
        <v/>
      </c>
      <c r="N239" s="25">
        <f>0</f>
        <v/>
      </c>
      <c r="O239" s="25">
        <f>MAX(M239, N239)</f>
        <v/>
      </c>
      <c r="P239" s="25">
        <f>MAX(O239, P240)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>0</v>
      </c>
      <c r="J240" s="24" t="n">
        <v>0</v>
      </c>
      <c r="K240" s="24" t="n">
        <v>0</v>
      </c>
      <c r="L240" s="20" t="n">
        <v>0</v>
      </c>
      <c r="M240" s="24">
        <f>K240 * I240</f>
        <v/>
      </c>
      <c r="N240" s="24">
        <f>0</f>
        <v/>
      </c>
      <c r="O240" s="24">
        <f>MAX(M240, N240)</f>
        <v/>
      </c>
      <c r="P240" s="24">
        <f>MAX(O240, P241)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>0</v>
      </c>
      <c r="J241" s="25" t="n">
        <v>0</v>
      </c>
      <c r="K241" s="25" t="n">
        <v>0</v>
      </c>
      <c r="L241" s="22" t="n">
        <v>0</v>
      </c>
      <c r="M241" s="25">
        <f>K241 * I241</f>
        <v/>
      </c>
      <c r="N241" s="25">
        <f>0</f>
        <v/>
      </c>
      <c r="O241" s="25">
        <f>MAX(M241, N241)</f>
        <v/>
      </c>
      <c r="P241" s="25">
        <f>MAX(O241, P242)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>0</v>
      </c>
      <c r="J242" s="24" t="n">
        <v>0</v>
      </c>
      <c r="K242" s="24" t="n">
        <v>0</v>
      </c>
      <c r="L242" s="20" t="n">
        <v>0</v>
      </c>
      <c r="M242" s="24">
        <f>K242 * I242</f>
        <v/>
      </c>
      <c r="N242" s="24">
        <f>0</f>
        <v/>
      </c>
      <c r="O242" s="24">
        <f>MAX(M242, N242)</f>
        <v/>
      </c>
      <c r="P242" s="24">
        <f>MAX(O242, P243)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>0</v>
      </c>
      <c r="J243" s="25" t="n">
        <v>0</v>
      </c>
      <c r="K243" s="25" t="n">
        <v>0</v>
      </c>
      <c r="L243" s="22" t="n">
        <v>0</v>
      </c>
      <c r="M243" s="25">
        <f>K243 * I243</f>
        <v/>
      </c>
      <c r="N243" s="25">
        <f>0</f>
        <v/>
      </c>
      <c r="O243" s="25">
        <f>MAX(M243, N243)</f>
        <v/>
      </c>
      <c r="P243" s="25">
        <f>MAX(O243, P244)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0</v>
      </c>
      <c r="J244" s="24" t="n">
        <v>0</v>
      </c>
      <c r="K244" s="24" t="n">
        <v>0</v>
      </c>
      <c r="L244" s="20" t="n">
        <v>0</v>
      </c>
      <c r="M244" s="24">
        <f>K244 * I244</f>
        <v/>
      </c>
      <c r="N244" s="24">
        <f>0</f>
        <v/>
      </c>
      <c r="O244" s="24">
        <f>MAX(M244, N244)</f>
        <v/>
      </c>
      <c r="P244" s="24">
        <f>MAX(O244, P245)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0</v>
      </c>
      <c r="J245" s="25" t="n">
        <v>0</v>
      </c>
      <c r="K245" s="25" t="n">
        <v>0</v>
      </c>
      <c r="L245" s="22" t="n">
        <v>0</v>
      </c>
      <c r="M245" s="25">
        <f>K245 * I245</f>
        <v/>
      </c>
      <c r="N245" s="25">
        <f>0</f>
        <v/>
      </c>
      <c r="O245" s="25">
        <f>MAX(M245, N245)</f>
        <v/>
      </c>
      <c r="P245" s="25">
        <f>MAX(O245, P246)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0</v>
      </c>
      <c r="J246" s="24" t="n">
        <v>0</v>
      </c>
      <c r="K246" s="24" t="n">
        <v>0</v>
      </c>
      <c r="L246" s="20" t="n">
        <v>0</v>
      </c>
      <c r="M246" s="24">
        <f>K246 * I246</f>
        <v/>
      </c>
      <c r="N246" s="24">
        <f>0</f>
        <v/>
      </c>
      <c r="O246" s="24">
        <f>MAX(M246, N246)</f>
        <v/>
      </c>
      <c r="P246" s="24">
        <f>MAX(O246, P247)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0</v>
      </c>
      <c r="J247" s="25" t="n">
        <v>0</v>
      </c>
      <c r="K247" s="25" t="n">
        <v>0</v>
      </c>
      <c r="L247" s="22" t="n">
        <v>0</v>
      </c>
      <c r="M247" s="25">
        <f>K247 * I247</f>
        <v/>
      </c>
      <c r="N247" s="25">
        <f>0</f>
        <v/>
      </c>
      <c r="O247" s="25">
        <f>MAX(M247, N247)</f>
        <v/>
      </c>
      <c r="P247" s="25">
        <f>MAX(O247, P248)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0</v>
      </c>
      <c r="J248" s="24" t="n">
        <v>0</v>
      </c>
      <c r="K248" s="24" t="n">
        <v>0</v>
      </c>
      <c r="L248" s="20" t="n">
        <v>0</v>
      </c>
      <c r="M248" s="24">
        <f>K248 * I248</f>
        <v/>
      </c>
      <c r="N248" s="24">
        <f>0</f>
        <v/>
      </c>
      <c r="O248" s="24">
        <f>MAX(M248, N248)</f>
        <v/>
      </c>
      <c r="P248" s="24">
        <f>MAX(O248, P249)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0</v>
      </c>
      <c r="J249" s="25" t="n">
        <v>0</v>
      </c>
      <c r="K249" s="25" t="n">
        <v>0</v>
      </c>
      <c r="L249" s="22" t="n">
        <v>0</v>
      </c>
      <c r="M249" s="25">
        <f>K249 * I249</f>
        <v/>
      </c>
      <c r="N249" s="25">
        <f>0</f>
        <v/>
      </c>
      <c r="O249" s="25">
        <f>MAX(M249, N249)</f>
        <v/>
      </c>
      <c r="P249" s="25">
        <f>MAX(O249, P250)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0</v>
      </c>
      <c r="J250" s="24" t="n">
        <v>0</v>
      </c>
      <c r="K250" s="24" t="n">
        <v>0</v>
      </c>
      <c r="L250" s="20" t="n">
        <v>0</v>
      </c>
      <c r="M250" s="24">
        <f>K250 * I250</f>
        <v/>
      </c>
      <c r="N250" s="24">
        <f>0</f>
        <v/>
      </c>
      <c r="O250" s="24">
        <f>MAX(M250, N250)</f>
        <v/>
      </c>
      <c r="P250" s="24">
        <f>MAX(O250, P251)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0</v>
      </c>
      <c r="J251" s="25" t="n">
        <v>0</v>
      </c>
      <c r="K251" s="25" t="n">
        <v>0</v>
      </c>
      <c r="L251" s="22" t="n">
        <v>0</v>
      </c>
      <c r="M251" s="25">
        <f>K251 * I251</f>
        <v/>
      </c>
      <c r="N251" s="25">
        <f>0</f>
        <v/>
      </c>
      <c r="O251" s="25">
        <f>MAX(M251, N251)</f>
        <v/>
      </c>
      <c r="P251" s="25">
        <f>MAX(O251, P252)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0</v>
      </c>
      <c r="J252" s="24" t="n">
        <v>0</v>
      </c>
      <c r="K252" s="24" t="n">
        <v>0</v>
      </c>
      <c r="L252" s="20" t="n">
        <v>0</v>
      </c>
      <c r="M252" s="24">
        <f>K252 * I252</f>
        <v/>
      </c>
      <c r="N252" s="24">
        <f>0</f>
        <v/>
      </c>
      <c r="O252" s="24">
        <f>MAX(M252, N252)</f>
        <v/>
      </c>
      <c r="P252" s="24">
        <f>MAX(O252, P253)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0</v>
      </c>
      <c r="J253" s="25" t="n">
        <v>0</v>
      </c>
      <c r="K253" s="25" t="n">
        <v>0</v>
      </c>
      <c r="L253" s="22" t="n">
        <v>0</v>
      </c>
      <c r="M253" s="25">
        <f>K253 * I253</f>
        <v/>
      </c>
      <c r="N253" s="25">
        <f>0</f>
        <v/>
      </c>
      <c r="O253" s="25">
        <f>MAX(M253, N253)</f>
        <v/>
      </c>
      <c r="P253" s="25">
        <f>MAX(O253, P254)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0</v>
      </c>
      <c r="J254" s="24" t="n">
        <v>0</v>
      </c>
      <c r="K254" s="24" t="n">
        <v>0</v>
      </c>
      <c r="L254" s="20" t="n">
        <v>0</v>
      </c>
      <c r="M254" s="24">
        <f>K254 * I254</f>
        <v/>
      </c>
      <c r="N254" s="24">
        <f>0</f>
        <v/>
      </c>
      <c r="O254" s="24">
        <f>MAX(M254, N254)</f>
        <v/>
      </c>
      <c r="P254" s="24">
        <f>MAX(O254, P255)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0</v>
      </c>
      <c r="J255" s="25" t="n">
        <v>0</v>
      </c>
      <c r="K255" s="25" t="n">
        <v>0</v>
      </c>
      <c r="L255" s="22" t="n">
        <v>0</v>
      </c>
      <c r="M255" s="25">
        <f>K255 * I255</f>
        <v/>
      </c>
      <c r="N255" s="25">
        <f>0</f>
        <v/>
      </c>
      <c r="O255" s="25">
        <f>MAX(M255, N255)</f>
        <v/>
      </c>
      <c r="P255" s="25">
        <f>MAX(O255, P256)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0</v>
      </c>
      <c r="J256" s="24" t="n">
        <v>0</v>
      </c>
      <c r="K256" s="24" t="n">
        <v>0</v>
      </c>
      <c r="L256" s="20" t="n">
        <v>0</v>
      </c>
      <c r="M256" s="24">
        <f>K256 * I256</f>
        <v/>
      </c>
      <c r="N256" s="24">
        <f>0</f>
        <v/>
      </c>
      <c r="O256" s="24">
        <f>MAX(M256, N256)</f>
        <v/>
      </c>
      <c r="P256" s="24">
        <f>MAX(O256, P257)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0</v>
      </c>
      <c r="J257" s="25" t="n">
        <v>0</v>
      </c>
      <c r="K257" s="25" t="n">
        <v>0</v>
      </c>
      <c r="L257" s="22" t="n">
        <v>0</v>
      </c>
      <c r="M257" s="25">
        <f>K257 * I257</f>
        <v/>
      </c>
      <c r="N257" s="25">
        <f>0</f>
        <v/>
      </c>
      <c r="O257" s="25">
        <f>MAX(M257, N257)</f>
        <v/>
      </c>
      <c r="P257" s="25">
        <f>MAX(O257, P258)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0</v>
      </c>
      <c r="J258" s="24" t="n">
        <v>0</v>
      </c>
      <c r="K258" s="24" t="n">
        <v>0</v>
      </c>
      <c r="L258" s="20" t="n">
        <v>0</v>
      </c>
      <c r="M258" s="24">
        <f>K258 * I258</f>
        <v/>
      </c>
      <c r="N258" s="24">
        <f>0</f>
        <v/>
      </c>
      <c r="O258" s="24">
        <f>MAX(M258, N258)</f>
        <v/>
      </c>
      <c r="P258" s="24">
        <f>MAX(O258, P259)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0</v>
      </c>
      <c r="J259" s="25" t="n">
        <v>0</v>
      </c>
      <c r="K259" s="25" t="n">
        <v>0</v>
      </c>
      <c r="L259" s="22" t="n">
        <v>0</v>
      </c>
      <c r="M259" s="25">
        <f>K259 * I259</f>
        <v/>
      </c>
      <c r="N259" s="25">
        <f>0</f>
        <v/>
      </c>
      <c r="O259" s="25">
        <f>MAX(M259, N259)</f>
        <v/>
      </c>
      <c r="P259" s="25">
        <f>MAX(O259, P260)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0</v>
      </c>
      <c r="J260" s="24" t="n">
        <v>0</v>
      </c>
      <c r="K260" s="24" t="n">
        <v>0</v>
      </c>
      <c r="L260" s="20" t="n">
        <v>0</v>
      </c>
      <c r="M260" s="24">
        <f>K260 * I260</f>
        <v/>
      </c>
      <c r="N260" s="24">
        <f>0</f>
        <v/>
      </c>
      <c r="O260" s="24">
        <f>MAX(M260, N260)</f>
        <v/>
      </c>
      <c r="P260" s="24">
        <f>MAX(O260, P261)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0</v>
      </c>
      <c r="J261" s="25" t="n">
        <v>0</v>
      </c>
      <c r="K261" s="25" t="n">
        <v>0</v>
      </c>
      <c r="L261" s="22" t="n">
        <v>0</v>
      </c>
      <c r="M261" s="25">
        <f>K261 * I261</f>
        <v/>
      </c>
      <c r="N261" s="25">
        <f>0</f>
        <v/>
      </c>
      <c r="O261" s="25">
        <f>MAX(M261, N261)</f>
        <v/>
      </c>
      <c r="P261" s="25">
        <f>MAX(O261, P262)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0</v>
      </c>
      <c r="J262" s="24" t="n">
        <v>0</v>
      </c>
      <c r="K262" s="24" t="n">
        <v>0</v>
      </c>
      <c r="L262" s="20" t="n">
        <v>0</v>
      </c>
      <c r="M262" s="24">
        <f>K262 * I262</f>
        <v/>
      </c>
      <c r="N262" s="24">
        <f>0</f>
        <v/>
      </c>
      <c r="O262" s="24">
        <f>MAX(M262, N262)</f>
        <v/>
      </c>
      <c r="P262" s="24">
        <f>MAX(O262, P263)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0</v>
      </c>
      <c r="J263" s="25" t="n">
        <v>0</v>
      </c>
      <c r="K263" s="25" t="n">
        <v>0</v>
      </c>
      <c r="L263" s="22" t="n">
        <v>0</v>
      </c>
      <c r="M263" s="25">
        <f>K263 * I263</f>
        <v/>
      </c>
      <c r="N263" s="25">
        <f>0</f>
        <v/>
      </c>
      <c r="O263" s="25">
        <f>MAX(M263, N263)</f>
        <v/>
      </c>
      <c r="P263" s="25">
        <f>MAX(O263, P264)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0</v>
      </c>
      <c r="J264" s="24" t="n">
        <v>0</v>
      </c>
      <c r="K264" s="24" t="n">
        <v>0</v>
      </c>
      <c r="L264" s="20" t="n">
        <v>0</v>
      </c>
      <c r="M264" s="24">
        <f>K264 * I264</f>
        <v/>
      </c>
      <c r="N264" s="24">
        <f>0</f>
        <v/>
      </c>
      <c r="O264" s="24">
        <f>MAX(M264, N264)</f>
        <v/>
      </c>
      <c r="P264" s="24">
        <f>MAX(O264, P265)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0</v>
      </c>
      <c r="J265" s="25" t="n">
        <v>0</v>
      </c>
      <c r="K265" s="25" t="n">
        <v>0</v>
      </c>
      <c r="L265" s="22" t="n">
        <v>0</v>
      </c>
      <c r="M265" s="25">
        <f>K265 * I265</f>
        <v/>
      </c>
      <c r="N265" s="25">
        <f>0</f>
        <v/>
      </c>
      <c r="O265" s="25">
        <f>MAX(M265, N265)</f>
        <v/>
      </c>
      <c r="P265" s="25">
        <f>MAX(O265, P266)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0</v>
      </c>
      <c r="J266" s="24" t="n">
        <v>0</v>
      </c>
      <c r="K266" s="24" t="n">
        <v>0</v>
      </c>
      <c r="L266" s="20" t="n">
        <v>0</v>
      </c>
      <c r="M266" s="24">
        <f>K266 * I266</f>
        <v/>
      </c>
      <c r="N266" s="24">
        <f>0</f>
        <v/>
      </c>
      <c r="O266" s="24">
        <f>MAX(M266, N266)</f>
        <v/>
      </c>
      <c r="P266" s="24">
        <f>MAX(O266, P267)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0</v>
      </c>
      <c r="J267" s="25" t="n">
        <v>0</v>
      </c>
      <c r="K267" s="25" t="n">
        <v>0</v>
      </c>
      <c r="L267" s="22" t="n">
        <v>0</v>
      </c>
      <c r="M267" s="25">
        <f>K267 * I267</f>
        <v/>
      </c>
      <c r="N267" s="25">
        <f>0</f>
        <v/>
      </c>
      <c r="O267" s="25">
        <f>MAX(M267, N267)</f>
        <v/>
      </c>
      <c r="P267" s="25">
        <f>MAX(O267, P268)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0</v>
      </c>
      <c r="J268" s="24" t="n">
        <v>0</v>
      </c>
      <c r="K268" s="24" t="n">
        <v>0</v>
      </c>
      <c r="L268" s="20" t="n">
        <v>0</v>
      </c>
      <c r="M268" s="24">
        <f>K268 * I268</f>
        <v/>
      </c>
      <c r="N268" s="24">
        <f>0</f>
        <v/>
      </c>
      <c r="O268" s="24">
        <f>MAX(M268, N268)</f>
        <v/>
      </c>
      <c r="P268" s="24">
        <f>MAX(O268, P269)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0</v>
      </c>
      <c r="J269" s="25" t="n">
        <v>0</v>
      </c>
      <c r="K269" s="25" t="n">
        <v>0</v>
      </c>
      <c r="L269" s="22" t="n">
        <v>0</v>
      </c>
      <c r="M269" s="25">
        <f>K269 * I269</f>
        <v/>
      </c>
      <c r="N269" s="25">
        <f>0</f>
        <v/>
      </c>
      <c r="O269" s="25">
        <f>MAX(M269, N269)</f>
        <v/>
      </c>
      <c r="P269" s="25">
        <f>MAX(O269, P270)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0</v>
      </c>
      <c r="J270" s="24" t="n">
        <v>0</v>
      </c>
      <c r="K270" s="24" t="n">
        <v>0</v>
      </c>
      <c r="L270" s="20" t="n">
        <v>0</v>
      </c>
      <c r="M270" s="24">
        <f>K270 * I270</f>
        <v/>
      </c>
      <c r="N270" s="24">
        <f>0</f>
        <v/>
      </c>
      <c r="O270" s="24">
        <f>MAX(M270, N270)</f>
        <v/>
      </c>
      <c r="P270" s="24">
        <f>MAX(O270, P271)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0</v>
      </c>
      <c r="J271" s="25" t="n">
        <v>0</v>
      </c>
      <c r="K271" s="25" t="n">
        <v>0</v>
      </c>
      <c r="L271" s="22" t="n">
        <v>0</v>
      </c>
      <c r="M271" s="25">
        <f>K271 * I271</f>
        <v/>
      </c>
      <c r="N271" s="25">
        <f>0</f>
        <v/>
      </c>
      <c r="O271" s="25">
        <f>MAX(M271, N271)</f>
        <v/>
      </c>
      <c r="P271" s="25">
        <f>MAX(O271, P272)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0</v>
      </c>
      <c r="J272" s="24" t="n">
        <v>0</v>
      </c>
      <c r="K272" s="24" t="n">
        <v>0</v>
      </c>
      <c r="L272" s="20" t="n">
        <v>0</v>
      </c>
      <c r="M272" s="24">
        <f>K272 * I272</f>
        <v/>
      </c>
      <c r="N272" s="24">
        <f>0</f>
        <v/>
      </c>
      <c r="O272" s="24">
        <f>MAX(M272, N272)</f>
        <v/>
      </c>
      <c r="P272" s="24">
        <f>MAX(O272, P273)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0</v>
      </c>
      <c r="J273" s="25" t="n">
        <v>0</v>
      </c>
      <c r="K273" s="25" t="n">
        <v>0</v>
      </c>
      <c r="L273" s="22" t="n">
        <v>0</v>
      </c>
      <c r="M273" s="25">
        <f>K273 * I273</f>
        <v/>
      </c>
      <c r="N273" s="25">
        <f>0</f>
        <v/>
      </c>
      <c r="O273" s="25">
        <f>MAX(M273, N273)</f>
        <v/>
      </c>
      <c r="P273" s="25">
        <f>MAX(O273, P274)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0</v>
      </c>
      <c r="J274" s="24" t="n">
        <v>0</v>
      </c>
      <c r="K274" s="24" t="n">
        <v>0</v>
      </c>
      <c r="L274" s="20" t="n">
        <v>0</v>
      </c>
      <c r="M274" s="24">
        <f>K274 * I274</f>
        <v/>
      </c>
      <c r="N274" s="24">
        <f>0</f>
        <v/>
      </c>
      <c r="O274" s="24">
        <f>MAX(M274, N274)</f>
        <v/>
      </c>
      <c r="P274" s="24">
        <f>MAX(O274, P275)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0</v>
      </c>
      <c r="J275" s="25" t="n">
        <v>0</v>
      </c>
      <c r="K275" s="25" t="n">
        <v>0</v>
      </c>
      <c r="L275" s="22" t="n">
        <v>0</v>
      </c>
      <c r="M275" s="25">
        <f>K275 * I275</f>
        <v/>
      </c>
      <c r="N275" s="25">
        <f>0</f>
        <v/>
      </c>
      <c r="O275" s="25">
        <f>MAX(M275, N275)</f>
        <v/>
      </c>
      <c r="P275" s="25">
        <f>MAX(O275, P276)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0</v>
      </c>
      <c r="J276" s="24" t="n">
        <v>0</v>
      </c>
      <c r="K276" s="24" t="n">
        <v>0</v>
      </c>
      <c r="L276" s="20" t="n">
        <v>0</v>
      </c>
      <c r="M276" s="24">
        <f>K276 * I276</f>
        <v/>
      </c>
      <c r="N276" s="24">
        <f>0</f>
        <v/>
      </c>
      <c r="O276" s="24">
        <f>MAX(M276, N276)</f>
        <v/>
      </c>
      <c r="P276" s="24">
        <f>MAX(O276, P277)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0</v>
      </c>
      <c r="J277" s="25" t="n">
        <v>0</v>
      </c>
      <c r="K277" s="25" t="n">
        <v>0</v>
      </c>
      <c r="L277" s="22" t="n">
        <v>0</v>
      </c>
      <c r="M277" s="25">
        <f>K277 * I277</f>
        <v/>
      </c>
      <c r="N277" s="25">
        <f>0</f>
        <v/>
      </c>
      <c r="O277" s="25">
        <f>MAX(M277, N277)</f>
        <v/>
      </c>
      <c r="P277" s="25">
        <f>MAX(O277, P278)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0</v>
      </c>
      <c r="J278" s="24" t="n">
        <v>0</v>
      </c>
      <c r="K278" s="24" t="n">
        <v>0</v>
      </c>
      <c r="L278" s="20" t="n">
        <v>0</v>
      </c>
      <c r="M278" s="24">
        <f>K278 * I278</f>
        <v/>
      </c>
      <c r="N278" s="24">
        <f>0</f>
        <v/>
      </c>
      <c r="O278" s="24">
        <f>MAX(M278, N278)</f>
        <v/>
      </c>
      <c r="P278" s="24">
        <f>MAX(O278, P279)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0</v>
      </c>
      <c r="J279" s="25" t="n">
        <v>0</v>
      </c>
      <c r="K279" s="25" t="n">
        <v>0</v>
      </c>
      <c r="L279" s="22" t="n">
        <v>0</v>
      </c>
      <c r="M279" s="25">
        <f>K279 * I279</f>
        <v/>
      </c>
      <c r="N279" s="25">
        <f>0</f>
        <v/>
      </c>
      <c r="O279" s="25">
        <f>MAX(M279, N279)</f>
        <v/>
      </c>
      <c r="P279" s="25">
        <f>MAX(O279, P280)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0</v>
      </c>
      <c r="J280" s="24" t="n">
        <v>0</v>
      </c>
      <c r="K280" s="24" t="n">
        <v>0</v>
      </c>
      <c r="L280" s="20" t="n">
        <v>0</v>
      </c>
      <c r="M280" s="24">
        <f>K280 * I280</f>
        <v/>
      </c>
      <c r="N280" s="24">
        <f>0</f>
        <v/>
      </c>
      <c r="O280" s="24">
        <f>MAX(M280, N280)</f>
        <v/>
      </c>
      <c r="P280" s="24">
        <f>MAX(O280, P281)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0</v>
      </c>
      <c r="J281" s="25" t="n">
        <v>0</v>
      </c>
      <c r="K281" s="25" t="n">
        <v>0</v>
      </c>
      <c r="L281" s="22" t="n">
        <v>0</v>
      </c>
      <c r="M281" s="25">
        <f>K281 * I281</f>
        <v/>
      </c>
      <c r="N281" s="25">
        <f>0</f>
        <v/>
      </c>
      <c r="O281" s="25">
        <f>MAX(M281, N281)</f>
        <v/>
      </c>
      <c r="P281" s="25">
        <f>MAX(O281, P282)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0</v>
      </c>
      <c r="J282" s="24" t="n">
        <v>0</v>
      </c>
      <c r="K282" s="24" t="n">
        <v>0</v>
      </c>
      <c r="L282" s="20" t="n">
        <v>0</v>
      </c>
      <c r="M282" s="24">
        <f>K282 * I282</f>
        <v/>
      </c>
      <c r="N282" s="24">
        <f>0</f>
        <v/>
      </c>
      <c r="O282" s="24">
        <f>MAX(M282, N282)</f>
        <v/>
      </c>
      <c r="P282" s="24">
        <f>MAX(O282, P283)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0</v>
      </c>
      <c r="J283" s="25" t="n">
        <v>0</v>
      </c>
      <c r="K283" s="25" t="n">
        <v>0</v>
      </c>
      <c r="L283" s="22" t="n">
        <v>0</v>
      </c>
      <c r="M283" s="25">
        <f>K283 * I283</f>
        <v/>
      </c>
      <c r="N283" s="25">
        <f>0</f>
        <v/>
      </c>
      <c r="O283" s="25">
        <f>MAX(M283, N283)</f>
        <v/>
      </c>
      <c r="P283" s="25">
        <f>MAX(O283, P284)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0</v>
      </c>
      <c r="J284" s="24" t="n">
        <v>0</v>
      </c>
      <c r="K284" s="24" t="n">
        <v>0</v>
      </c>
      <c r="L284" s="20" t="n">
        <v>0</v>
      </c>
      <c r="M284" s="24">
        <f>K284 * I284</f>
        <v/>
      </c>
      <c r="N284" s="24">
        <f>0</f>
        <v/>
      </c>
      <c r="O284" s="24">
        <f>MAX(M284, N284)</f>
        <v/>
      </c>
      <c r="P284" s="24">
        <f>MAX(O284, P285)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0</v>
      </c>
      <c r="J285" s="25" t="n">
        <v>0</v>
      </c>
      <c r="K285" s="25" t="n">
        <v>0</v>
      </c>
      <c r="L285" s="22" t="n">
        <v>0</v>
      </c>
      <c r="M285" s="25">
        <f>K285 * I285</f>
        <v/>
      </c>
      <c r="N285" s="25">
        <f>0</f>
        <v/>
      </c>
      <c r="O285" s="25">
        <f>MAX(M285, N285)</f>
        <v/>
      </c>
      <c r="P285" s="25">
        <f>MAX(O285, P286)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0</v>
      </c>
      <c r="J286" s="24" t="n">
        <v>0</v>
      </c>
      <c r="K286" s="24" t="n">
        <v>0</v>
      </c>
      <c r="L286" s="20" t="n">
        <v>0</v>
      </c>
      <c r="M286" s="24">
        <f>K286 * I286</f>
        <v/>
      </c>
      <c r="N286" s="24">
        <f>0</f>
        <v/>
      </c>
      <c r="O286" s="24">
        <f>MAX(M286, N286)</f>
        <v/>
      </c>
      <c r="P286" s="24">
        <f>MAX(O286, P287)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0</v>
      </c>
      <c r="J287" s="25" t="n">
        <v>0</v>
      </c>
      <c r="K287" s="25" t="n">
        <v>0</v>
      </c>
      <c r="L287" s="22" t="n">
        <v>0</v>
      </c>
      <c r="M287" s="25">
        <f>K287 * I287</f>
        <v/>
      </c>
      <c r="N287" s="25">
        <f>0</f>
        <v/>
      </c>
      <c r="O287" s="25">
        <f>MAX(M287, N287)</f>
        <v/>
      </c>
      <c r="P287" s="25">
        <f>MAX(O287, P288)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0</v>
      </c>
      <c r="J288" s="24" t="n">
        <v>0</v>
      </c>
      <c r="K288" s="24" t="n">
        <v>0</v>
      </c>
      <c r="L288" s="20" t="n">
        <v>0</v>
      </c>
      <c r="M288" s="24">
        <f>K288 * I288</f>
        <v/>
      </c>
      <c r="N288" s="24">
        <f>0</f>
        <v/>
      </c>
      <c r="O288" s="24">
        <f>MAX(M288, N288)</f>
        <v/>
      </c>
      <c r="P288" s="24">
        <f>MAX(O288, P289)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0</v>
      </c>
      <c r="J289" s="25" t="n">
        <v>0</v>
      </c>
      <c r="K289" s="25" t="n">
        <v>0</v>
      </c>
      <c r="L289" s="22" t="n">
        <v>0</v>
      </c>
      <c r="M289" s="25">
        <f>K289 * I289</f>
        <v/>
      </c>
      <c r="N289" s="25">
        <f>0</f>
        <v/>
      </c>
      <c r="O289" s="25">
        <f>MAX(M289, N289)</f>
        <v/>
      </c>
      <c r="P289" s="25">
        <f>MAX(O289, P290)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0</v>
      </c>
      <c r="J290" s="24" t="n">
        <v>0</v>
      </c>
      <c r="K290" s="24" t="n">
        <v>0</v>
      </c>
      <c r="L290" s="20" t="n">
        <v>0</v>
      </c>
      <c r="M290" s="24">
        <f>K290 * I290</f>
        <v/>
      </c>
      <c r="N290" s="24">
        <f>0</f>
        <v/>
      </c>
      <c r="O290" s="24">
        <f>MAX(M290, N290)</f>
        <v/>
      </c>
      <c r="P290" s="24">
        <f>MAX(O290, P291)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0</v>
      </c>
      <c r="J291" s="25" t="n">
        <v>0</v>
      </c>
      <c r="K291" s="25" t="n">
        <v>0</v>
      </c>
      <c r="L291" s="22" t="n">
        <v>0</v>
      </c>
      <c r="M291" s="25">
        <f>K291 * I291</f>
        <v/>
      </c>
      <c r="N291" s="25">
        <f>0</f>
        <v/>
      </c>
      <c r="O291" s="25">
        <f>MAX(M291, N291)</f>
        <v/>
      </c>
      <c r="P291" s="25">
        <f>MAX(O291, P292)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0</v>
      </c>
      <c r="J292" s="24" t="n">
        <v>0</v>
      </c>
      <c r="K292" s="24" t="n">
        <v>0</v>
      </c>
      <c r="L292" s="20" t="n">
        <v>0</v>
      </c>
      <c r="M292" s="24">
        <f>K292 * I292</f>
        <v/>
      </c>
      <c r="N292" s="24">
        <f>0</f>
        <v/>
      </c>
      <c r="O292" s="24">
        <f>MAX(M292, N292)</f>
        <v/>
      </c>
      <c r="P292" s="24">
        <f>MAX(O292, P293)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0</v>
      </c>
      <c r="J293" s="25" t="n">
        <v>0</v>
      </c>
      <c r="K293" s="25" t="n">
        <v>0</v>
      </c>
      <c r="L293" s="22" t="n">
        <v>0</v>
      </c>
      <c r="M293" s="25">
        <f>K293 * I293</f>
        <v/>
      </c>
      <c r="N293" s="25">
        <f>0</f>
        <v/>
      </c>
      <c r="O293" s="25">
        <f>MAX(M293, N293)</f>
        <v/>
      </c>
      <c r="P293" s="25">
        <f>MAX(O293, P294)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0</v>
      </c>
      <c r="J294" s="24" t="n">
        <v>0</v>
      </c>
      <c r="K294" s="24" t="n">
        <v>0</v>
      </c>
      <c r="L294" s="20" t="n">
        <v>0</v>
      </c>
      <c r="M294" s="24">
        <f>K294 * I294</f>
        <v/>
      </c>
      <c r="N294" s="24">
        <f>0</f>
        <v/>
      </c>
      <c r="O294" s="24">
        <f>MAX(M294, N294)</f>
        <v/>
      </c>
      <c r="P294" s="24">
        <f>MAX(O294, P295)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0</v>
      </c>
      <c r="J295" s="25" t="n">
        <v>0</v>
      </c>
      <c r="K295" s="25" t="n">
        <v>0</v>
      </c>
      <c r="L295" s="22" t="n">
        <v>0</v>
      </c>
      <c r="M295" s="25">
        <f>K295 * I295</f>
        <v/>
      </c>
      <c r="N295" s="25">
        <f>0</f>
        <v/>
      </c>
      <c r="O295" s="25">
        <f>MAX(M295, N295)</f>
        <v/>
      </c>
      <c r="P295" s="25">
        <f>MAX(O295, P296)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0</v>
      </c>
      <c r="J296" s="24" t="n">
        <v>0</v>
      </c>
      <c r="K296" s="24" t="n">
        <v>0</v>
      </c>
      <c r="L296" s="20" t="n">
        <v>0</v>
      </c>
      <c r="M296" s="24">
        <f>K296 * I296</f>
        <v/>
      </c>
      <c r="N296" s="24">
        <f>0</f>
        <v/>
      </c>
      <c r="O296" s="24">
        <f>MAX(M296, N296)</f>
        <v/>
      </c>
      <c r="P296" s="24">
        <f>MAX(O296, P297)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0</v>
      </c>
      <c r="J297" s="25" t="n">
        <v>0</v>
      </c>
      <c r="K297" s="25" t="n">
        <v>0</v>
      </c>
      <c r="L297" s="22" t="n">
        <v>0</v>
      </c>
      <c r="M297" s="25">
        <f>K297 * I297</f>
        <v/>
      </c>
      <c r="N297" s="25">
        <f>0</f>
        <v/>
      </c>
      <c r="O297" s="25">
        <f>MAX(M297, N297)</f>
        <v/>
      </c>
      <c r="P297" s="25">
        <f>MAX(O297, P298)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0</v>
      </c>
      <c r="J298" s="24" t="n">
        <v>0</v>
      </c>
      <c r="K298" s="24" t="n">
        <v>0</v>
      </c>
      <c r="L298" s="20" t="n">
        <v>0</v>
      </c>
      <c r="M298" s="24">
        <f>K298 * I298</f>
        <v/>
      </c>
      <c r="N298" s="24">
        <f>0</f>
        <v/>
      </c>
      <c r="O298" s="24">
        <f>MAX(M298, N298)</f>
        <v/>
      </c>
      <c r="P298" s="24">
        <f>MAX(O298, P299)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0</v>
      </c>
      <c r="J299" s="25" t="n">
        <v>0</v>
      </c>
      <c r="K299" s="25" t="n">
        <v>0</v>
      </c>
      <c r="L299" s="22" t="n">
        <v>0</v>
      </c>
      <c r="M299" s="25">
        <f>K299 * I299</f>
        <v/>
      </c>
      <c r="N299" s="25">
        <f>0</f>
        <v/>
      </c>
      <c r="O299" s="25">
        <f>MAX(M299, N299)</f>
        <v/>
      </c>
      <c r="P299" s="25">
        <f>MAX(O299, P300)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0</v>
      </c>
      <c r="J300" s="24" t="n">
        <v>0</v>
      </c>
      <c r="K300" s="24" t="n">
        <v>0</v>
      </c>
      <c r="L300" s="20" t="n">
        <v>0</v>
      </c>
      <c r="M300" s="24">
        <f>K300 * I300</f>
        <v/>
      </c>
      <c r="N300" s="24">
        <f>0</f>
        <v/>
      </c>
      <c r="O300" s="24">
        <f>MAX(M300, N300)</f>
        <v/>
      </c>
      <c r="P300" s="24">
        <f>MAX(O300, P301)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0</v>
      </c>
      <c r="J301" s="25" t="n">
        <v>0</v>
      </c>
      <c r="K301" s="25" t="n">
        <v>0</v>
      </c>
      <c r="L301" s="22" t="n">
        <v>0</v>
      </c>
      <c r="M301" s="25">
        <f>K301 * I301</f>
        <v/>
      </c>
      <c r="N301" s="25">
        <f>0</f>
        <v/>
      </c>
      <c r="O301" s="25">
        <f>MAX(M301, N301)</f>
        <v/>
      </c>
      <c r="P301" s="25">
        <f>MAX(O301, P302)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0</v>
      </c>
      <c r="J302" s="24" t="n">
        <v>0</v>
      </c>
      <c r="K302" s="24" t="n">
        <v>0</v>
      </c>
      <c r="L302" s="20" t="n">
        <v>0</v>
      </c>
      <c r="M302" s="24">
        <f>K302 * I302</f>
        <v/>
      </c>
      <c r="N302" s="24">
        <f>0</f>
        <v/>
      </c>
      <c r="O302" s="24">
        <f>MAX(M302, N302)</f>
        <v/>
      </c>
      <c r="P302" s="24">
        <f>MAX(O302, P303)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0</v>
      </c>
      <c r="J303" s="25" t="n">
        <v>0</v>
      </c>
      <c r="K303" s="25" t="n">
        <v>0</v>
      </c>
      <c r="L303" s="22" t="n">
        <v>0</v>
      </c>
      <c r="M303" s="25">
        <f>K303 * I303</f>
        <v/>
      </c>
      <c r="N303" s="25">
        <f>0</f>
        <v/>
      </c>
      <c r="O303" s="25">
        <f>MAX(M303, N303)</f>
        <v/>
      </c>
      <c r="P303" s="25">
        <f>MAX(O303, P304)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0</v>
      </c>
      <c r="J304" s="24" t="n">
        <v>0</v>
      </c>
      <c r="K304" s="24" t="n">
        <v>0</v>
      </c>
      <c r="L304" s="20" t="n">
        <v>0</v>
      </c>
      <c r="M304" s="24">
        <f>K304 * I304</f>
        <v/>
      </c>
      <c r="N304" s="24">
        <f>0</f>
        <v/>
      </c>
      <c r="O304" s="24">
        <f>MAX(M304, N304)</f>
        <v/>
      </c>
      <c r="P304" s="24">
        <f>MAX(O304, P305)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0</v>
      </c>
      <c r="J305" s="25" t="n">
        <v>0</v>
      </c>
      <c r="K305" s="25" t="n">
        <v>0</v>
      </c>
      <c r="L305" s="22" t="n">
        <v>0</v>
      </c>
      <c r="M305" s="25">
        <f>K305 * I305</f>
        <v/>
      </c>
      <c r="N305" s="25">
        <f>0</f>
        <v/>
      </c>
      <c r="O305" s="25">
        <f>MAX(M305, N305)</f>
        <v/>
      </c>
      <c r="P305" s="25">
        <f>MAX(O305, P306)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0</v>
      </c>
      <c r="J306" s="24" t="n">
        <v>0</v>
      </c>
      <c r="K306" s="24" t="n">
        <v>0</v>
      </c>
      <c r="L306" s="20" t="n">
        <v>0</v>
      </c>
      <c r="M306" s="24">
        <f>K306 * I306</f>
        <v/>
      </c>
      <c r="N306" s="24">
        <f>0</f>
        <v/>
      </c>
      <c r="O306" s="24">
        <f>MAX(M306, N306)</f>
        <v/>
      </c>
      <c r="P306" s="24">
        <f>MAX(O306, P307)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0</v>
      </c>
      <c r="J307" s="25" t="n">
        <v>0</v>
      </c>
      <c r="K307" s="25" t="n">
        <v>0</v>
      </c>
      <c r="L307" s="22" t="n">
        <v>0</v>
      </c>
      <c r="M307" s="25">
        <f>K307 * I307</f>
        <v/>
      </c>
      <c r="N307" s="25">
        <f>0</f>
        <v/>
      </c>
      <c r="O307" s="25">
        <f>MAX(M307, N307)</f>
        <v/>
      </c>
      <c r="P307" s="25">
        <f>MAX(O307, P308)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0</v>
      </c>
      <c r="J308" s="24" t="n">
        <v>0</v>
      </c>
      <c r="K308" s="24" t="n">
        <v>0</v>
      </c>
      <c r="L308" s="20" t="n">
        <v>0</v>
      </c>
      <c r="M308" s="24">
        <f>K308 * I308</f>
        <v/>
      </c>
      <c r="N308" s="24">
        <f>0</f>
        <v/>
      </c>
      <c r="O308" s="24">
        <f>MAX(M308, N308)</f>
        <v/>
      </c>
      <c r="P308" s="24">
        <f>MAX(O308, P309)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0</v>
      </c>
      <c r="J309" s="25" t="n">
        <v>0</v>
      </c>
      <c r="K309" s="25" t="n">
        <v>0</v>
      </c>
      <c r="L309" s="22" t="n">
        <v>0</v>
      </c>
      <c r="M309" s="25">
        <f>K309 * I309</f>
        <v/>
      </c>
      <c r="N309" s="25">
        <f>0</f>
        <v/>
      </c>
      <c r="O309" s="25">
        <f>MAX(M309, N309)</f>
        <v/>
      </c>
      <c r="P309" s="25">
        <f>MAX(O309, P310)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0</v>
      </c>
      <c r="J310" s="24" t="n">
        <v>0</v>
      </c>
      <c r="K310" s="24" t="n">
        <v>0</v>
      </c>
      <c r="L310" s="20" t="n">
        <v>0</v>
      </c>
      <c r="M310" s="24">
        <f>K310 * I310</f>
        <v/>
      </c>
      <c r="N310" s="24">
        <f>0</f>
        <v/>
      </c>
      <c r="O310" s="24">
        <f>MAX(M310, N310)</f>
        <v/>
      </c>
      <c r="P310" s="24">
        <f>MAX(O310, P311)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0</v>
      </c>
      <c r="J311" s="25" t="n">
        <v>0</v>
      </c>
      <c r="K311" s="25" t="n">
        <v>0</v>
      </c>
      <c r="L311" s="22" t="n">
        <v>0</v>
      </c>
      <c r="M311" s="25">
        <f>K311 * I311</f>
        <v/>
      </c>
      <c r="N311" s="25">
        <f>0</f>
        <v/>
      </c>
      <c r="O311" s="25">
        <f>MAX(M311, N311)</f>
        <v/>
      </c>
      <c r="P311" s="25">
        <f>MAX(O311, P312)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0</v>
      </c>
      <c r="J312" s="24" t="n">
        <v>0</v>
      </c>
      <c r="K312" s="24" t="n">
        <v>0</v>
      </c>
      <c r="L312" s="20" t="n">
        <v>0</v>
      </c>
      <c r="M312" s="24">
        <f>K312 * I312</f>
        <v/>
      </c>
      <c r="N312" s="24">
        <f>0</f>
        <v/>
      </c>
      <c r="O312" s="24">
        <f>MAX(M312, N312)</f>
        <v/>
      </c>
      <c r="P312" s="24">
        <f>MAX(O312, P313)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0</v>
      </c>
      <c r="J313" s="25" t="n">
        <v>0</v>
      </c>
      <c r="K313" s="25" t="n">
        <v>0</v>
      </c>
      <c r="L313" s="22" t="n">
        <v>0</v>
      </c>
      <c r="M313" s="25">
        <f>K313 * I313</f>
        <v/>
      </c>
      <c r="N313" s="25">
        <f>0</f>
        <v/>
      </c>
      <c r="O313" s="25">
        <f>MAX(M313, N313)</f>
        <v/>
      </c>
      <c r="P313" s="25">
        <f>MAX(O313, P314)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0</v>
      </c>
      <c r="J314" s="24" t="n">
        <v>0</v>
      </c>
      <c r="K314" s="24" t="n">
        <v>0</v>
      </c>
      <c r="L314" s="20" t="n">
        <v>0</v>
      </c>
      <c r="M314" s="24">
        <f>K314 * I314</f>
        <v/>
      </c>
      <c r="N314" s="24">
        <f>0</f>
        <v/>
      </c>
      <c r="O314" s="24">
        <f>MAX(M314, N314)</f>
        <v/>
      </c>
      <c r="P314" s="24">
        <f>MAX(O314, P315)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0</v>
      </c>
      <c r="J315" s="25" t="n">
        <v>0</v>
      </c>
      <c r="K315" s="25" t="n">
        <v>0</v>
      </c>
      <c r="L315" s="22" t="n">
        <v>0</v>
      </c>
      <c r="M315" s="25">
        <f>K315 * I315</f>
        <v/>
      </c>
      <c r="N315" s="25">
        <f>0</f>
        <v/>
      </c>
      <c r="O315" s="25">
        <f>MAX(M315, N315)</f>
        <v/>
      </c>
      <c r="P315" s="25">
        <f>MAX(O315, P316)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0</v>
      </c>
      <c r="J316" s="24" t="n">
        <v>0</v>
      </c>
      <c r="K316" s="24" t="n">
        <v>0</v>
      </c>
      <c r="L316" s="20" t="n">
        <v>0</v>
      </c>
      <c r="M316" s="24">
        <f>K316 * I316</f>
        <v/>
      </c>
      <c r="N316" s="24">
        <f>0</f>
        <v/>
      </c>
      <c r="O316" s="24">
        <f>MAX(M316, N316)</f>
        <v/>
      </c>
      <c r="P316" s="24">
        <f>MAX(O316, P317)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0</v>
      </c>
      <c r="J317" s="25" t="n">
        <v>0</v>
      </c>
      <c r="K317" s="25" t="n">
        <v>0</v>
      </c>
      <c r="L317" s="22" t="n">
        <v>0</v>
      </c>
      <c r="M317" s="25">
        <f>K317 * I317</f>
        <v/>
      </c>
      <c r="N317" s="25">
        <f>0</f>
        <v/>
      </c>
      <c r="O317" s="25">
        <f>MAX(M317, N317)</f>
        <v/>
      </c>
      <c r="P317" s="25">
        <f>MAX(O317, P318)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0</v>
      </c>
      <c r="J318" s="24" t="n">
        <v>0</v>
      </c>
      <c r="K318" s="24" t="n">
        <v>0</v>
      </c>
      <c r="L318" s="20" t="n">
        <v>0</v>
      </c>
      <c r="M318" s="24">
        <f>K318 * I318</f>
        <v/>
      </c>
      <c r="N318" s="24">
        <f>0</f>
        <v/>
      </c>
      <c r="O318" s="24">
        <f>MAX(M318, N318)</f>
        <v/>
      </c>
      <c r="P318" s="24">
        <f>MAX(O318, P319)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0</v>
      </c>
      <c r="J319" s="25" t="n">
        <v>0</v>
      </c>
      <c r="K319" s="25" t="n">
        <v>0</v>
      </c>
      <c r="L319" s="22" t="n">
        <v>0</v>
      </c>
      <c r="M319" s="25">
        <f>K319 * I319</f>
        <v/>
      </c>
      <c r="N319" s="25">
        <f>0</f>
        <v/>
      </c>
      <c r="O319" s="25">
        <f>MAX(M319, N319)</f>
        <v/>
      </c>
      <c r="P319" s="25">
        <f>MAX(O319, P320)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0</v>
      </c>
      <c r="J320" s="24" t="n">
        <v>0</v>
      </c>
      <c r="K320" s="24" t="n">
        <v>0</v>
      </c>
      <c r="L320" s="20" t="n">
        <v>0</v>
      </c>
      <c r="M320" s="24">
        <f>K320 * I320</f>
        <v/>
      </c>
      <c r="N320" s="24">
        <f>0</f>
        <v/>
      </c>
      <c r="O320" s="24">
        <f>MAX(M320, N320)</f>
        <v/>
      </c>
      <c r="P320" s="24">
        <f>MAX(O320, P321)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0</v>
      </c>
      <c r="J321" s="25" t="n">
        <v>0</v>
      </c>
      <c r="K321" s="25" t="n">
        <v>0</v>
      </c>
      <c r="L321" s="22" t="n">
        <v>0</v>
      </c>
      <c r="M321" s="25">
        <f>K321 * I321</f>
        <v/>
      </c>
      <c r="N321" s="25">
        <f>0</f>
        <v/>
      </c>
      <c r="O321" s="25">
        <f>MAX(M321, N321)</f>
        <v/>
      </c>
      <c r="P321" s="25">
        <f>MAX(O321, P322)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0</v>
      </c>
      <c r="J322" s="24" t="n">
        <v>0</v>
      </c>
      <c r="K322" s="24" t="n">
        <v>0</v>
      </c>
      <c r="L322" s="20" t="n">
        <v>0</v>
      </c>
      <c r="M322" s="24">
        <f>K322 * I322</f>
        <v/>
      </c>
      <c r="N322" s="24">
        <f>0</f>
        <v/>
      </c>
      <c r="O322" s="24">
        <f>MAX(M322, N322)</f>
        <v/>
      </c>
      <c r="P322" s="24">
        <f>MAX(O322, P323)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0</v>
      </c>
      <c r="J323" s="25" t="n">
        <v>0</v>
      </c>
      <c r="K323" s="25" t="n">
        <v>0</v>
      </c>
      <c r="L323" s="22" t="n">
        <v>0</v>
      </c>
      <c r="M323" s="25">
        <f>K323 * I323</f>
        <v/>
      </c>
      <c r="N323" s="25">
        <f>0</f>
        <v/>
      </c>
      <c r="O323" s="25">
        <f>MAX(M323, N323)</f>
        <v/>
      </c>
      <c r="P323" s="25">
        <f>MAX(O323, P324)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0</v>
      </c>
      <c r="J324" s="24" t="n">
        <v>0</v>
      </c>
      <c r="K324" s="24" t="n">
        <v>0</v>
      </c>
      <c r="L324" s="20" t="n">
        <v>0</v>
      </c>
      <c r="M324" s="24">
        <f>K324 * I324</f>
        <v/>
      </c>
      <c r="N324" s="24">
        <f>0</f>
        <v/>
      </c>
      <c r="O324" s="24">
        <f>MAX(M324, N324)</f>
        <v/>
      </c>
      <c r="P324" s="24">
        <f>MAX(O324, P325)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0</v>
      </c>
      <c r="J325" s="25" t="n">
        <v>0</v>
      </c>
      <c r="K325" s="25" t="n">
        <v>0</v>
      </c>
      <c r="L325" s="22" t="n">
        <v>0</v>
      </c>
      <c r="M325" s="25">
        <f>K325 * I325</f>
        <v/>
      </c>
      <c r="N325" s="25">
        <f>0</f>
        <v/>
      </c>
      <c r="O325" s="25">
        <f>MAX(M325, N325)</f>
        <v/>
      </c>
      <c r="P325" s="25">
        <f>MAX(O325, P326)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0</v>
      </c>
      <c r="J326" s="24" t="n">
        <v>0</v>
      </c>
      <c r="K326" s="24" t="n">
        <v>0</v>
      </c>
      <c r="L326" s="20" t="n">
        <v>0</v>
      </c>
      <c r="M326" s="24">
        <f>K326 * I326</f>
        <v/>
      </c>
      <c r="N326" s="24">
        <f>0</f>
        <v/>
      </c>
      <c r="O326" s="24">
        <f>MAX(M326, N326)</f>
        <v/>
      </c>
      <c r="P326" s="24">
        <f>MAX(O326, P327)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0</v>
      </c>
      <c r="J327" s="25" t="n">
        <v>0</v>
      </c>
      <c r="K327" s="25" t="n">
        <v>0</v>
      </c>
      <c r="L327" s="22" t="n">
        <v>0</v>
      </c>
      <c r="M327" s="25">
        <f>K327 * I327</f>
        <v/>
      </c>
      <c r="N327" s="25">
        <f>0</f>
        <v/>
      </c>
      <c r="O327" s="25">
        <f>MAX(M327, N327)</f>
        <v/>
      </c>
      <c r="P327" s="25">
        <f>MAX(O327, P328)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0</v>
      </c>
      <c r="J328" s="24" t="n">
        <v>0</v>
      </c>
      <c r="K328" s="24" t="n">
        <v>0</v>
      </c>
      <c r="L328" s="20" t="n">
        <v>0</v>
      </c>
      <c r="M328" s="24">
        <f>K328 * I328</f>
        <v/>
      </c>
      <c r="N328" s="24">
        <f>0</f>
        <v/>
      </c>
      <c r="O328" s="24">
        <f>MAX(M328, N328)</f>
        <v/>
      </c>
      <c r="P328" s="24">
        <f>MAX(O328, P329)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0</v>
      </c>
      <c r="J329" s="25" t="n">
        <v>0</v>
      </c>
      <c r="K329" s="25" t="n">
        <v>0</v>
      </c>
      <c r="L329" s="22" t="n">
        <v>0</v>
      </c>
      <c r="M329" s="25">
        <f>K329 * I329</f>
        <v/>
      </c>
      <c r="N329" s="25">
        <f>0</f>
        <v/>
      </c>
      <c r="O329" s="25">
        <f>MAX(M329, N329)</f>
        <v/>
      </c>
      <c r="P329" s="25">
        <f>MAX(O329, P330)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0</v>
      </c>
      <c r="J330" s="24" t="n">
        <v>0</v>
      </c>
      <c r="K330" s="24" t="n">
        <v>0</v>
      </c>
      <c r="L330" s="20" t="n">
        <v>0</v>
      </c>
      <c r="M330" s="24">
        <f>K330 * I330</f>
        <v/>
      </c>
      <c r="N330" s="24">
        <f>0</f>
        <v/>
      </c>
      <c r="O330" s="24">
        <f>MAX(M330, N330)</f>
        <v/>
      </c>
      <c r="P330" s="24">
        <f>MAX(O330, P331)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0</v>
      </c>
      <c r="J331" s="25" t="n">
        <v>0</v>
      </c>
      <c r="K331" s="25" t="n">
        <v>0</v>
      </c>
      <c r="L331" s="22" t="n">
        <v>0</v>
      </c>
      <c r="M331" s="25">
        <f>K331 * I331</f>
        <v/>
      </c>
      <c r="N331" s="25">
        <f>0</f>
        <v/>
      </c>
      <c r="O331" s="25">
        <f>MAX(M331, N331)</f>
        <v/>
      </c>
      <c r="P331" s="25">
        <f>MAX(O331, P332)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0</v>
      </c>
      <c r="J332" s="24" t="n">
        <v>0</v>
      </c>
      <c r="K332" s="24" t="n">
        <v>0</v>
      </c>
      <c r="L332" s="20" t="n">
        <v>0</v>
      </c>
      <c r="M332" s="24">
        <f>K332 * I332</f>
        <v/>
      </c>
      <c r="N332" s="24">
        <f>0</f>
        <v/>
      </c>
      <c r="O332" s="24">
        <f>MAX(M332, N332)</f>
        <v/>
      </c>
      <c r="P332" s="24">
        <f>MAX(O332, P333)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0</v>
      </c>
      <c r="J333" s="25" t="n">
        <v>0</v>
      </c>
      <c r="K333" s="25" t="n">
        <v>0</v>
      </c>
      <c r="L333" s="22" t="n">
        <v>0</v>
      </c>
      <c r="M333" s="25">
        <f>K333 * I333</f>
        <v/>
      </c>
      <c r="N333" s="25">
        <f>0</f>
        <v/>
      </c>
      <c r="O333" s="25">
        <f>MAX(M333, N333)</f>
        <v/>
      </c>
      <c r="P333" s="25">
        <f>MAX(O333, P334)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0</v>
      </c>
      <c r="J334" s="24" t="n">
        <v>0</v>
      </c>
      <c r="K334" s="24" t="n">
        <v>0</v>
      </c>
      <c r="L334" s="20" t="n">
        <v>0</v>
      </c>
      <c r="M334" s="24">
        <f>K334 * I334</f>
        <v/>
      </c>
      <c r="N334" s="24">
        <f>0</f>
        <v/>
      </c>
      <c r="O334" s="24">
        <f>MAX(M334, N334)</f>
        <v/>
      </c>
      <c r="P334" s="24">
        <f>MAX(O334, P335)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0</v>
      </c>
      <c r="J335" s="25" t="n">
        <v>0</v>
      </c>
      <c r="K335" s="25" t="n">
        <v>0</v>
      </c>
      <c r="L335" s="22" t="n">
        <v>0</v>
      </c>
      <c r="M335" s="25">
        <f>K335 * I335</f>
        <v/>
      </c>
      <c r="N335" s="25">
        <f>0</f>
        <v/>
      </c>
      <c r="O335" s="25">
        <f>MAX(M335, N335)</f>
        <v/>
      </c>
      <c r="P335" s="25">
        <f>MAX(O335, P336)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0</v>
      </c>
      <c r="J336" s="24" t="n">
        <v>0</v>
      </c>
      <c r="K336" s="24" t="n">
        <v>0</v>
      </c>
      <c r="L336" s="20" t="n">
        <v>0</v>
      </c>
      <c r="M336" s="24">
        <f>K336 * I336</f>
        <v/>
      </c>
      <c r="N336" s="24">
        <f>0</f>
        <v/>
      </c>
      <c r="O336" s="24">
        <f>MAX(M336, N336)</f>
        <v/>
      </c>
      <c r="P336" s="24">
        <f>MAX(O336, P337)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0</v>
      </c>
      <c r="J337" s="25" t="n">
        <v>0</v>
      </c>
      <c r="K337" s="25" t="n">
        <v>0</v>
      </c>
      <c r="L337" s="22" t="n">
        <v>0</v>
      </c>
      <c r="M337" s="25">
        <f>K337 * I337</f>
        <v/>
      </c>
      <c r="N337" s="25">
        <f>0</f>
        <v/>
      </c>
      <c r="O337" s="25">
        <f>MAX(M337, N337)</f>
        <v/>
      </c>
      <c r="P337" s="25">
        <f>MAX(O337, P338)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0</v>
      </c>
      <c r="J338" s="24" t="n">
        <v>0</v>
      </c>
      <c r="K338" s="24" t="n">
        <v>0</v>
      </c>
      <c r="L338" s="20" t="n">
        <v>0</v>
      </c>
      <c r="M338" s="24">
        <f>K338 * I338</f>
        <v/>
      </c>
      <c r="N338" s="24">
        <f>0</f>
        <v/>
      </c>
      <c r="O338" s="24">
        <f>MAX(M338, N338)</f>
        <v/>
      </c>
      <c r="P338" s="24">
        <f>MAX(O338, P339)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0</v>
      </c>
      <c r="J339" s="25" t="n">
        <v>0</v>
      </c>
      <c r="K339" s="25" t="n">
        <v>0</v>
      </c>
      <c r="L339" s="22" t="n">
        <v>0</v>
      </c>
      <c r="M339" s="25">
        <f>K339 * I339</f>
        <v/>
      </c>
      <c r="N339" s="25">
        <f>0</f>
        <v/>
      </c>
      <c r="O339" s="25">
        <f>MAX(M339, N339)</f>
        <v/>
      </c>
      <c r="P339" s="25">
        <f>MAX(O339, P340)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0</v>
      </c>
      <c r="J340" s="24" t="n">
        <v>0</v>
      </c>
      <c r="K340" s="24" t="n">
        <v>0</v>
      </c>
      <c r="L340" s="20" t="n">
        <v>0</v>
      </c>
      <c r="M340" s="24">
        <f>K340 * I340</f>
        <v/>
      </c>
      <c r="N340" s="24">
        <f>0</f>
        <v/>
      </c>
      <c r="O340" s="24">
        <f>MAX(M340, N340)</f>
        <v/>
      </c>
      <c r="P340" s="24">
        <f>MAX(O340, P341)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0</v>
      </c>
      <c r="J341" s="25" t="n">
        <v>0</v>
      </c>
      <c r="K341" s="25" t="n">
        <v>0</v>
      </c>
      <c r="L341" s="22" t="n">
        <v>0</v>
      </c>
      <c r="M341" s="25">
        <f>K341 * I341</f>
        <v/>
      </c>
      <c r="N341" s="25">
        <f>0</f>
        <v/>
      </c>
      <c r="O341" s="25">
        <f>MAX(M341, N341)</f>
        <v/>
      </c>
      <c r="P341" s="25">
        <f>MAX(O341, P342)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0</v>
      </c>
      <c r="J342" s="24" t="n">
        <v>0</v>
      </c>
      <c r="K342" s="24" t="n">
        <v>0</v>
      </c>
      <c r="L342" s="20" t="n">
        <v>0</v>
      </c>
      <c r="M342" s="24">
        <f>K342 * I342</f>
        <v/>
      </c>
      <c r="N342" s="24">
        <f>0</f>
        <v/>
      </c>
      <c r="O342" s="24">
        <f>MAX(M342, N342)</f>
        <v/>
      </c>
      <c r="P342" s="24">
        <f>MAX(O342, P343)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0</v>
      </c>
      <c r="J343" s="25" t="n">
        <v>0</v>
      </c>
      <c r="K343" s="25" t="n">
        <v>0</v>
      </c>
      <c r="L343" s="22" t="n">
        <v>0</v>
      </c>
      <c r="M343" s="25">
        <f>K343 * I343</f>
        <v/>
      </c>
      <c r="N343" s="25">
        <f>0</f>
        <v/>
      </c>
      <c r="O343" s="25">
        <f>MAX(M343, N343)</f>
        <v/>
      </c>
      <c r="P343" s="25">
        <f>MAX(O343, P344)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0</v>
      </c>
      <c r="J344" s="24" t="n">
        <v>0</v>
      </c>
      <c r="K344" s="24" t="n">
        <v>0</v>
      </c>
      <c r="L344" s="20" t="n">
        <v>0</v>
      </c>
      <c r="M344" s="24">
        <f>K344 * I344</f>
        <v/>
      </c>
      <c r="N344" s="24">
        <f>0</f>
        <v/>
      </c>
      <c r="O344" s="24">
        <f>MAX(M344, N344)</f>
        <v/>
      </c>
      <c r="P344" s="24">
        <f>MAX(O344, P345)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0</v>
      </c>
      <c r="J345" s="25" t="n">
        <v>0</v>
      </c>
      <c r="K345" s="25" t="n">
        <v>0</v>
      </c>
      <c r="L345" s="22" t="n">
        <v>0</v>
      </c>
      <c r="M345" s="25">
        <f>K345 * I345</f>
        <v/>
      </c>
      <c r="N345" s="25">
        <f>0</f>
        <v/>
      </c>
      <c r="O345" s="25">
        <f>MAX(M345, N345)</f>
        <v/>
      </c>
      <c r="P345" s="25">
        <f>MAX(O345, P346)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0</v>
      </c>
      <c r="J346" s="24" t="n">
        <v>0</v>
      </c>
      <c r="K346" s="24" t="n">
        <v>0</v>
      </c>
      <c r="L346" s="20" t="n">
        <v>0</v>
      </c>
      <c r="M346" s="24">
        <f>K346 * I346</f>
        <v/>
      </c>
      <c r="N346" s="24">
        <f>0</f>
        <v/>
      </c>
      <c r="O346" s="24">
        <f>MAX(M346, N346)</f>
        <v/>
      </c>
      <c r="P346" s="24">
        <f>MAX(O346, P347)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0</v>
      </c>
      <c r="J347" s="25" t="n">
        <v>0</v>
      </c>
      <c r="K347" s="25" t="n">
        <v>0</v>
      </c>
      <c r="L347" s="22" t="n">
        <v>0</v>
      </c>
      <c r="M347" s="25">
        <f>K347 * I347</f>
        <v/>
      </c>
      <c r="N347" s="25">
        <f>0</f>
        <v/>
      </c>
      <c r="O347" s="25">
        <f>MAX(M347, N347)</f>
        <v/>
      </c>
      <c r="P347" s="25">
        <f>MAX(O347, P348)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0</v>
      </c>
      <c r="J348" s="24" t="n">
        <v>0</v>
      </c>
      <c r="K348" s="24" t="n">
        <v>0</v>
      </c>
      <c r="L348" s="20" t="n">
        <v>0</v>
      </c>
      <c r="M348" s="24">
        <f>K348 * I348</f>
        <v/>
      </c>
      <c r="N348" s="24">
        <f>0</f>
        <v/>
      </c>
      <c r="O348" s="24">
        <f>MAX(M348, N348)</f>
        <v/>
      </c>
      <c r="P348" s="24">
        <f>MAX(O348, P349)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0</v>
      </c>
      <c r="J349" s="25" t="n">
        <v>0</v>
      </c>
      <c r="K349" s="25" t="n">
        <v>0</v>
      </c>
      <c r="L349" s="22" t="n">
        <v>0</v>
      </c>
      <c r="M349" s="25">
        <f>K349 * I349</f>
        <v/>
      </c>
      <c r="N349" s="25">
        <f>0</f>
        <v/>
      </c>
      <c r="O349" s="25">
        <f>MAX(M349, N349)</f>
        <v/>
      </c>
      <c r="P349" s="25">
        <f>MAX(O349, P350)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0</v>
      </c>
      <c r="J350" s="24" t="n">
        <v>0</v>
      </c>
      <c r="K350" s="24" t="n">
        <v>0</v>
      </c>
      <c r="L350" s="20" t="n">
        <v>0</v>
      </c>
      <c r="M350" s="24">
        <f>K350 * I350</f>
        <v/>
      </c>
      <c r="N350" s="24">
        <f>0</f>
        <v/>
      </c>
      <c r="O350" s="24">
        <f>MAX(M350, N350)</f>
        <v/>
      </c>
      <c r="P350" s="24">
        <f>MAX(O350, P351)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0</v>
      </c>
      <c r="J351" s="25" t="n">
        <v>0</v>
      </c>
      <c r="K351" s="25" t="n">
        <v>0</v>
      </c>
      <c r="L351" s="22" t="n">
        <v>0</v>
      </c>
      <c r="M351" s="25">
        <f>K351 * I351</f>
        <v/>
      </c>
      <c r="N351" s="25">
        <f>0</f>
        <v/>
      </c>
      <c r="O351" s="25">
        <f>MAX(M351, N351)</f>
        <v/>
      </c>
      <c r="P351" s="25">
        <f>MAX(O351, P352)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0</v>
      </c>
      <c r="J352" s="24" t="n">
        <v>0</v>
      </c>
      <c r="K352" s="24" t="n">
        <v>0</v>
      </c>
      <c r="L352" s="20" t="n">
        <v>0</v>
      </c>
      <c r="M352" s="24">
        <f>K352 * I352</f>
        <v/>
      </c>
      <c r="N352" s="24">
        <f>0</f>
        <v/>
      </c>
      <c r="O352" s="24">
        <f>MAX(M352, N352)</f>
        <v/>
      </c>
      <c r="P352" s="24">
        <f>MAX(O352, P353)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0</v>
      </c>
      <c r="J353" s="25" t="n">
        <v>0</v>
      </c>
      <c r="K353" s="25" t="n">
        <v>0</v>
      </c>
      <c r="L353" s="22" t="n">
        <v>0</v>
      </c>
      <c r="M353" s="25">
        <f>K353 * I353</f>
        <v/>
      </c>
      <c r="N353" s="25">
        <f>0</f>
        <v/>
      </c>
      <c r="O353" s="25">
        <f>MAX(M353, N353)</f>
        <v/>
      </c>
      <c r="P353" s="25">
        <f>MAX(O353, P354)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0</v>
      </c>
      <c r="J354" s="24" t="n">
        <v>0</v>
      </c>
      <c r="K354" s="24" t="n">
        <v>0</v>
      </c>
      <c r="L354" s="20" t="n">
        <v>0</v>
      </c>
      <c r="M354" s="24">
        <f>K354 * I354</f>
        <v/>
      </c>
      <c r="N354" s="24">
        <f>0</f>
        <v/>
      </c>
      <c r="O354" s="24">
        <f>MAX(M354, N354)</f>
        <v/>
      </c>
      <c r="P354" s="24">
        <f>MAX(O354, P355)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0</v>
      </c>
      <c r="J355" s="25" t="n">
        <v>0</v>
      </c>
      <c r="K355" s="25" t="n">
        <v>0</v>
      </c>
      <c r="L355" s="22" t="n">
        <v>0</v>
      </c>
      <c r="M355" s="25">
        <f>K355 * I355</f>
        <v/>
      </c>
      <c r="N355" s="25">
        <f>0</f>
        <v/>
      </c>
      <c r="O355" s="25">
        <f>MAX(M355, N355)</f>
        <v/>
      </c>
      <c r="P355" s="25">
        <f>MAX(O355, P356)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0</v>
      </c>
      <c r="J356" s="24" t="n">
        <v>0</v>
      </c>
      <c r="K356" s="24" t="n">
        <v>0</v>
      </c>
      <c r="L356" s="20" t="n">
        <v>0</v>
      </c>
      <c r="M356" s="24">
        <f>K356 * I356</f>
        <v/>
      </c>
      <c r="N356" s="24">
        <f>0</f>
        <v/>
      </c>
      <c r="O356" s="24">
        <f>MAX(M356, N356)</f>
        <v/>
      </c>
      <c r="P356" s="24">
        <f>MAX(O356, P357)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0</v>
      </c>
      <c r="J357" s="25" t="n">
        <v>0</v>
      </c>
      <c r="K357" s="25" t="n">
        <v>0</v>
      </c>
      <c r="L357" s="22" t="n">
        <v>0</v>
      </c>
      <c r="M357" s="25">
        <f>K357 * I357</f>
        <v/>
      </c>
      <c r="N357" s="25">
        <f>0</f>
        <v/>
      </c>
      <c r="O357" s="25">
        <f>MAX(M357, N357)</f>
        <v/>
      </c>
      <c r="P357" s="25">
        <f>MAX(O357, P358)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0</v>
      </c>
      <c r="J358" s="24" t="n">
        <v>0</v>
      </c>
      <c r="K358" s="24" t="n">
        <v>0</v>
      </c>
      <c r="L358" s="20" t="n">
        <v>0</v>
      </c>
      <c r="M358" s="24">
        <f>K358 * I358</f>
        <v/>
      </c>
      <c r="N358" s="24">
        <f>0</f>
        <v/>
      </c>
      <c r="O358" s="24">
        <f>MAX(M358, N358)</f>
        <v/>
      </c>
      <c r="P358" s="24">
        <f>MAX(O358, P359)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0</v>
      </c>
      <c r="J359" s="25" t="n">
        <v>0</v>
      </c>
      <c r="K359" s="25" t="n">
        <v>0</v>
      </c>
      <c r="L359" s="22" t="n">
        <v>0</v>
      </c>
      <c r="M359" s="25">
        <f>K359 * I359</f>
        <v/>
      </c>
      <c r="N359" s="25">
        <f>0</f>
        <v/>
      </c>
      <c r="O359" s="25">
        <f>MAX(M359, N359)</f>
        <v/>
      </c>
      <c r="P359" s="25">
        <f>MAX(O359, P360)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0</v>
      </c>
      <c r="J360" s="24" t="n">
        <v>0</v>
      </c>
      <c r="K360" s="24" t="n">
        <v>0</v>
      </c>
      <c r="L360" s="20" t="n">
        <v>0</v>
      </c>
      <c r="M360" s="24">
        <f>K360 * I360</f>
        <v/>
      </c>
      <c r="N360" s="24">
        <f>0</f>
        <v/>
      </c>
      <c r="O360" s="24">
        <f>MAX(M360, N360)</f>
        <v/>
      </c>
      <c r="P360" s="24">
        <f>MAX(O360, P361)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0</v>
      </c>
      <c r="J361" s="25" t="n">
        <v>0</v>
      </c>
      <c r="K361" s="25" t="n">
        <v>0</v>
      </c>
      <c r="L361" s="22" t="n">
        <v>0</v>
      </c>
      <c r="M361" s="25">
        <f>K361 * I361</f>
        <v/>
      </c>
      <c r="N361" s="25">
        <f>0</f>
        <v/>
      </c>
      <c r="O361" s="25">
        <f>MAX(M361, N361)</f>
        <v/>
      </c>
      <c r="P361" s="25">
        <f>MAX(O361, P362)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0</v>
      </c>
      <c r="J362" s="24" t="n">
        <v>0</v>
      </c>
      <c r="K362" s="24" t="n">
        <v>0</v>
      </c>
      <c r="L362" s="20" t="n">
        <v>0</v>
      </c>
      <c r="M362" s="24">
        <f>K362 * I362</f>
        <v/>
      </c>
      <c r="N362" s="24">
        <f>0</f>
        <v/>
      </c>
      <c r="O362" s="24">
        <f>MAX(M362, N362)</f>
        <v/>
      </c>
      <c r="P362" s="24">
        <f>MAX(O362, P363)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0</v>
      </c>
      <c r="J363" s="25" t="n">
        <v>0</v>
      </c>
      <c r="K363" s="25" t="n">
        <v>0</v>
      </c>
      <c r="L363" s="22" t="n">
        <v>0</v>
      </c>
      <c r="M363" s="25">
        <f>K363 * I363</f>
        <v/>
      </c>
      <c r="N363" s="25">
        <f>0</f>
        <v/>
      </c>
      <c r="O363" s="25">
        <f>MAX(M363, N363)</f>
        <v/>
      </c>
      <c r="P363" s="25">
        <f>MAX(O363, P364)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0</v>
      </c>
      <c r="J364" s="24" t="n">
        <v>0</v>
      </c>
      <c r="K364" s="24" t="n">
        <v>0</v>
      </c>
      <c r="L364" s="20" t="n">
        <v>0</v>
      </c>
      <c r="M364" s="24">
        <f>K364 * I364</f>
        <v/>
      </c>
      <c r="N364" s="24">
        <f>0</f>
        <v/>
      </c>
      <c r="O364" s="24">
        <f>MAX(M364, N364)</f>
        <v/>
      </c>
      <c r="P364" s="24">
        <f>MAX(O364, P365)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0</v>
      </c>
      <c r="J365" s="25" t="n">
        <v>0</v>
      </c>
      <c r="K365" s="25" t="n">
        <v>0</v>
      </c>
      <c r="L365" s="22" t="n">
        <v>0</v>
      </c>
      <c r="M365" s="25">
        <f>K365 * I365</f>
        <v/>
      </c>
      <c r="N365" s="25">
        <f>0</f>
        <v/>
      </c>
      <c r="O365" s="25">
        <f>MAX(M365, N365)</f>
        <v/>
      </c>
      <c r="P365" s="25">
        <f>MAX(O365, P366)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0</v>
      </c>
      <c r="J366" s="24" t="n">
        <v>0</v>
      </c>
      <c r="K366" s="24" t="n">
        <v>0</v>
      </c>
      <c r="L366" s="20" t="n">
        <v>0</v>
      </c>
      <c r="M366" s="24">
        <f>K366 * I366</f>
        <v/>
      </c>
      <c r="N366" s="24">
        <f>0</f>
        <v/>
      </c>
      <c r="O366" s="24">
        <f>MAX(M366, N366)</f>
        <v/>
      </c>
      <c r="P366" s="24">
        <f>MAX(O366, P367)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0</v>
      </c>
      <c r="J367" s="25" t="n">
        <v>0</v>
      </c>
      <c r="K367" s="25" t="n">
        <v>0</v>
      </c>
      <c r="L367" s="22" t="n">
        <v>0</v>
      </c>
      <c r="M367" s="25">
        <f>K367 * I367</f>
        <v/>
      </c>
      <c r="N367" s="25">
        <f>0</f>
        <v/>
      </c>
      <c r="O367" s="25">
        <f>MAX(M367, N367)</f>
        <v/>
      </c>
      <c r="P367" s="25">
        <f>MAX(O367, P368)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0</v>
      </c>
      <c r="J368" s="24" t="n">
        <v>0</v>
      </c>
      <c r="K368" s="24" t="n">
        <v>0</v>
      </c>
      <c r="L368" s="20" t="n">
        <v>0</v>
      </c>
      <c r="M368" s="24">
        <f>K368 * I368</f>
        <v/>
      </c>
      <c r="N368" s="24">
        <f>0</f>
        <v/>
      </c>
      <c r="O368" s="24">
        <f>MAX(M368, N368)</f>
        <v/>
      </c>
      <c r="P368" s="24">
        <f>MAX(O368, P369)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0</v>
      </c>
      <c r="J369" s="25" t="n">
        <v>0</v>
      </c>
      <c r="K369" s="25" t="n">
        <v>0</v>
      </c>
      <c r="L369" s="22" t="n">
        <v>0</v>
      </c>
      <c r="M369" s="25">
        <f>K369 * I369</f>
        <v/>
      </c>
      <c r="N369" s="25">
        <f>0</f>
        <v/>
      </c>
      <c r="O369" s="25">
        <f>MAX(M369, N369)</f>
        <v/>
      </c>
      <c r="P369" s="25">
        <f>MAX(O369, P370)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0</v>
      </c>
      <c r="J370" s="24" t="n">
        <v>0</v>
      </c>
      <c r="K370" s="24" t="n">
        <v>0</v>
      </c>
      <c r="L370" s="20" t="n">
        <v>0</v>
      </c>
      <c r="M370" s="24">
        <f>K370 * I370</f>
        <v/>
      </c>
      <c r="N370" s="24">
        <f>0</f>
        <v/>
      </c>
      <c r="O370" s="24">
        <f>MAX(M370, N370)</f>
        <v/>
      </c>
      <c r="P370" s="24">
        <f>MAX(O370, P371)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0</v>
      </c>
      <c r="J371" s="25" t="n">
        <v>0</v>
      </c>
      <c r="K371" s="25" t="n">
        <v>0</v>
      </c>
      <c r="L371" s="22" t="n">
        <v>0</v>
      </c>
      <c r="M371" s="25">
        <f>K371 * I371</f>
        <v/>
      </c>
      <c r="N371" s="25">
        <f>0</f>
        <v/>
      </c>
      <c r="O371" s="25">
        <f>MAX(M371, N371)</f>
        <v/>
      </c>
      <c r="P371" s="25">
        <f>MAX(O371, P372)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0</v>
      </c>
      <c r="J372" s="24" t="n">
        <v>0</v>
      </c>
      <c r="K372" s="24" t="n">
        <v>0</v>
      </c>
      <c r="L372" s="20" t="n">
        <v>0</v>
      </c>
      <c r="M372" s="24">
        <f>K372 * I372</f>
        <v/>
      </c>
      <c r="N372" s="24">
        <f>0</f>
        <v/>
      </c>
      <c r="O372" s="24">
        <f>MAX(M372, N372)</f>
        <v/>
      </c>
      <c r="P372" s="24">
        <f>MAX(O372, P373)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0</v>
      </c>
      <c r="J373" s="25" t="n">
        <v>0</v>
      </c>
      <c r="K373" s="25" t="n">
        <v>0</v>
      </c>
      <c r="L373" s="22" t="n">
        <v>0</v>
      </c>
      <c r="M373" s="25">
        <f>K373 * I373</f>
        <v/>
      </c>
      <c r="N373" s="25">
        <f>0</f>
        <v/>
      </c>
      <c r="O373" s="25">
        <f>MAX(M373, N373)</f>
        <v/>
      </c>
      <c r="P373" s="25">
        <f>MAX(O373, P374)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0</v>
      </c>
      <c r="J374" s="24" t="n">
        <v>0</v>
      </c>
      <c r="K374" s="24" t="n">
        <v>0</v>
      </c>
      <c r="L374" s="20" t="n">
        <v>0</v>
      </c>
      <c r="M374" s="24">
        <f>K374 * I374</f>
        <v/>
      </c>
      <c r="N374" s="24">
        <f>0</f>
        <v/>
      </c>
      <c r="O374" s="24">
        <f>MAX(M374, N374)</f>
        <v/>
      </c>
      <c r="P374" s="24">
        <f>MAX(O374, P375)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0</v>
      </c>
      <c r="J375" s="25" t="n">
        <v>0</v>
      </c>
      <c r="K375" s="25" t="n">
        <v>0</v>
      </c>
      <c r="L375" s="22" t="n">
        <v>0</v>
      </c>
      <c r="M375" s="25">
        <f>K375 * I375</f>
        <v/>
      </c>
      <c r="N375" s="25">
        <f>0</f>
        <v/>
      </c>
      <c r="O375" s="25">
        <f>MAX(M375, N375)</f>
        <v/>
      </c>
      <c r="P375" s="25">
        <f>MAX(O375, P376)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0</v>
      </c>
      <c r="J376" s="24" t="n">
        <v>0</v>
      </c>
      <c r="K376" s="24" t="n">
        <v>0</v>
      </c>
      <c r="L376" s="20" t="n">
        <v>0</v>
      </c>
      <c r="M376" s="24">
        <f>K376 * I376</f>
        <v/>
      </c>
      <c r="N376" s="24">
        <f>0</f>
        <v/>
      </c>
      <c r="O376" s="24">
        <f>MAX(M376, N376)</f>
        <v/>
      </c>
      <c r="P376" s="24">
        <f>MAX(O376, P377)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0</v>
      </c>
      <c r="J377" s="25" t="n">
        <v>0</v>
      </c>
      <c r="K377" s="25" t="n">
        <v>0</v>
      </c>
      <c r="L377" s="22" t="n">
        <v>0</v>
      </c>
      <c r="M377" s="25">
        <f>K377 * I377</f>
        <v/>
      </c>
      <c r="N377" s="25">
        <f>0</f>
        <v/>
      </c>
      <c r="O377" s="25">
        <f>MAX(M377, N377)</f>
        <v/>
      </c>
      <c r="P377" s="25">
        <f>MAX(O377, P378)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0</v>
      </c>
      <c r="J378" s="24" t="n">
        <v>0</v>
      </c>
      <c r="K378" s="24" t="n">
        <v>0</v>
      </c>
      <c r="L378" s="20" t="n">
        <v>0</v>
      </c>
      <c r="M378" s="24">
        <f>K378 * I378</f>
        <v/>
      </c>
      <c r="N378" s="24">
        <f>0</f>
        <v/>
      </c>
      <c r="O378" s="24">
        <f>MAX(M378, N378)</f>
        <v/>
      </c>
      <c r="P378" s="24">
        <f>MAX(O378, P379)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0</v>
      </c>
      <c r="J379" s="25" t="n">
        <v>0</v>
      </c>
      <c r="K379" s="25" t="n">
        <v>0</v>
      </c>
      <c r="L379" s="22" t="n">
        <v>0</v>
      </c>
      <c r="M379" s="25">
        <f>K379 * I379</f>
        <v/>
      </c>
      <c r="N379" s="25">
        <f>0</f>
        <v/>
      </c>
      <c r="O379" s="25">
        <f>MAX(M379, N379)</f>
        <v/>
      </c>
      <c r="P379" s="25">
        <f>MAX(O379, P380)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0</v>
      </c>
      <c r="J380" s="24" t="n">
        <v>0</v>
      </c>
      <c r="K380" s="24" t="n">
        <v>0</v>
      </c>
      <c r="L380" s="20" t="n">
        <v>0</v>
      </c>
      <c r="M380" s="24">
        <f>K380 * I380</f>
        <v/>
      </c>
      <c r="N380" s="24">
        <f>0</f>
        <v/>
      </c>
      <c r="O380" s="24">
        <f>MAX(M380, N380)</f>
        <v/>
      </c>
      <c r="P380" s="24">
        <f>MAX(O380, P381)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0</v>
      </c>
      <c r="J381" s="25" t="n">
        <v>0</v>
      </c>
      <c r="K381" s="25" t="n">
        <v>0</v>
      </c>
      <c r="L381" s="22" t="n">
        <v>0</v>
      </c>
      <c r="M381" s="25">
        <f>K381 * I381</f>
        <v/>
      </c>
      <c r="N381" s="25">
        <f>0</f>
        <v/>
      </c>
      <c r="O381" s="25">
        <f>MAX(M381, N381)</f>
        <v/>
      </c>
      <c r="P381" s="25">
        <f>MAX(O381, P382)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0</v>
      </c>
      <c r="J382" s="24" t="n">
        <v>0</v>
      </c>
      <c r="K382" s="24" t="n">
        <v>0</v>
      </c>
      <c r="L382" s="20" t="n">
        <v>0</v>
      </c>
      <c r="M382" s="24">
        <f>K382 * I382</f>
        <v/>
      </c>
      <c r="N382" s="24">
        <f>0</f>
        <v/>
      </c>
      <c r="O382" s="24">
        <f>MAX(M382, N382)</f>
        <v/>
      </c>
      <c r="P382" s="24">
        <f>MAX(O382, P383)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0</v>
      </c>
      <c r="J383" s="25" t="n">
        <v>0</v>
      </c>
      <c r="K383" s="25" t="n">
        <v>0</v>
      </c>
      <c r="L383" s="22" t="n">
        <v>0</v>
      </c>
      <c r="M383" s="25">
        <f>K383 * I383</f>
        <v/>
      </c>
      <c r="N383" s="25">
        <f>0</f>
        <v/>
      </c>
      <c r="O383" s="25">
        <f>MAX(M383, N383)</f>
        <v/>
      </c>
      <c r="P383" s="25">
        <f>MAX(O383, P384)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0</v>
      </c>
      <c r="J384" s="24" t="n">
        <v>0</v>
      </c>
      <c r="K384" s="24" t="n">
        <v>0</v>
      </c>
      <c r="L384" s="20" t="n">
        <v>0</v>
      </c>
      <c r="M384" s="24">
        <f>K384 * I384</f>
        <v/>
      </c>
      <c r="N384" s="24">
        <f>0</f>
        <v/>
      </c>
      <c r="O384" s="24">
        <f>MAX(M384, N384)</f>
        <v/>
      </c>
      <c r="P384" s="24">
        <f>MAX(O384, P385)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0</v>
      </c>
      <c r="J385" s="25" t="n">
        <v>0</v>
      </c>
      <c r="K385" s="25" t="n">
        <v>0</v>
      </c>
      <c r="L385" s="22" t="n">
        <v>0</v>
      </c>
      <c r="M385" s="25">
        <f>K385 * I385</f>
        <v/>
      </c>
      <c r="N385" s="25">
        <f>0</f>
        <v/>
      </c>
      <c r="O385" s="25">
        <f>MAX(M385, N385)</f>
        <v/>
      </c>
      <c r="P385" s="25">
        <f>MAX(O385, P386)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0</v>
      </c>
      <c r="J386" s="24" t="n">
        <v>0</v>
      </c>
      <c r="K386" s="24" t="n">
        <v>0</v>
      </c>
      <c r="L386" s="20" t="n">
        <v>0</v>
      </c>
      <c r="M386" s="24">
        <f>K386 * I386</f>
        <v/>
      </c>
      <c r="N386" s="24">
        <f>0</f>
        <v/>
      </c>
      <c r="O386" s="24">
        <f>MAX(M386, N386)</f>
        <v/>
      </c>
      <c r="P386" s="24">
        <f>MAX(O386, P387)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0</v>
      </c>
      <c r="J387" s="25" t="n">
        <v>0</v>
      </c>
      <c r="K387" s="25" t="n">
        <v>0</v>
      </c>
      <c r="L387" s="22" t="n">
        <v>0</v>
      </c>
      <c r="M387" s="25">
        <f>K387 * I387</f>
        <v/>
      </c>
      <c r="N387" s="25">
        <f>0</f>
        <v/>
      </c>
      <c r="O387" s="25">
        <f>MAX(M387, N387)</f>
        <v/>
      </c>
      <c r="P387" s="25">
        <f>MAX(O387, P388)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0</v>
      </c>
      <c r="J388" s="24" t="n">
        <v>0</v>
      </c>
      <c r="K388" s="24" t="n">
        <v>0</v>
      </c>
      <c r="L388" s="20" t="n">
        <v>0</v>
      </c>
      <c r="M388" s="24">
        <f>K388 * I388</f>
        <v/>
      </c>
      <c r="N388" s="24">
        <f>0</f>
        <v/>
      </c>
      <c r="O388" s="24">
        <f>MAX(M388, N388)</f>
        <v/>
      </c>
      <c r="P388" s="24">
        <f>MAX(O388, P389)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0</v>
      </c>
      <c r="J389" s="25" t="n">
        <v>0</v>
      </c>
      <c r="K389" s="25" t="n">
        <v>0</v>
      </c>
      <c r="L389" s="22" t="n">
        <v>0</v>
      </c>
      <c r="M389" s="25">
        <f>K389 * I389</f>
        <v/>
      </c>
      <c r="N389" s="25">
        <f>0</f>
        <v/>
      </c>
      <c r="O389" s="25">
        <f>MAX(M389, N389)</f>
        <v/>
      </c>
      <c r="P389" s="25">
        <f>MAX(O389, P390)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0</v>
      </c>
      <c r="J390" s="24" t="n">
        <v>0</v>
      </c>
      <c r="K390" s="24" t="n">
        <v>0</v>
      </c>
      <c r="L390" s="20" t="n">
        <v>0</v>
      </c>
      <c r="M390" s="24">
        <f>K390 * I390</f>
        <v/>
      </c>
      <c r="N390" s="24">
        <f>0</f>
        <v/>
      </c>
      <c r="O390" s="24">
        <f>MAX(M390, N390)</f>
        <v/>
      </c>
      <c r="P390" s="24">
        <f>MAX(O390, P391)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0</v>
      </c>
      <c r="J391" s="25" t="n">
        <v>0</v>
      </c>
      <c r="K391" s="25" t="n">
        <v>0</v>
      </c>
      <c r="L391" s="22" t="n">
        <v>0</v>
      </c>
      <c r="M391" s="25">
        <f>K391 * I391</f>
        <v/>
      </c>
      <c r="N391" s="25">
        <f>0</f>
        <v/>
      </c>
      <c r="O391" s="25">
        <f>MAX(M391, N391)</f>
        <v/>
      </c>
      <c r="P391" s="25">
        <f>MAX(O391, P392)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0</v>
      </c>
      <c r="J392" s="24" t="n">
        <v>0</v>
      </c>
      <c r="K392" s="24" t="n">
        <v>0</v>
      </c>
      <c r="L392" s="20" t="n">
        <v>0</v>
      </c>
      <c r="M392" s="24">
        <f>K392 * I392</f>
        <v/>
      </c>
      <c r="N392" s="24">
        <f>0</f>
        <v/>
      </c>
      <c r="O392" s="24">
        <f>MAX(M392, N392)</f>
        <v/>
      </c>
      <c r="P392" s="24">
        <f>MAX(O392, P393)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0</v>
      </c>
      <c r="J393" s="25" t="n">
        <v>0</v>
      </c>
      <c r="K393" s="25" t="n">
        <v>0</v>
      </c>
      <c r="L393" s="22" t="n">
        <v>0</v>
      </c>
      <c r="M393" s="25">
        <f>K393 * I393</f>
        <v/>
      </c>
      <c r="N393" s="25">
        <f>0</f>
        <v/>
      </c>
      <c r="O393" s="25">
        <f>MAX(M393, N393)</f>
        <v/>
      </c>
      <c r="P393" s="25">
        <f>MAX(O393, P394)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0</v>
      </c>
      <c r="J394" s="24" t="n">
        <v>0</v>
      </c>
      <c r="K394" s="24" t="n">
        <v>0</v>
      </c>
      <c r="L394" s="20" t="n">
        <v>0</v>
      </c>
      <c r="M394" s="24">
        <f>K394 * I394</f>
        <v/>
      </c>
      <c r="N394" s="24">
        <f>0</f>
        <v/>
      </c>
      <c r="O394" s="24">
        <f>MAX(M394, N394)</f>
        <v/>
      </c>
      <c r="P394" s="24">
        <f>MAX(O394, P395)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0</v>
      </c>
      <c r="J395" s="25" t="n">
        <v>0</v>
      </c>
      <c r="K395" s="25" t="n">
        <v>0</v>
      </c>
      <c r="L395" s="22" t="n">
        <v>0</v>
      </c>
      <c r="M395" s="25">
        <f>K395 * I395</f>
        <v/>
      </c>
      <c r="N395" s="25">
        <f>0</f>
        <v/>
      </c>
      <c r="O395" s="25">
        <f>MAX(M395, N395)</f>
        <v/>
      </c>
      <c r="P395" s="25">
        <f>MAX(O395, P396)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0</v>
      </c>
      <c r="J396" s="24" t="n">
        <v>0</v>
      </c>
      <c r="K396" s="24" t="n">
        <v>0</v>
      </c>
      <c r="L396" s="20" t="n">
        <v>0</v>
      </c>
      <c r="M396" s="24">
        <f>K396 * I396</f>
        <v/>
      </c>
      <c r="N396" s="24">
        <f>0</f>
        <v/>
      </c>
      <c r="O396" s="24">
        <f>MAX(M396, N396)</f>
        <v/>
      </c>
      <c r="P396" s="24">
        <f>MAX(O396, P397)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0</v>
      </c>
      <c r="J397" s="25" t="n">
        <v>0</v>
      </c>
      <c r="K397" s="25" t="n">
        <v>0</v>
      </c>
      <c r="L397" s="22" t="n">
        <v>0</v>
      </c>
      <c r="M397" s="25">
        <f>K397 * I397</f>
        <v/>
      </c>
      <c r="N397" s="25">
        <f>0</f>
        <v/>
      </c>
      <c r="O397" s="25">
        <f>MAX(M397, N397)</f>
        <v/>
      </c>
      <c r="P397" s="25">
        <f>MAX(O397, P398)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0</v>
      </c>
      <c r="J398" s="24" t="n">
        <v>0</v>
      </c>
      <c r="K398" s="24" t="n">
        <v>0</v>
      </c>
      <c r="L398" s="20" t="n">
        <v>0</v>
      </c>
      <c r="M398" s="24">
        <f>K398 * I398</f>
        <v/>
      </c>
      <c r="N398" s="24">
        <f>0</f>
        <v/>
      </c>
      <c r="O398" s="24">
        <f>MAX(M398, N398)</f>
        <v/>
      </c>
      <c r="P398" s="24">
        <f>MAX(O398, P399)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0</v>
      </c>
      <c r="J399" s="25" t="n">
        <v>0</v>
      </c>
      <c r="K399" s="25" t="n">
        <v>0</v>
      </c>
      <c r="L399" s="22" t="n">
        <v>0</v>
      </c>
      <c r="M399" s="25">
        <f>K399 * I399</f>
        <v/>
      </c>
      <c r="N399" s="25">
        <f>0</f>
        <v/>
      </c>
      <c r="O399" s="25">
        <f>MAX(M399, N399)</f>
        <v/>
      </c>
      <c r="P399" s="25">
        <f>MAX(O399, P400)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0</v>
      </c>
      <c r="J400" s="24" t="n">
        <v>0</v>
      </c>
      <c r="K400" s="24" t="n">
        <v>0</v>
      </c>
      <c r="L400" s="20" t="n">
        <v>0</v>
      </c>
      <c r="M400" s="24">
        <f>K400 * I400</f>
        <v/>
      </c>
      <c r="N400" s="24">
        <f>0</f>
        <v/>
      </c>
      <c r="O400" s="24">
        <f>MAX(M400, N400)</f>
        <v/>
      </c>
      <c r="P400" s="24">
        <f>MAX(O400, P401)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0</v>
      </c>
      <c r="J401" s="25" t="n">
        <v>0</v>
      </c>
      <c r="K401" s="25" t="n">
        <v>0</v>
      </c>
      <c r="L401" s="22" t="n">
        <v>0</v>
      </c>
      <c r="M401" s="25">
        <f>K401 * I401</f>
        <v/>
      </c>
      <c r="N401" s="25">
        <f>0</f>
        <v/>
      </c>
      <c r="O401" s="25">
        <f>MAX(M401, N401)</f>
        <v/>
      </c>
      <c r="P401" s="25">
        <f>MAX(O401, P402)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0</v>
      </c>
      <c r="J402" s="24" t="n">
        <v>0</v>
      </c>
      <c r="K402" s="24" t="n">
        <v>0</v>
      </c>
      <c r="L402" s="20" t="n">
        <v>0</v>
      </c>
      <c r="M402" s="24">
        <f>K402 * I402</f>
        <v/>
      </c>
      <c r="N402" s="24">
        <f>0</f>
        <v/>
      </c>
      <c r="O402" s="24">
        <f>MAX(M402, N402)</f>
        <v/>
      </c>
      <c r="P402" s="24">
        <f>MAX(O402, P403)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0</v>
      </c>
      <c r="J403" s="25" t="n">
        <v>0</v>
      </c>
      <c r="K403" s="25" t="n">
        <v>0</v>
      </c>
      <c r="L403" s="22" t="n">
        <v>0</v>
      </c>
      <c r="M403" s="25">
        <f>K403 * I403</f>
        <v/>
      </c>
      <c r="N403" s="25">
        <f>0</f>
        <v/>
      </c>
      <c r="O403" s="25">
        <f>MAX(M403, N403)</f>
        <v/>
      </c>
      <c r="P403" s="25">
        <f>MAX(O403, P404)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0</v>
      </c>
      <c r="J404" s="24" t="n">
        <v>0</v>
      </c>
      <c r="K404" s="24" t="n">
        <v>0</v>
      </c>
      <c r="L404" s="20" t="n">
        <v>0</v>
      </c>
      <c r="M404" s="24">
        <f>K404 * I404</f>
        <v/>
      </c>
      <c r="N404" s="24">
        <f>0</f>
        <v/>
      </c>
      <c r="O404" s="24">
        <f>MAX(M404, N404)</f>
        <v/>
      </c>
      <c r="P404" s="24">
        <f>MAX(O404, P405)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0</v>
      </c>
      <c r="J405" s="25" t="n">
        <v>0</v>
      </c>
      <c r="K405" s="25" t="n">
        <v>0</v>
      </c>
      <c r="L405" s="22" t="n">
        <v>0</v>
      </c>
      <c r="M405" s="25">
        <f>K405 * I405</f>
        <v/>
      </c>
      <c r="N405" s="25">
        <f>0</f>
        <v/>
      </c>
      <c r="O405" s="25">
        <f>MAX(M405, N405)</f>
        <v/>
      </c>
      <c r="P405" s="25">
        <f>MAX(O405, P406)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0</v>
      </c>
      <c r="J406" s="24" t="n">
        <v>0</v>
      </c>
      <c r="K406" s="24" t="n">
        <v>0</v>
      </c>
      <c r="L406" s="20" t="n">
        <v>0</v>
      </c>
      <c r="M406" s="24">
        <f>K406 * I406</f>
        <v/>
      </c>
      <c r="N406" s="24">
        <f>0</f>
        <v/>
      </c>
      <c r="O406" s="24">
        <f>MAX(M406, N406)</f>
        <v/>
      </c>
      <c r="P406" s="24">
        <f>MAX(O406, P407)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0</v>
      </c>
      <c r="J407" s="25" t="n">
        <v>0</v>
      </c>
      <c r="K407" s="25" t="n">
        <v>0</v>
      </c>
      <c r="L407" s="22" t="n">
        <v>0</v>
      </c>
      <c r="M407" s="25">
        <f>K407 * I407</f>
        <v/>
      </c>
      <c r="N407" s="25">
        <f>0</f>
        <v/>
      </c>
      <c r="O407" s="25">
        <f>MAX(M407, N407)</f>
        <v/>
      </c>
      <c r="P407" s="25">
        <f>MAX(O407, P408)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0</v>
      </c>
      <c r="J408" s="24" t="n">
        <v>0</v>
      </c>
      <c r="K408" s="24" t="n">
        <v>0</v>
      </c>
      <c r="L408" s="20" t="n">
        <v>0</v>
      </c>
      <c r="M408" s="24">
        <f>K408 * I408</f>
        <v/>
      </c>
      <c r="N408" s="24">
        <f>0</f>
        <v/>
      </c>
      <c r="O408" s="24">
        <f>MAX(M408, N408)</f>
        <v/>
      </c>
      <c r="P408" s="24">
        <f>MAX(O408, P409)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0</v>
      </c>
      <c r="J409" s="25" t="n">
        <v>0</v>
      </c>
      <c r="K409" s="25" t="n">
        <v>0</v>
      </c>
      <c r="L409" s="22" t="n">
        <v>0</v>
      </c>
      <c r="M409" s="25">
        <f>K409 * I409</f>
        <v/>
      </c>
      <c r="N409" s="25">
        <f>0</f>
        <v/>
      </c>
      <c r="O409" s="25">
        <f>MAX(M409, N409)</f>
        <v/>
      </c>
      <c r="P409" s="25">
        <f>MAX(O409, P410)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0</v>
      </c>
      <c r="J410" s="24" t="n">
        <v>0</v>
      </c>
      <c r="K410" s="24" t="n">
        <v>0</v>
      </c>
      <c r="L410" s="20" t="n">
        <v>0</v>
      </c>
      <c r="M410" s="24">
        <f>K410 * I410</f>
        <v/>
      </c>
      <c r="N410" s="24">
        <f>0</f>
        <v/>
      </c>
      <c r="O410" s="24">
        <f>MAX(M410, N410)</f>
        <v/>
      </c>
      <c r="P410" s="24">
        <f>MAX(O410, P411)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0</v>
      </c>
      <c r="J411" s="25" t="n">
        <v>0</v>
      </c>
      <c r="K411" s="25" t="n">
        <v>0</v>
      </c>
      <c r="L411" s="22" t="n">
        <v>0</v>
      </c>
      <c r="M411" s="25">
        <f>K411 * I411</f>
        <v/>
      </c>
      <c r="N411" s="25">
        <f>0</f>
        <v/>
      </c>
      <c r="O411" s="25">
        <f>MAX(M411, N411)</f>
        <v/>
      </c>
      <c r="P411" s="25">
        <f>MAX(O411, P412)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0</v>
      </c>
      <c r="J412" s="24" t="n">
        <v>0</v>
      </c>
      <c r="K412" s="24" t="n">
        <v>0</v>
      </c>
      <c r="L412" s="20" t="n">
        <v>0</v>
      </c>
      <c r="M412" s="24">
        <f>K412 * I412</f>
        <v/>
      </c>
      <c r="N412" s="24">
        <f>0</f>
        <v/>
      </c>
      <c r="O412" s="24">
        <f>MAX(M412, N412)</f>
        <v/>
      </c>
      <c r="P412" s="24">
        <f>MAX(O412, P413)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0</v>
      </c>
      <c r="J413" s="25" t="n">
        <v>0</v>
      </c>
      <c r="K413" s="25" t="n">
        <v>0</v>
      </c>
      <c r="L413" s="22" t="n">
        <v>0</v>
      </c>
      <c r="M413" s="25">
        <f>K413 * I413</f>
        <v/>
      </c>
      <c r="N413" s="25">
        <f>0</f>
        <v/>
      </c>
      <c r="O413" s="25">
        <f>MAX(M413, N413)</f>
        <v/>
      </c>
      <c r="P413" s="25">
        <f>MAX(O413, P414)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0</v>
      </c>
      <c r="J414" s="24" t="n">
        <v>0</v>
      </c>
      <c r="K414" s="24" t="n">
        <v>0</v>
      </c>
      <c r="L414" s="20" t="n">
        <v>0</v>
      </c>
      <c r="M414" s="24">
        <f>K414 * I414</f>
        <v/>
      </c>
      <c r="N414" s="24">
        <f>0</f>
        <v/>
      </c>
      <c r="O414" s="24">
        <f>MAX(M414, N414)</f>
        <v/>
      </c>
      <c r="P414" s="24">
        <f>MAX(O414, P415)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0</v>
      </c>
      <c r="J415" s="25" t="n">
        <v>0</v>
      </c>
      <c r="K415" s="25" t="n">
        <v>0</v>
      </c>
      <c r="L415" s="22" t="n">
        <v>0</v>
      </c>
      <c r="M415" s="25">
        <f>K415 * I415</f>
        <v/>
      </c>
      <c r="N415" s="25">
        <f>0</f>
        <v/>
      </c>
      <c r="O415" s="25">
        <f>MAX(M415, N415)</f>
        <v/>
      </c>
      <c r="P415" s="25">
        <f>MAX(O415, P416)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0</v>
      </c>
      <c r="J416" s="24" t="n">
        <v>0</v>
      </c>
      <c r="K416" s="24" t="n">
        <v>0</v>
      </c>
      <c r="L416" s="20" t="n">
        <v>0</v>
      </c>
      <c r="M416" s="24">
        <f>K416 * I416</f>
        <v/>
      </c>
      <c r="N416" s="24">
        <f>0</f>
        <v/>
      </c>
      <c r="O416" s="24">
        <f>MAX(M416, N416)</f>
        <v/>
      </c>
      <c r="P416" s="24">
        <f>MAX(O416, P417)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0</v>
      </c>
      <c r="J417" s="25" t="n">
        <v>0</v>
      </c>
      <c r="K417" s="25" t="n">
        <v>0</v>
      </c>
      <c r="L417" s="22" t="n">
        <v>0</v>
      </c>
      <c r="M417" s="25">
        <f>K417 * I417</f>
        <v/>
      </c>
      <c r="N417" s="25">
        <f>0</f>
        <v/>
      </c>
      <c r="O417" s="25">
        <f>MAX(M417, N417)</f>
        <v/>
      </c>
      <c r="P417" s="25">
        <f>MAX(O417, P418)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0</v>
      </c>
      <c r="J418" s="24" t="n">
        <v>0</v>
      </c>
      <c r="K418" s="24" t="n">
        <v>0</v>
      </c>
      <c r="L418" s="20" t="n">
        <v>0</v>
      </c>
      <c r="M418" s="24">
        <f>K418 * I418</f>
        <v/>
      </c>
      <c r="N418" s="24">
        <f>0</f>
        <v/>
      </c>
      <c r="O418" s="24">
        <f>MAX(M418, N418)</f>
        <v/>
      </c>
      <c r="P418" s="24">
        <f>MAX(O418, P419)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0</v>
      </c>
      <c r="J419" s="25" t="n">
        <v>0</v>
      </c>
      <c r="K419" s="25" t="n">
        <v>0</v>
      </c>
      <c r="L419" s="22" t="n">
        <v>0</v>
      </c>
      <c r="M419" s="25">
        <f>K419 * I419</f>
        <v/>
      </c>
      <c r="N419" s="25">
        <f>0</f>
        <v/>
      </c>
      <c r="O419" s="25">
        <f>MAX(M419, N419)</f>
        <v/>
      </c>
      <c r="P419" s="25">
        <f>MAX(O419, P420)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0</v>
      </c>
      <c r="J420" s="24" t="n">
        <v>0</v>
      </c>
      <c r="K420" s="24" t="n">
        <v>0</v>
      </c>
      <c r="L420" s="20" t="n">
        <v>0</v>
      </c>
      <c r="M420" s="24">
        <f>K420 * I420</f>
        <v/>
      </c>
      <c r="N420" s="24">
        <f>0</f>
        <v/>
      </c>
      <c r="O420" s="24">
        <f>MAX(M420, N420)</f>
        <v/>
      </c>
      <c r="P420" s="24">
        <f>MAX(O420, P421)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0</v>
      </c>
      <c r="J421" s="25" t="n">
        <v>0</v>
      </c>
      <c r="K421" s="25" t="n">
        <v>0</v>
      </c>
      <c r="L421" s="22" t="n">
        <v>0</v>
      </c>
      <c r="M421" s="25">
        <f>K421 * I421</f>
        <v/>
      </c>
      <c r="N421" s="25">
        <f>0</f>
        <v/>
      </c>
      <c r="O421" s="25">
        <f>MAX(M421, N421)</f>
        <v/>
      </c>
      <c r="P421" s="25">
        <f>MAX(O421, P422)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0</v>
      </c>
      <c r="J422" s="24" t="n">
        <v>0</v>
      </c>
      <c r="K422" s="24" t="n">
        <v>0</v>
      </c>
      <c r="L422" s="20" t="n">
        <v>0</v>
      </c>
      <c r="M422" s="24">
        <f>K422 * I422</f>
        <v/>
      </c>
      <c r="N422" s="24">
        <f>0</f>
        <v/>
      </c>
      <c r="O422" s="24">
        <f>MAX(M422, N422)</f>
        <v/>
      </c>
      <c r="P422" s="24">
        <f>MAX(O422, P423)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0</v>
      </c>
      <c r="J423" s="25" t="n">
        <v>0</v>
      </c>
      <c r="K423" s="25" t="n">
        <v>0</v>
      </c>
      <c r="L423" s="22" t="n">
        <v>0</v>
      </c>
      <c r="M423" s="25">
        <f>K423 * I423</f>
        <v/>
      </c>
      <c r="N423" s="25">
        <f>0</f>
        <v/>
      </c>
      <c r="O423" s="25">
        <f>MAX(M423, N423)</f>
        <v/>
      </c>
      <c r="P423" s="25">
        <f>MAX(O423, P424)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0</v>
      </c>
      <c r="J424" s="24" t="n">
        <v>0</v>
      </c>
      <c r="K424" s="24" t="n">
        <v>0</v>
      </c>
      <c r="L424" s="20" t="n">
        <v>0</v>
      </c>
      <c r="M424" s="24">
        <f>K424 * I424</f>
        <v/>
      </c>
      <c r="N424" s="24">
        <f>0</f>
        <v/>
      </c>
      <c r="O424" s="24">
        <f>MAX(M424, N424)</f>
        <v/>
      </c>
      <c r="P424" s="24">
        <f>MAX(O424, P425)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0</v>
      </c>
      <c r="J425" s="25" t="n">
        <v>0</v>
      </c>
      <c r="K425" s="25" t="n">
        <v>0</v>
      </c>
      <c r="L425" s="22" t="n">
        <v>0</v>
      </c>
      <c r="M425" s="25">
        <f>K425 * I425</f>
        <v/>
      </c>
      <c r="N425" s="25">
        <f>0</f>
        <v/>
      </c>
      <c r="O425" s="25">
        <f>MAX(M425, N425)</f>
        <v/>
      </c>
      <c r="P425" s="25">
        <f>MAX(O425, P426)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0</v>
      </c>
      <c r="J426" s="24" t="n">
        <v>0</v>
      </c>
      <c r="K426" s="24" t="n">
        <v>0</v>
      </c>
      <c r="L426" s="20" t="n">
        <v>0</v>
      </c>
      <c r="M426" s="24">
        <f>K426 * I426</f>
        <v/>
      </c>
      <c r="N426" s="24">
        <f>0</f>
        <v/>
      </c>
      <c r="O426" s="24">
        <f>MAX(M426, N426)</f>
        <v/>
      </c>
      <c r="P426" s="24">
        <f>MAX(O426, P427)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0</v>
      </c>
      <c r="J427" s="25" t="n">
        <v>0</v>
      </c>
      <c r="K427" s="25" t="n">
        <v>0</v>
      </c>
      <c r="L427" s="22" t="n">
        <v>0</v>
      </c>
      <c r="M427" s="25">
        <f>K427 * I427</f>
        <v/>
      </c>
      <c r="N427" s="25">
        <f>0</f>
        <v/>
      </c>
      <c r="O427" s="25">
        <f>MAX(M427, N427)</f>
        <v/>
      </c>
      <c r="P427" s="25">
        <f>MAX(O427, P428)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0</v>
      </c>
      <c r="J428" s="24" t="n">
        <v>0</v>
      </c>
      <c r="K428" s="24" t="n">
        <v>0</v>
      </c>
      <c r="L428" s="20" t="n">
        <v>0</v>
      </c>
      <c r="M428" s="24">
        <f>K428 * I428</f>
        <v/>
      </c>
      <c r="N428" s="24">
        <f>0</f>
        <v/>
      </c>
      <c r="O428" s="24">
        <f>MAX(M428, N428)</f>
        <v/>
      </c>
      <c r="P428" s="24">
        <f>MAX(O428, P429)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0</v>
      </c>
      <c r="J429" s="25" t="n">
        <v>0</v>
      </c>
      <c r="K429" s="25" t="n">
        <v>0</v>
      </c>
      <c r="L429" s="22" t="n">
        <v>0</v>
      </c>
      <c r="M429" s="25">
        <f>K429 * I429</f>
        <v/>
      </c>
      <c r="N429" s="25">
        <f>0</f>
        <v/>
      </c>
      <c r="O429" s="25">
        <f>MAX(M429, N429)</f>
        <v/>
      </c>
      <c r="P429" s="25">
        <f>MAX(O429, P430)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0</v>
      </c>
      <c r="J430" s="24" t="n">
        <v>0</v>
      </c>
      <c r="K430" s="24" t="n">
        <v>0</v>
      </c>
      <c r="L430" s="20" t="n">
        <v>0</v>
      </c>
      <c r="M430" s="24">
        <f>K430 * I430</f>
        <v/>
      </c>
      <c r="N430" s="24">
        <f>0</f>
        <v/>
      </c>
      <c r="O430" s="24">
        <f>MAX(M430, N430)</f>
        <v/>
      </c>
      <c r="P430" s="24">
        <f>MAX(O430, P431)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0</v>
      </c>
      <c r="J431" s="25" t="n">
        <v>0</v>
      </c>
      <c r="K431" s="25" t="n">
        <v>0</v>
      </c>
      <c r="L431" s="22" t="n">
        <v>0</v>
      </c>
      <c r="M431" s="25">
        <f>K431 * I431</f>
        <v/>
      </c>
      <c r="N431" s="25">
        <f>0</f>
        <v/>
      </c>
      <c r="O431" s="25">
        <f>MAX(M431, N431)</f>
        <v/>
      </c>
      <c r="P431" s="25">
        <f>MAX(O431, P432)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0</v>
      </c>
      <c r="J432" s="24" t="n">
        <v>0</v>
      </c>
      <c r="K432" s="24" t="n">
        <v>0</v>
      </c>
      <c r="L432" s="20" t="n">
        <v>0</v>
      </c>
      <c r="M432" s="24">
        <f>K432 * I432</f>
        <v/>
      </c>
      <c r="N432" s="24">
        <f>0</f>
        <v/>
      </c>
      <c r="O432" s="24">
        <f>MAX(M432, N432)</f>
        <v/>
      </c>
      <c r="P432" s="24">
        <f>MAX(O432, P433)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0</v>
      </c>
      <c r="J433" s="25" t="n">
        <v>0</v>
      </c>
      <c r="K433" s="25" t="n">
        <v>0</v>
      </c>
      <c r="L433" s="22" t="n">
        <v>0</v>
      </c>
      <c r="M433" s="25">
        <f>K433 * I433</f>
        <v/>
      </c>
      <c r="N433" s="25">
        <f>0</f>
        <v/>
      </c>
      <c r="O433" s="25">
        <f>MAX(M433, N433)</f>
        <v/>
      </c>
      <c r="P433" s="25">
        <f>MAX(O433, P434)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0</v>
      </c>
      <c r="J434" s="24" t="n">
        <v>0</v>
      </c>
      <c r="K434" s="24" t="n">
        <v>0</v>
      </c>
      <c r="L434" s="20" t="n">
        <v>0</v>
      </c>
      <c r="M434" s="24">
        <f>K434 * I434</f>
        <v/>
      </c>
      <c r="N434" s="24">
        <f>0</f>
        <v/>
      </c>
      <c r="O434" s="24">
        <f>MAX(M434, N434)</f>
        <v/>
      </c>
      <c r="P434" s="24">
        <f>MAX(O434, P435)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0</v>
      </c>
      <c r="J435" s="25" t="n">
        <v>0</v>
      </c>
      <c r="K435" s="25" t="n">
        <v>0</v>
      </c>
      <c r="L435" s="22" t="n">
        <v>0</v>
      </c>
      <c r="M435" s="25">
        <f>K435 * I435</f>
        <v/>
      </c>
      <c r="N435" s="25">
        <f>0</f>
        <v/>
      </c>
      <c r="O435" s="25">
        <f>MAX(M435, N435)</f>
        <v/>
      </c>
      <c r="P435" s="25">
        <f>MAX(O435, P436)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0</v>
      </c>
      <c r="J436" s="24" t="n">
        <v>0</v>
      </c>
      <c r="K436" s="24" t="n">
        <v>0</v>
      </c>
      <c r="L436" s="20" t="n">
        <v>0</v>
      </c>
      <c r="M436" s="24">
        <f>K436 * I436</f>
        <v/>
      </c>
      <c r="N436" s="24">
        <f>0</f>
        <v/>
      </c>
      <c r="O436" s="24">
        <f>MAX(M436, N436)</f>
        <v/>
      </c>
      <c r="P436" s="24">
        <f>MAX(O436, P437)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0</v>
      </c>
      <c r="J437" s="25" t="n">
        <v>0</v>
      </c>
      <c r="K437" s="25" t="n">
        <v>0</v>
      </c>
      <c r="L437" s="22" t="n">
        <v>0</v>
      </c>
      <c r="M437" s="25">
        <f>K437 * I437</f>
        <v/>
      </c>
      <c r="N437" s="25">
        <f>0</f>
        <v/>
      </c>
      <c r="O437" s="25">
        <f>MAX(M437, N437)</f>
        <v/>
      </c>
      <c r="P437" s="25">
        <f>MAX(O437, P438)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0</v>
      </c>
      <c r="J438" s="24" t="n">
        <v>0</v>
      </c>
      <c r="K438" s="24" t="n">
        <v>0</v>
      </c>
      <c r="L438" s="20" t="n">
        <v>0</v>
      </c>
      <c r="M438" s="24">
        <f>K438 * I438</f>
        <v/>
      </c>
      <c r="N438" s="24">
        <f>0</f>
        <v/>
      </c>
      <c r="O438" s="24">
        <f>MAX(M438, N438)</f>
        <v/>
      </c>
      <c r="P438" s="24">
        <f>MAX(O438, P439)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0</v>
      </c>
      <c r="J439" s="25" t="n">
        <v>0</v>
      </c>
      <c r="K439" s="25" t="n">
        <v>0</v>
      </c>
      <c r="L439" s="22" t="n">
        <v>0</v>
      </c>
      <c r="M439" s="25">
        <f>K439 * I439</f>
        <v/>
      </c>
      <c r="N439" s="25">
        <f>0</f>
        <v/>
      </c>
      <c r="O439" s="25">
        <f>MAX(M439, N439)</f>
        <v/>
      </c>
      <c r="P439" s="25">
        <f>MAX(O439, P440)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0</v>
      </c>
      <c r="J440" s="24" t="n">
        <v>0</v>
      </c>
      <c r="K440" s="24" t="n">
        <v>0</v>
      </c>
      <c r="L440" s="20" t="n">
        <v>0</v>
      </c>
      <c r="M440" s="24">
        <f>K440 * I440</f>
        <v/>
      </c>
      <c r="N440" s="24">
        <f>0</f>
        <v/>
      </c>
      <c r="O440" s="24">
        <f>MAX(M440, N440)</f>
        <v/>
      </c>
      <c r="P440" s="24">
        <f>MAX(O440, P441)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0</v>
      </c>
      <c r="J441" s="25" t="n">
        <v>0</v>
      </c>
      <c r="K441" s="25" t="n">
        <v>0</v>
      </c>
      <c r="L441" s="22" t="n">
        <v>0</v>
      </c>
      <c r="M441" s="25">
        <f>K441 * I441</f>
        <v/>
      </c>
      <c r="N441" s="25">
        <f>0</f>
        <v/>
      </c>
      <c r="O441" s="25">
        <f>MAX(M441, N441)</f>
        <v/>
      </c>
      <c r="P441" s="25">
        <f>MAX(O441, P442)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0</v>
      </c>
      <c r="J442" s="24" t="n">
        <v>0</v>
      </c>
      <c r="K442" s="24" t="n">
        <v>0</v>
      </c>
      <c r="L442" s="20" t="n">
        <v>0</v>
      </c>
      <c r="M442" s="24">
        <f>K442 * I442</f>
        <v/>
      </c>
      <c r="N442" s="24">
        <f>0</f>
        <v/>
      </c>
      <c r="O442" s="24">
        <f>MAX(M442, N442)</f>
        <v/>
      </c>
      <c r="P442" s="24">
        <f>MAX(O442, P443)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0</v>
      </c>
      <c r="J443" s="25" t="n">
        <v>0</v>
      </c>
      <c r="K443" s="25" t="n">
        <v>0</v>
      </c>
      <c r="L443" s="22" t="n">
        <v>0</v>
      </c>
      <c r="M443" s="25">
        <f>K443 * I443</f>
        <v/>
      </c>
      <c r="N443" s="25">
        <f>0</f>
        <v/>
      </c>
      <c r="O443" s="25">
        <f>MAX(M443, N443)</f>
        <v/>
      </c>
      <c r="P443" s="25">
        <f>MAX(O443, P444)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0</v>
      </c>
      <c r="J444" s="24" t="n">
        <v>0</v>
      </c>
      <c r="K444" s="24" t="n">
        <v>0</v>
      </c>
      <c r="L444" s="20" t="n">
        <v>0</v>
      </c>
      <c r="M444" s="24">
        <f>K444 * I444</f>
        <v/>
      </c>
      <c r="N444" s="24">
        <f>0</f>
        <v/>
      </c>
      <c r="O444" s="24">
        <f>MAX(M444, N444)</f>
        <v/>
      </c>
      <c r="P444" s="24">
        <f>MAX(O444, P445)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0</v>
      </c>
      <c r="J445" s="25" t="n">
        <v>0</v>
      </c>
      <c r="K445" s="25" t="n">
        <v>0</v>
      </c>
      <c r="L445" s="22" t="n">
        <v>0</v>
      </c>
      <c r="M445" s="25">
        <f>K445 * I445</f>
        <v/>
      </c>
      <c r="N445" s="25">
        <f>0</f>
        <v/>
      </c>
      <c r="O445" s="25">
        <f>MAX(M445, N445)</f>
        <v/>
      </c>
      <c r="P445" s="25">
        <f>MAX(O445, P446)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0</v>
      </c>
      <c r="J446" s="24" t="n">
        <v>0</v>
      </c>
      <c r="K446" s="24" t="n">
        <v>0</v>
      </c>
      <c r="L446" s="20" t="n">
        <v>0</v>
      </c>
      <c r="M446" s="24">
        <f>K446 * I446</f>
        <v/>
      </c>
      <c r="N446" s="24">
        <f>0</f>
        <v/>
      </c>
      <c r="O446" s="24">
        <f>MAX(M446, N446)</f>
        <v/>
      </c>
      <c r="P446" s="24">
        <f>MAX(O446, P447)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0</v>
      </c>
      <c r="J447" s="25" t="n">
        <v>0</v>
      </c>
      <c r="K447" s="25" t="n">
        <v>0</v>
      </c>
      <c r="L447" s="22" t="n">
        <v>0</v>
      </c>
      <c r="M447" s="25">
        <f>K447 * I447</f>
        <v/>
      </c>
      <c r="N447" s="25">
        <f>0</f>
        <v/>
      </c>
      <c r="O447" s="25">
        <f>MAX(M447, N447)</f>
        <v/>
      </c>
      <c r="P447" s="25">
        <f>MAX(O447, P448)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0</v>
      </c>
      <c r="J448" s="24" t="n">
        <v>0</v>
      </c>
      <c r="K448" s="24" t="n">
        <v>0</v>
      </c>
      <c r="L448" s="20" t="n">
        <v>0</v>
      </c>
      <c r="M448" s="24">
        <f>K448 * I448</f>
        <v/>
      </c>
      <c r="N448" s="24">
        <f>0</f>
        <v/>
      </c>
      <c r="O448" s="24">
        <f>MAX(M448, N448)</f>
        <v/>
      </c>
      <c r="P448" s="24">
        <f>MAX(O448, P449)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0</v>
      </c>
      <c r="J449" s="25" t="n">
        <v>0</v>
      </c>
      <c r="K449" s="25" t="n">
        <v>0</v>
      </c>
      <c r="L449" s="22" t="n">
        <v>0</v>
      </c>
      <c r="M449" s="25">
        <f>K449 * I449</f>
        <v/>
      </c>
      <c r="N449" s="25">
        <f>0</f>
        <v/>
      </c>
      <c r="O449" s="25">
        <f>MAX(M449, N449)</f>
        <v/>
      </c>
      <c r="P449" s="25">
        <f>MAX(O449, P450)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0</v>
      </c>
      <c r="J450" s="24" t="n">
        <v>0</v>
      </c>
      <c r="K450" s="24" t="n">
        <v>0</v>
      </c>
      <c r="L450" s="20" t="n">
        <v>0</v>
      </c>
      <c r="M450" s="24">
        <f>K450 * I450</f>
        <v/>
      </c>
      <c r="N450" s="24">
        <f>0</f>
        <v/>
      </c>
      <c r="O450" s="24">
        <f>MAX(M450, N450)</f>
        <v/>
      </c>
      <c r="P450" s="24">
        <f>MAX(O450, P451)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0</v>
      </c>
      <c r="J451" s="25" t="n">
        <v>0</v>
      </c>
      <c r="K451" s="25" t="n">
        <v>0</v>
      </c>
      <c r="L451" s="22" t="n">
        <v>0</v>
      </c>
      <c r="M451" s="25">
        <f>K451 * I451</f>
        <v/>
      </c>
      <c r="N451" s="25">
        <f>0</f>
        <v/>
      </c>
      <c r="O451" s="25">
        <f>MAX(M451, N451)</f>
        <v/>
      </c>
      <c r="P451" s="25">
        <f>MAX(O451, P452)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0</v>
      </c>
      <c r="J452" s="24" t="n">
        <v>0</v>
      </c>
      <c r="K452" s="24" t="n">
        <v>0</v>
      </c>
      <c r="L452" s="20" t="n">
        <v>0</v>
      </c>
      <c r="M452" s="24">
        <f>K452 * I452</f>
        <v/>
      </c>
      <c r="N452" s="24">
        <f>0</f>
        <v/>
      </c>
      <c r="O452" s="24">
        <f>MAX(M452, N452)</f>
        <v/>
      </c>
      <c r="P452" s="24">
        <f>MAX(O452, P453)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0</v>
      </c>
      <c r="J453" s="25" t="n">
        <v>0</v>
      </c>
      <c r="K453" s="25" t="n">
        <v>0</v>
      </c>
      <c r="L453" s="22" t="n">
        <v>0</v>
      </c>
      <c r="M453" s="25">
        <f>K453 * I453</f>
        <v/>
      </c>
      <c r="N453" s="25">
        <f>0</f>
        <v/>
      </c>
      <c r="O453" s="25">
        <f>MAX(M453, N453)</f>
        <v/>
      </c>
      <c r="P453" s="25">
        <f>MAX(O453, P454)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0</v>
      </c>
      <c r="J454" s="24" t="n">
        <v>0</v>
      </c>
      <c r="K454" s="24" t="n">
        <v>0</v>
      </c>
      <c r="L454" s="20" t="n">
        <v>0</v>
      </c>
      <c r="M454" s="24">
        <f>K454 * I454</f>
        <v/>
      </c>
      <c r="N454" s="24">
        <f>0</f>
        <v/>
      </c>
      <c r="O454" s="24">
        <f>MAX(M454, N454)</f>
        <v/>
      </c>
      <c r="P454" s="24">
        <f>MAX(O454, P455)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0</v>
      </c>
      <c r="J455" s="25" t="n">
        <v>0</v>
      </c>
      <c r="K455" s="25" t="n">
        <v>0</v>
      </c>
      <c r="L455" s="22" t="n">
        <v>0</v>
      </c>
      <c r="M455" s="25">
        <f>K455 * I455</f>
        <v/>
      </c>
      <c r="N455" s="25">
        <f>0</f>
        <v/>
      </c>
      <c r="O455" s="25">
        <f>MAX(M455, N455)</f>
        <v/>
      </c>
      <c r="P455" s="25">
        <f>MAX(O455, P456)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0</v>
      </c>
      <c r="J456" s="24" t="n">
        <v>0</v>
      </c>
      <c r="K456" s="24" t="n">
        <v>0</v>
      </c>
      <c r="L456" s="20" t="n">
        <v>0</v>
      </c>
      <c r="M456" s="24">
        <f>K456 * I456</f>
        <v/>
      </c>
      <c r="N456" s="24">
        <f>0</f>
        <v/>
      </c>
      <c r="O456" s="24">
        <f>MAX(M456, N456)</f>
        <v/>
      </c>
      <c r="P456" s="24">
        <f>MAX(O456, P457)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0</v>
      </c>
      <c r="J457" s="25" t="n">
        <v>0</v>
      </c>
      <c r="K457" s="25" t="n">
        <v>0</v>
      </c>
      <c r="L457" s="22" t="n">
        <v>0</v>
      </c>
      <c r="M457" s="25">
        <f>K457 * I457</f>
        <v/>
      </c>
      <c r="N457" s="25">
        <f>0</f>
        <v/>
      </c>
      <c r="O457" s="25">
        <f>MAX(M457, N457)</f>
        <v/>
      </c>
      <c r="P457" s="25">
        <f>MAX(O457, P458)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0</v>
      </c>
      <c r="J458" s="24" t="n">
        <v>0</v>
      </c>
      <c r="K458" s="24" t="n">
        <v>0</v>
      </c>
      <c r="L458" s="20" t="n">
        <v>0</v>
      </c>
      <c r="M458" s="24">
        <f>K458 * I458</f>
        <v/>
      </c>
      <c r="N458" s="24">
        <f>0</f>
        <v/>
      </c>
      <c r="O458" s="24">
        <f>MAX(M458, N458)</f>
        <v/>
      </c>
      <c r="P458" s="24">
        <f>MAX(O458, P459)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0</v>
      </c>
      <c r="J459" s="25" t="n">
        <v>0</v>
      </c>
      <c r="K459" s="25" t="n">
        <v>0</v>
      </c>
      <c r="L459" s="22" t="n">
        <v>0</v>
      </c>
      <c r="M459" s="25">
        <f>K459 * I459</f>
        <v/>
      </c>
      <c r="N459" s="25">
        <f>0</f>
        <v/>
      </c>
      <c r="O459" s="25">
        <f>MAX(M459, N459)</f>
        <v/>
      </c>
      <c r="P459" s="25">
        <f>MAX(O459, P460)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0</v>
      </c>
      <c r="J460" s="24" t="n">
        <v>0</v>
      </c>
      <c r="K460" s="24" t="n">
        <v>0</v>
      </c>
      <c r="L460" s="20" t="n">
        <v>0</v>
      </c>
      <c r="M460" s="24">
        <f>K460 * I460</f>
        <v/>
      </c>
      <c r="N460" s="24">
        <f>0</f>
        <v/>
      </c>
      <c r="O460" s="24">
        <f>MAX(M460, N460)</f>
        <v/>
      </c>
      <c r="P460" s="24">
        <f>MAX(O460, P461)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0</v>
      </c>
      <c r="J461" s="25" t="n">
        <v>0</v>
      </c>
      <c r="K461" s="25" t="n">
        <v>0</v>
      </c>
      <c r="L461" s="22" t="n">
        <v>0</v>
      </c>
      <c r="M461" s="25">
        <f>K461 * I461</f>
        <v/>
      </c>
      <c r="N461" s="25">
        <f>0</f>
        <v/>
      </c>
      <c r="O461" s="25">
        <f>MAX(M461, N461)</f>
        <v/>
      </c>
      <c r="P461" s="25">
        <f>MAX(O461, P462)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0</v>
      </c>
      <c r="J462" s="24" t="n">
        <v>0</v>
      </c>
      <c r="K462" s="24" t="n">
        <v>0</v>
      </c>
      <c r="L462" s="20" t="n">
        <v>0</v>
      </c>
      <c r="M462" s="24">
        <f>K462 * I462</f>
        <v/>
      </c>
      <c r="N462" s="24">
        <f>0</f>
        <v/>
      </c>
      <c r="O462" s="24">
        <f>MAX(M462, N462)</f>
        <v/>
      </c>
      <c r="P462" s="24">
        <f>MAX(O462, P463)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0</v>
      </c>
      <c r="J463" s="25" t="n">
        <v>0</v>
      </c>
      <c r="K463" s="25" t="n">
        <v>0</v>
      </c>
      <c r="L463" s="22" t="n">
        <v>0</v>
      </c>
      <c r="M463" s="25">
        <f>K463 * I463</f>
        <v/>
      </c>
      <c r="N463" s="25">
        <f>0</f>
        <v/>
      </c>
      <c r="O463" s="25">
        <f>MAX(M463, N463)</f>
        <v/>
      </c>
      <c r="P463" s="25">
        <f>MAX(O463, P464)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0</v>
      </c>
      <c r="J464" s="24" t="n">
        <v>0</v>
      </c>
      <c r="K464" s="24" t="n">
        <v>0</v>
      </c>
      <c r="L464" s="20" t="n">
        <v>0</v>
      </c>
      <c r="M464" s="24">
        <f>K464 * I464</f>
        <v/>
      </c>
      <c r="N464" s="24">
        <f>0</f>
        <v/>
      </c>
      <c r="O464" s="24">
        <f>MAX(M464, N464)</f>
        <v/>
      </c>
      <c r="P464" s="24">
        <f>MAX(O464, P465)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0</v>
      </c>
      <c r="J465" s="25" t="n">
        <v>0</v>
      </c>
      <c r="K465" s="25" t="n">
        <v>0</v>
      </c>
      <c r="L465" s="22" t="n">
        <v>0</v>
      </c>
      <c r="M465" s="25">
        <f>K465 * I465</f>
        <v/>
      </c>
      <c r="N465" s="25">
        <f>0</f>
        <v/>
      </c>
      <c r="O465" s="25">
        <f>MAX(M465, N465)</f>
        <v/>
      </c>
      <c r="P465" s="25">
        <f>MAX(O465, P466)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0</v>
      </c>
      <c r="J466" s="24" t="n">
        <v>0</v>
      </c>
      <c r="K466" s="24" t="n">
        <v>0</v>
      </c>
      <c r="L466" s="20" t="n">
        <v>0</v>
      </c>
      <c r="M466" s="24">
        <f>K466 * I466</f>
        <v/>
      </c>
      <c r="N466" s="24">
        <f>0</f>
        <v/>
      </c>
      <c r="O466" s="24">
        <f>MAX(M466, N466)</f>
        <v/>
      </c>
      <c r="P466" s="24">
        <f>MAX(O466, P467)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0</v>
      </c>
      <c r="J467" s="25" t="n">
        <v>0</v>
      </c>
      <c r="K467" s="25" t="n">
        <v>0</v>
      </c>
      <c r="L467" s="22" t="n">
        <v>0</v>
      </c>
      <c r="M467" s="25">
        <f>K467 * I467</f>
        <v/>
      </c>
      <c r="N467" s="25">
        <f>0</f>
        <v/>
      </c>
      <c r="O467" s="25">
        <f>MAX(M467, N467)</f>
        <v/>
      </c>
      <c r="P467" s="25">
        <f>MAX(O467, P468)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0</v>
      </c>
      <c r="J468" s="24" t="n">
        <v>0</v>
      </c>
      <c r="K468" s="24" t="n">
        <v>0</v>
      </c>
      <c r="L468" s="20" t="n">
        <v>0</v>
      </c>
      <c r="M468" s="24">
        <f>K468 * I468</f>
        <v/>
      </c>
      <c r="N468" s="24">
        <f>0</f>
        <v/>
      </c>
      <c r="O468" s="24">
        <f>MAX(M468, N468)</f>
        <v/>
      </c>
      <c r="P468" s="24">
        <f>MAX(O468, P469)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0</v>
      </c>
      <c r="J469" s="25" t="n">
        <v>0</v>
      </c>
      <c r="K469" s="25" t="n">
        <v>0</v>
      </c>
      <c r="L469" s="22" t="n">
        <v>0</v>
      </c>
      <c r="M469" s="25">
        <f>K469 * I469</f>
        <v/>
      </c>
      <c r="N469" s="25">
        <f>0</f>
        <v/>
      </c>
      <c r="O469" s="25">
        <f>MAX(M469, N469)</f>
        <v/>
      </c>
      <c r="P469" s="25">
        <f>MAX(O469, P470)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0</v>
      </c>
      <c r="J470" s="24" t="n">
        <v>0</v>
      </c>
      <c r="K470" s="24" t="n">
        <v>0</v>
      </c>
      <c r="L470" s="20" t="n">
        <v>0</v>
      </c>
      <c r="M470" s="24">
        <f>K470 * I470</f>
        <v/>
      </c>
      <c r="N470" s="24">
        <f>0</f>
        <v/>
      </c>
      <c r="O470" s="24">
        <f>MAX(M470, N470)</f>
        <v/>
      </c>
      <c r="P470" s="24">
        <f>MAX(O470, P471)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0</v>
      </c>
      <c r="J471" s="25" t="n">
        <v>0</v>
      </c>
      <c r="K471" s="25" t="n">
        <v>0</v>
      </c>
      <c r="L471" s="22" t="n">
        <v>0</v>
      </c>
      <c r="M471" s="25">
        <f>K471 * I471</f>
        <v/>
      </c>
      <c r="N471" s="25">
        <f>0</f>
        <v/>
      </c>
      <c r="O471" s="25">
        <f>MAX(M471, N471)</f>
        <v/>
      </c>
      <c r="P471" s="25">
        <f>MAX(O471, P472)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0</v>
      </c>
      <c r="J472" s="24" t="n">
        <v>0</v>
      </c>
      <c r="K472" s="24" t="n">
        <v>0</v>
      </c>
      <c r="L472" s="20" t="n">
        <v>0</v>
      </c>
      <c r="M472" s="24">
        <f>K472 * I472</f>
        <v/>
      </c>
      <c r="N472" s="24">
        <f>0</f>
        <v/>
      </c>
      <c r="O472" s="24">
        <f>MAX(M472, N472)</f>
        <v/>
      </c>
      <c r="P472" s="24">
        <f>MAX(O472, P473)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0</v>
      </c>
      <c r="J473" s="25" t="n">
        <v>0</v>
      </c>
      <c r="K473" s="25" t="n">
        <v>0</v>
      </c>
      <c r="L473" s="22" t="n">
        <v>0</v>
      </c>
      <c r="M473" s="25">
        <f>K473 * I473</f>
        <v/>
      </c>
      <c r="N473" s="25">
        <f>0</f>
        <v/>
      </c>
      <c r="O473" s="25">
        <f>MAX(M473, N473)</f>
        <v/>
      </c>
      <c r="P473" s="25">
        <f>MAX(O473, P474)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0</v>
      </c>
      <c r="J474" s="24" t="n">
        <v>0</v>
      </c>
      <c r="K474" s="24" t="n">
        <v>0</v>
      </c>
      <c r="L474" s="20" t="n">
        <v>0</v>
      </c>
      <c r="M474" s="24">
        <f>K474 * I474</f>
        <v/>
      </c>
      <c r="N474" s="24">
        <f>0</f>
        <v/>
      </c>
      <c r="O474" s="24">
        <f>MAX(M474, N474)</f>
        <v/>
      </c>
      <c r="P474" s="24">
        <f>MAX(O474, P475)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0</v>
      </c>
      <c r="J475" s="25" t="n">
        <v>0</v>
      </c>
      <c r="K475" s="25" t="n">
        <v>0</v>
      </c>
      <c r="L475" s="22" t="n">
        <v>0</v>
      </c>
      <c r="M475" s="25">
        <f>K475 * I475</f>
        <v/>
      </c>
      <c r="N475" s="25">
        <f>0</f>
        <v/>
      </c>
      <c r="O475" s="25">
        <f>MAX(M475, N475)</f>
        <v/>
      </c>
      <c r="P475" s="25">
        <f>MAX(O475, P476)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0</v>
      </c>
      <c r="J476" s="24" t="n">
        <v>0</v>
      </c>
      <c r="K476" s="24" t="n">
        <v>0</v>
      </c>
      <c r="L476" s="20" t="n">
        <v>0</v>
      </c>
      <c r="M476" s="24">
        <f>K476 * I476</f>
        <v/>
      </c>
      <c r="N476" s="24">
        <f>0</f>
        <v/>
      </c>
      <c r="O476" s="24">
        <f>MAX(M476, N476)</f>
        <v/>
      </c>
      <c r="P476" s="24">
        <f>MAX(O476, P477)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0</v>
      </c>
      <c r="J477" s="25" t="n">
        <v>0</v>
      </c>
      <c r="K477" s="25" t="n">
        <v>0</v>
      </c>
      <c r="L477" s="22" t="n">
        <v>0</v>
      </c>
      <c r="M477" s="25">
        <f>K477 * I477</f>
        <v/>
      </c>
      <c r="N477" s="25">
        <f>0</f>
        <v/>
      </c>
      <c r="O477" s="25">
        <f>MAX(M477, N477)</f>
        <v/>
      </c>
      <c r="P477" s="25">
        <f>MAX(O477, P478)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0</v>
      </c>
      <c r="J478" s="24" t="n">
        <v>0</v>
      </c>
      <c r="K478" s="24" t="n">
        <v>0</v>
      </c>
      <c r="L478" s="20" t="n">
        <v>0</v>
      </c>
      <c r="M478" s="24">
        <f>K478 * I478</f>
        <v/>
      </c>
      <c r="N478" s="24">
        <f>0</f>
        <v/>
      </c>
      <c r="O478" s="24">
        <f>MAX(M478, N478)</f>
        <v/>
      </c>
      <c r="P478" s="24">
        <f>MAX(O478, P479)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0</v>
      </c>
      <c r="J479" s="25" t="n">
        <v>0</v>
      </c>
      <c r="K479" s="25" t="n">
        <v>0</v>
      </c>
      <c r="L479" s="22" t="n">
        <v>0</v>
      </c>
      <c r="M479" s="25">
        <f>K479 * I479</f>
        <v/>
      </c>
      <c r="N479" s="25">
        <f>0</f>
        <v/>
      </c>
      <c r="O479" s="25">
        <f>MAX(M479, N479)</f>
        <v/>
      </c>
      <c r="P479" s="25">
        <f>MAX(O479, P480)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0</v>
      </c>
      <c r="J480" s="24" t="n">
        <v>0</v>
      </c>
      <c r="K480" s="24" t="n">
        <v>0</v>
      </c>
      <c r="L480" s="20" t="n">
        <v>0</v>
      </c>
      <c r="M480" s="24">
        <f>K480 * I480</f>
        <v/>
      </c>
      <c r="N480" s="24">
        <f>0</f>
        <v/>
      </c>
      <c r="O480" s="24">
        <f>MAX(M480, N480)</f>
        <v/>
      </c>
      <c r="P480" s="24">
        <f>MAX(O480, P481)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0</v>
      </c>
      <c r="J481" s="25" t="n">
        <v>0</v>
      </c>
      <c r="K481" s="25" t="n">
        <v>0</v>
      </c>
      <c r="L481" s="22" t="n">
        <v>0</v>
      </c>
      <c r="M481" s="25">
        <f>K481 * I481</f>
        <v/>
      </c>
      <c r="N481" s="25">
        <f>0</f>
        <v/>
      </c>
      <c r="O481" s="25">
        <f>MAX(M481, N481)</f>
        <v/>
      </c>
      <c r="P481" s="25">
        <f>MAX(O481, 0)</f>
        <v/>
      </c>
    </row>
  </sheetData>
  <autoFilter ref="A1:P1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4B1C8C"/>
    <outlinePr summaryBelow="1" summaryRight="1"/>
    <pageSetUpPr/>
  </sheetPr>
  <dimension ref="A1:O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2" customWidth="1" min="9" max="9"/>
    <col width="14" customWidth="1" min="10" max="10"/>
    <col width="14" customWidth="1" min="11" max="11"/>
    <col width="14" customWidth="1" min="12" max="12"/>
    <col width="14" customWidth="1" min="13" max="13"/>
    <col width="22" customWidth="1" min="14" max="14"/>
    <col width="13" customWidth="1" min="15" max="15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lives_bop</t>
        </is>
      </c>
      <c r="J1" s="26" t="inlineStr">
        <is>
          <t>n_deaths_bop_cme</t>
        </is>
      </c>
      <c r="K1" s="26" t="inlineStr">
        <is>
          <t>lives_cme</t>
        </is>
      </c>
      <c r="L1" s="26" t="inlineStr">
        <is>
          <t>n_deaths_cme_eop</t>
        </is>
      </c>
      <c r="M1" s="26" t="inlineStr">
        <is>
          <t>n_lapses_cme_eop</t>
        </is>
      </c>
      <c r="N1" s="26" t="inlineStr">
        <is>
          <t>lives_eop</t>
        </is>
      </c>
      <c r="O1" s="26" t="inlineStr">
        <is>
          <t>dac_balance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0" t="n">
        <v>1</v>
      </c>
      <c r="J2" s="24" t="n">
        <v>0.003532676028288341</v>
      </c>
      <c r="K2" s="24" t="n">
        <v>0.9964673239717117</v>
      </c>
      <c r="L2" s="24" t="n">
        <v>0</v>
      </c>
      <c r="M2" s="24" t="n">
        <v>0.08161409783155471</v>
      </c>
      <c r="N2" s="20" t="n">
        <v>0.9151415423071368</v>
      </c>
      <c r="O2" s="24" t="n">
        <v>0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2" t="n">
        <v>0.9151415423071368</v>
      </c>
      <c r="J3" s="25" t="n">
        <v>0.003244359861308428</v>
      </c>
      <c r="K3" s="25" t="n">
        <v>0.9118971824458284</v>
      </c>
      <c r="L3" s="25" t="n">
        <v>0</v>
      </c>
      <c r="M3" s="25" t="n">
        <v>0.07468845136357453</v>
      </c>
      <c r="N3" s="22" t="n">
        <v>0.8374735165853755</v>
      </c>
      <c r="O3" s="25" t="n">
        <v>0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0" t="n">
        <v>0.8374735165853755</v>
      </c>
      <c r="J4" s="24" t="n">
        <v>3.848747910781973e-05</v>
      </c>
      <c r="K4" s="24" t="n">
        <v>0.8374350291062677</v>
      </c>
      <c r="L4" s="24" t="n">
        <v>0</v>
      </c>
      <c r="M4" s="24" t="n">
        <v>0.06834964551393499</v>
      </c>
      <c r="N4" s="20" t="n">
        <v>0.7690885247132179</v>
      </c>
      <c r="O4" s="24" t="n">
        <v>0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2" t="n">
        <v>0.7690885247132179</v>
      </c>
      <c r="J5" s="25" t="n">
        <v>3.534635822262421e-05</v>
      </c>
      <c r="K5" s="25" t="n">
        <v>0.7690531783549952</v>
      </c>
      <c r="L5" s="25" t="n">
        <v>0</v>
      </c>
      <c r="M5" s="25" t="n">
        <v>0.06276846609707065</v>
      </c>
      <c r="N5" s="22" t="n">
        <v>0.7062875970190625</v>
      </c>
      <c r="O5" s="25" t="n">
        <v>0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0" t="n">
        <v>0.7062875970190625</v>
      </c>
      <c r="J6" s="24" t="n">
        <v>3.246159708465377e-05</v>
      </c>
      <c r="K6" s="24" t="n">
        <v>0.7062551354219778</v>
      </c>
      <c r="L6" s="24" t="n">
        <v>0</v>
      </c>
      <c r="M6" s="24" t="n">
        <v>0.05764302504032746</v>
      </c>
      <c r="N6" s="20" t="n">
        <v>0.6486147597056106</v>
      </c>
      <c r="O6" s="24" t="n">
        <v>0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2" t="n">
        <v>0.6486147597056106</v>
      </c>
      <c r="J7" s="25" t="n">
        <v>2.981227312441833e-05</v>
      </c>
      <c r="K7" s="25" t="n">
        <v>0.6485849474324862</v>
      </c>
      <c r="L7" s="25" t="n">
        <v>0</v>
      </c>
      <c r="M7" s="25" t="n">
        <v>0.05293610845360405</v>
      </c>
      <c r="N7" s="22" t="n">
        <v>0.5956512720806575</v>
      </c>
      <c r="O7" s="25" t="n">
        <v>0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0" t="n">
        <v>0.5956512720806575</v>
      </c>
      <c r="J8" s="24" t="n">
        <v>2.737917134906103e-05</v>
      </c>
      <c r="K8" s="24" t="n">
        <v>0.5956238929093084</v>
      </c>
      <c r="L8" s="24" t="n">
        <v>0</v>
      </c>
      <c r="M8" s="24" t="n">
        <v>0.04861354119308079</v>
      </c>
      <c r="N8" s="20" t="n">
        <v>0.5470125862425966</v>
      </c>
      <c r="O8" s="24" t="n">
        <v>0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2" t="n">
        <v>0.5470125862425966</v>
      </c>
      <c r="J9" s="25" t="n">
        <v>1.05259775727559e-05</v>
      </c>
      <c r="K9" s="25" t="n">
        <v>0.5470020602650238</v>
      </c>
      <c r="L9" s="25" t="n">
        <v>0</v>
      </c>
      <c r="M9" s="25" t="n">
        <v>0.04464393872869504</v>
      </c>
      <c r="N9" s="22" t="n">
        <v>0.5023589806044922</v>
      </c>
      <c r="O9" s="25" t="n">
        <v>0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0" t="n">
        <v>0.5023589806044922</v>
      </c>
      <c r="J10" s="24" t="n">
        <v>9.666909409360249e-06</v>
      </c>
      <c r="K10" s="24" t="n">
        <v>0.502349313695083</v>
      </c>
      <c r="L10" s="24" t="n">
        <v>0</v>
      </c>
      <c r="M10" s="24" t="n">
        <v>0.04099957498961512</v>
      </c>
      <c r="N10" s="20" t="n">
        <v>0.4613505276615581</v>
      </c>
      <c r="O10" s="24" t="n">
        <v>0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2" t="n">
        <v>0.4613505276615581</v>
      </c>
      <c r="J11" s="25" t="n">
        <v>8.877953319095946e-06</v>
      </c>
      <c r="K11" s="25" t="n">
        <v>0.461341649708239</v>
      </c>
      <c r="L11" s="25" t="n">
        <v>0</v>
      </c>
      <c r="M11" s="25" t="n">
        <v>0.03765270709920979</v>
      </c>
      <c r="N11" s="22" t="n">
        <v>0.4236896671751799</v>
      </c>
      <c r="O11" s="25" t="n">
        <v>0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0" t="n">
        <v>0.4236896671751799</v>
      </c>
      <c r="J12" s="24" t="n">
        <v>8.153387168367273e-06</v>
      </c>
      <c r="K12" s="24" t="n">
        <v>0.4236815137880116</v>
      </c>
      <c r="L12" s="24" t="n">
        <v>0</v>
      </c>
      <c r="M12" s="24" t="n">
        <v>0.03457904994705399</v>
      </c>
      <c r="N12" s="20" t="n">
        <v>0.3891031292722956</v>
      </c>
      <c r="O12" s="24" t="n">
        <v>0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2" t="n">
        <v>0.3891031292722956</v>
      </c>
      <c r="J13" s="25" t="n">
        <v>7.487955830349605e-06</v>
      </c>
      <c r="K13" s="25" t="n">
        <v>0.3890956413164652</v>
      </c>
      <c r="L13" s="25" t="n">
        <v>0</v>
      </c>
      <c r="M13" s="25" t="n">
        <v>0.03175630085899321</v>
      </c>
      <c r="N13" s="22" t="n">
        <v>0.3573399515802317</v>
      </c>
      <c r="O13" s="25" t="n">
        <v>0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0" t="n">
        <v>0.3573399515802317</v>
      </c>
      <c r="J14" s="24" t="n">
        <v>6.876833070653092e-06</v>
      </c>
      <c r="K14" s="24" t="n">
        <v>0.3573330747471611</v>
      </c>
      <c r="L14" s="24" t="n">
        <v>0</v>
      </c>
      <c r="M14" s="24" t="n">
        <v>0.02916397776739206</v>
      </c>
      <c r="N14" s="20" t="n">
        <v>0.328169658226296</v>
      </c>
      <c r="O14" s="24" t="n">
        <v>0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2" t="n">
        <v>0.328169658226296</v>
      </c>
      <c r="J15" s="25" t="n">
        <v>6.315586543653539e-06</v>
      </c>
      <c r="K15" s="25" t="n">
        <v>0.3281633426397524</v>
      </c>
      <c r="L15" s="25" t="n">
        <v>0</v>
      </c>
      <c r="M15" s="25" t="n">
        <v>0.0267832705918288</v>
      </c>
      <c r="N15" s="22" t="n">
        <v>0.3013805874888216</v>
      </c>
      <c r="O15" s="25" t="n">
        <v>0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0" t="n">
        <v>0.3013805874888216</v>
      </c>
      <c r="J16" s="24" t="n">
        <v>9.373661954637002e-17</v>
      </c>
      <c r="K16" s="24" t="n">
        <v>0.3013805874888215</v>
      </c>
      <c r="L16" s="24" t="n">
        <v>0</v>
      </c>
      <c r="M16" s="24" t="n">
        <v>0.02459690475184412</v>
      </c>
      <c r="N16" s="20" t="n">
        <v>0.2767836827369774</v>
      </c>
      <c r="O16" s="24" t="n">
        <v>0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2" t="n">
        <v>0.2767836827369774</v>
      </c>
      <c r="J17" s="25" t="n">
        <v>8.608638990831335e-17</v>
      </c>
      <c r="K17" s="25" t="n">
        <v>0.2767836827369773</v>
      </c>
      <c r="L17" s="25" t="n">
        <v>0</v>
      </c>
      <c r="M17" s="25" t="n">
        <v>0.02258945056107367</v>
      </c>
      <c r="N17" s="22" t="n">
        <v>0.2541942321759036</v>
      </c>
      <c r="O17" s="25" t="n">
        <v>0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0" t="n">
        <v>0.2541942321759036</v>
      </c>
      <c r="J18" s="24" t="n">
        <v>7.906052686037091e-17</v>
      </c>
      <c r="K18" s="24" t="n">
        <v>0.2541942321759035</v>
      </c>
      <c r="L18" s="24" t="n">
        <v>0</v>
      </c>
      <c r="M18" s="24" t="n">
        <v>0.02074583293302113</v>
      </c>
      <c r="N18" s="20" t="n">
        <v>0.2334483992428824</v>
      </c>
      <c r="O18" s="24" t="n">
        <v>0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2" t="n">
        <v>0.2334483992428824</v>
      </c>
      <c r="J19" s="25" t="n">
        <v>7.260807328657433e-17</v>
      </c>
      <c r="K19" s="25" t="n">
        <v>0.2334483992428823</v>
      </c>
      <c r="L19" s="25" t="n">
        <v>0</v>
      </c>
      <c r="M19" s="25" t="n">
        <v>0.01905268049442845</v>
      </c>
      <c r="N19" s="22" t="n">
        <v>0.2143957187484539</v>
      </c>
      <c r="O19" s="25" t="n">
        <v>0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0" t="n">
        <v>0.2143957187484539</v>
      </c>
      <c r="J20" s="24" t="n">
        <v>6.668223089000315e-17</v>
      </c>
      <c r="K20" s="24" t="n">
        <v>0.2143957187484538</v>
      </c>
      <c r="L20" s="24" t="n">
        <v>0</v>
      </c>
      <c r="M20" s="24" t="n">
        <v>0.01749771316460281</v>
      </c>
      <c r="N20" s="20" t="n">
        <v>0.196898005583851</v>
      </c>
      <c r="O20" s="24" t="n">
        <v>0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2" t="n">
        <v>0.196898005583851</v>
      </c>
      <c r="J21" s="25" t="n">
        <v>4.177365537092332e-18</v>
      </c>
      <c r="K21" s="25" t="n">
        <v>0.196898005583851</v>
      </c>
      <c r="L21" s="25" t="n">
        <v>0</v>
      </c>
      <c r="M21" s="25" t="n">
        <v>0.01606965309055842</v>
      </c>
      <c r="N21" s="22" t="n">
        <v>0.1808283524932926</v>
      </c>
      <c r="O21" s="25" t="n">
        <v>0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0" t="n">
        <v>0.1808283524932926</v>
      </c>
      <c r="J22" s="24" t="n">
        <v>3.836433617469913e-18</v>
      </c>
      <c r="K22" s="24" t="n">
        <v>0.1808283524932926</v>
      </c>
      <c r="L22" s="24" t="n">
        <v>0</v>
      </c>
      <c r="M22" s="24" t="n">
        <v>0.01475814285110644</v>
      </c>
      <c r="N22" s="20" t="n">
        <v>0.1660702096421862</v>
      </c>
      <c r="O22" s="24" t="n">
        <v>0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2" t="n">
        <v>0.1660702096421862</v>
      </c>
      <c r="J23" s="25" t="n">
        <v>3.523326548889459e-18</v>
      </c>
      <c r="K23" s="25" t="n">
        <v>0.1660702096421862</v>
      </c>
      <c r="L23" s="25" t="n">
        <v>0</v>
      </c>
      <c r="M23" s="25" t="n">
        <v>0.01355367033664418</v>
      </c>
      <c r="N23" s="22" t="n">
        <v>0.152516539305542</v>
      </c>
      <c r="O23" s="25" t="n">
        <v>0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0" t="n">
        <v>0.152516539305542</v>
      </c>
      <c r="J24" s="24" t="n">
        <v>3.235773431235881e-18</v>
      </c>
      <c r="K24" s="24" t="n">
        <v>0.152516539305542</v>
      </c>
      <c r="L24" s="24" t="n">
        <v>0</v>
      </c>
      <c r="M24" s="24" t="n">
        <v>0.01244749975981266</v>
      </c>
      <c r="N24" s="20" t="n">
        <v>0.1400690395457293</v>
      </c>
      <c r="O24" s="24" t="n">
        <v>0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2" t="n">
        <v>0.1400690395457293</v>
      </c>
      <c r="J25" s="25" t="n">
        <v>2.97168870185825e-18</v>
      </c>
      <c r="K25" s="25" t="n">
        <v>0.1400690395457293</v>
      </c>
      <c r="L25" s="25" t="n">
        <v>0</v>
      </c>
      <c r="M25" s="25" t="n">
        <v>0.01143160829665706</v>
      </c>
      <c r="N25" s="22" t="n">
        <v>0.1286374312490723</v>
      </c>
      <c r="O25" s="25" t="n">
        <v>0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0" t="n">
        <v>0.1286374312490723</v>
      </c>
      <c r="J26" s="24" t="n">
        <v>2.729157009419865e-18</v>
      </c>
      <c r="K26" s="24" t="n">
        <v>0.1286374312490723</v>
      </c>
      <c r="L26" s="24" t="n">
        <v>0</v>
      </c>
      <c r="M26" s="24" t="n">
        <v>0.01049862789876168</v>
      </c>
      <c r="N26" s="20" t="n">
        <v>0.1181388033503106</v>
      </c>
      <c r="O26" s="24" t="n">
        <v>0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2" t="n">
        <v>0.1181388033503106</v>
      </c>
      <c r="J27" s="25" t="n">
        <v>2.506419322255399e-18</v>
      </c>
      <c r="K27" s="25" t="n">
        <v>0.1181388033503106</v>
      </c>
      <c r="L27" s="25" t="n">
        <v>0</v>
      </c>
      <c r="M27" s="25" t="n">
        <v>0.009641791854335051</v>
      </c>
      <c r="N27" s="22" t="n">
        <v>0.1084970114959755</v>
      </c>
      <c r="O27" s="25" t="n">
        <v>0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0" t="n">
        <v>0.1084970114959755</v>
      </c>
      <c r="J28" s="24" t="n">
        <v>6.014921398333815e-11</v>
      </c>
      <c r="K28" s="24" t="n">
        <v>0.1084970114358263</v>
      </c>
      <c r="L28" s="24" t="n">
        <v>0</v>
      </c>
      <c r="M28" s="24" t="n">
        <v>0.008854885710663863</v>
      </c>
      <c r="N28" s="20" t="n">
        <v>0.09964212573007149</v>
      </c>
      <c r="O28" s="24" t="n">
        <v>0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2" t="n">
        <v>0.09964212573007149</v>
      </c>
      <c r="J29" s="25" t="n">
        <v>5.524019014881087e-11</v>
      </c>
      <c r="K29" s="25" t="n">
        <v>0.0996421256748313</v>
      </c>
      <c r="L29" s="25" t="n">
        <v>0</v>
      </c>
      <c r="M29" s="25" t="n">
        <v>0.008132202197478129</v>
      </c>
      <c r="N29" s="22" t="n">
        <v>0.09150992348186154</v>
      </c>
      <c r="O29" s="25" t="n">
        <v>0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0" t="n">
        <v>0.09150992348186154</v>
      </c>
      <c r="J30" s="24" t="n">
        <v>5.073181186577214e-11</v>
      </c>
      <c r="K30" s="24" t="n">
        <v>0.09150992343112974</v>
      </c>
      <c r="L30" s="24" t="n">
        <v>0</v>
      </c>
      <c r="M30" s="24" t="n">
        <v>0.007468499847606734</v>
      </c>
      <c r="N30" s="20" t="n">
        <v>0.08404142358766344</v>
      </c>
      <c r="O30" s="24" t="n">
        <v>0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2" t="n">
        <v>0.08404142358766344</v>
      </c>
      <c r="J31" s="25" t="n">
        <v>4.659138080898699e-11</v>
      </c>
      <c r="K31" s="25" t="n">
        <v>0.08404142354107205</v>
      </c>
      <c r="L31" s="25" t="n">
        <v>0</v>
      </c>
      <c r="M31" s="25" t="n">
        <v>0.006858964966586693</v>
      </c>
      <c r="N31" s="22" t="n">
        <v>0.07718245857828787</v>
      </c>
      <c r="O31" s="25" t="n">
        <v>0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0" t="n">
        <v>0.07718245857828787</v>
      </c>
      <c r="J32" s="24" t="n">
        <v>4.27888672975351e-11</v>
      </c>
      <c r="K32" s="24" t="n">
        <v>0.077182458535499</v>
      </c>
      <c r="L32" s="24" t="n">
        <v>0</v>
      </c>
      <c r="M32" s="24" t="n">
        <v>0.006299176725288305</v>
      </c>
      <c r="N32" s="20" t="n">
        <v>0.07088328181370288</v>
      </c>
      <c r="O32" s="24" t="n">
        <v>0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2" t="n">
        <v>0.07088328181370288</v>
      </c>
      <c r="J33" s="25" t="n">
        <v>8.282445969145453e-12</v>
      </c>
      <c r="K33" s="25" t="n">
        <v>0.07088328180542043</v>
      </c>
      <c r="L33" s="25" t="n">
        <v>0</v>
      </c>
      <c r="M33" s="25" t="n">
        <v>0.00578507509656521</v>
      </c>
      <c r="N33" s="22" t="n">
        <v>0.06509820670953119</v>
      </c>
      <c r="O33" s="25" t="n">
        <v>0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0" t="n">
        <v>0.06509820670953119</v>
      </c>
      <c r="J34" s="24" t="n">
        <v>7.606481613535051e-12</v>
      </c>
      <c r="K34" s="24" t="n">
        <v>0.0650982067019247</v>
      </c>
      <c r="L34" s="24" t="n">
        <v>0</v>
      </c>
      <c r="M34" s="24" t="n">
        <v>0.00531293141105045</v>
      </c>
      <c r="N34" s="20" t="n">
        <v>0.05978527529149505</v>
      </c>
      <c r="O34" s="24" t="n">
        <v>0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2" t="n">
        <v>0.05978527529149505</v>
      </c>
      <c r="J35" s="25" t="n">
        <v>6.985685478974079e-12</v>
      </c>
      <c r="K35" s="25" t="n">
        <v>0.05978527528450937</v>
      </c>
      <c r="L35" s="25" t="n">
        <v>0</v>
      </c>
      <c r="M35" s="25" t="n">
        <v>0.004879321306526507</v>
      </c>
      <c r="N35" s="22" t="n">
        <v>0.05490595397855299</v>
      </c>
      <c r="O35" s="25" t="n">
        <v>0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0" t="n">
        <v>0.05490595397855299</v>
      </c>
      <c r="J36" s="24" t="n">
        <v>6.415555060872617e-12</v>
      </c>
      <c r="K36" s="24" t="n">
        <v>0.05490595397213744</v>
      </c>
      <c r="L36" s="24" t="n">
        <v>0</v>
      </c>
      <c r="M36" s="24" t="n">
        <v>0.004481099899540464</v>
      </c>
      <c r="N36" s="20" t="n">
        <v>0.05042485407312058</v>
      </c>
      <c r="O36" s="24" t="n">
        <v>0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2" t="n">
        <v>0.05042485407312058</v>
      </c>
      <c r="J37" s="25" t="n">
        <v>5.891955322490834e-12</v>
      </c>
      <c r="K37" s="25" t="n">
        <v>0.05042485406722862</v>
      </c>
      <c r="L37" s="25" t="n">
        <v>0</v>
      </c>
      <c r="M37" s="25" t="n">
        <v>0.004115378973465532</v>
      </c>
      <c r="N37" s="22" t="n">
        <v>0.04630947509424396</v>
      </c>
      <c r="O37" s="25" t="n">
        <v>0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0" t="n">
        <v>0.04630947509424396</v>
      </c>
      <c r="J38" s="24" t="n">
        <v>5.411088704381919e-12</v>
      </c>
      <c r="K38" s="24" t="n">
        <v>0.04630947508883287</v>
      </c>
      <c r="L38" s="24" t="n">
        <v>0</v>
      </c>
      <c r="M38" s="24" t="n">
        <v>0.003779506030869573</v>
      </c>
      <c r="N38" s="20" t="n">
        <v>0.04252996905840491</v>
      </c>
      <c r="O38" s="24" t="n">
        <v>0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2" t="n">
        <v>0.04252996905840491</v>
      </c>
      <c r="J39" s="25" t="n">
        <v>4.969467581487271e-12</v>
      </c>
      <c r="K39" s="25" t="n">
        <v>0.04252996905343545</v>
      </c>
      <c r="L39" s="25" t="n">
        <v>0</v>
      </c>
      <c r="M39" s="25" t="n">
        <v>0.003471045055505653</v>
      </c>
      <c r="N39" s="22" t="n">
        <v>0.03905892399833538</v>
      </c>
      <c r="O39" s="25" t="n">
        <v>0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0" t="n">
        <v>0.03905892399833538</v>
      </c>
      <c r="J40" s="24" t="n">
        <v>2.771483363266751e-05</v>
      </c>
      <c r="K40" s="24" t="n">
        <v>0.03903120916470271</v>
      </c>
      <c r="L40" s="24" t="n">
        <v>0</v>
      </c>
      <c r="M40" s="24" t="n">
        <v>0.003187758844395403</v>
      </c>
      <c r="N40" s="20" t="n">
        <v>0.03584571224145078</v>
      </c>
      <c r="O40" s="24" t="n">
        <v>0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2" t="n">
        <v>0.03584571224145078</v>
      </c>
      <c r="J41" s="25" t="n">
        <v>2.545291248918572e-05</v>
      </c>
      <c r="K41" s="25" t="n">
        <v>0.0358202593289616</v>
      </c>
      <c r="L41" s="25" t="n">
        <v>0</v>
      </c>
      <c r="M41" s="25" t="n">
        <v>0.002925515465715523</v>
      </c>
      <c r="N41" s="22" t="n">
        <v>0.03289682117973607</v>
      </c>
      <c r="O41" s="25" t="n">
        <v>0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0" t="n">
        <v>0.03289682117973607</v>
      </c>
      <c r="J42" s="24" t="n">
        <v>2.337559599919531e-05</v>
      </c>
      <c r="K42" s="24" t="n">
        <v>0.03287344558373687</v>
      </c>
      <c r="L42" s="24" t="n">
        <v>0</v>
      </c>
      <c r="M42" s="24" t="n">
        <v>0.00268484438211014</v>
      </c>
      <c r="N42" s="20" t="n">
        <v>0.03019050897980548</v>
      </c>
      <c r="O42" s="24" t="n">
        <v>0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2" t="n">
        <v>0.03019050897980548</v>
      </c>
      <c r="J43" s="25" t="n">
        <v>2.146781782044609e-05</v>
      </c>
      <c r="K43" s="25" t="n">
        <v>0.03016904116198504</v>
      </c>
      <c r="L43" s="25" t="n">
        <v>0</v>
      </c>
      <c r="M43" s="25" t="n">
        <v>0.002463971153462276</v>
      </c>
      <c r="N43" s="22" t="n">
        <v>0.02770682208510659</v>
      </c>
      <c r="O43" s="25" t="n">
        <v>0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0" t="n">
        <v>0.02770682208510659</v>
      </c>
      <c r="J44" s="24" t="n">
        <v>1.971574123661821e-05</v>
      </c>
      <c r="K44" s="24" t="n">
        <v>0.02768710634386997</v>
      </c>
      <c r="L44" s="24" t="n">
        <v>0</v>
      </c>
      <c r="M44" s="24" t="n">
        <v>0.00226126728825537</v>
      </c>
      <c r="N44" s="20" t="n">
        <v>0.02542744813804871</v>
      </c>
      <c r="O44" s="24" t="n">
        <v>0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2" t="n">
        <v>0.02542744813804871</v>
      </c>
      <c r="J45" s="25" t="n">
        <v>1.164299052658957e-05</v>
      </c>
      <c r="K45" s="25" t="n">
        <v>0.02541580514752212</v>
      </c>
      <c r="L45" s="25" t="n">
        <v>0</v>
      </c>
      <c r="M45" s="25" t="n">
        <v>0.002075238239945491</v>
      </c>
      <c r="N45" s="22" t="n">
        <v>0.02334151713974452</v>
      </c>
      <c r="O45" s="25" t="n">
        <v>0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0" t="n">
        <v>0.02334151713974452</v>
      </c>
      <c r="J46" s="24" t="n">
        <v>1.069275835870063e-05</v>
      </c>
      <c r="K46" s="24" t="n">
        <v>0.02333082438138582</v>
      </c>
      <c r="L46" s="24" t="n">
        <v>0</v>
      </c>
      <c r="M46" s="24" t="n">
        <v>0.00190499686338002</v>
      </c>
      <c r="N46" s="20" t="n">
        <v>0.02142670019783257</v>
      </c>
      <c r="O46" s="24" t="n">
        <v>0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2" t="n">
        <v>0.02142670019783257</v>
      </c>
      <c r="J47" s="25" t="n">
        <v>9.820078531924461e-06</v>
      </c>
      <c r="K47" s="25" t="n">
        <v>0.02141688011930065</v>
      </c>
      <c r="L47" s="25" t="n">
        <v>0</v>
      </c>
      <c r="M47" s="25" t="n">
        <v>0.0017487208061533</v>
      </c>
      <c r="N47" s="22" t="n">
        <v>0.01966896076999737</v>
      </c>
      <c r="O47" s="25" t="n">
        <v>0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0" t="n">
        <v>0.01966896076999737</v>
      </c>
      <c r="J48" s="24" t="n">
        <v>9.018621681906428e-06</v>
      </c>
      <c r="K48" s="24" t="n">
        <v>0.01965994214831546</v>
      </c>
      <c r="L48" s="24" t="n">
        <v>0</v>
      </c>
      <c r="M48" s="24" t="n">
        <v>0.001605264488527577</v>
      </c>
      <c r="N48" s="20" t="n">
        <v>0.01805541370646014</v>
      </c>
      <c r="O48" s="24" t="n">
        <v>0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2" t="n">
        <v>0.01805541370646014</v>
      </c>
      <c r="J49" s="25" t="n">
        <v>8.282575009653535e-06</v>
      </c>
      <c r="K49" s="25" t="n">
        <v>0.01804713113145048</v>
      </c>
      <c r="L49" s="25" t="n">
        <v>0</v>
      </c>
      <c r="M49" s="25" t="n">
        <v>0.001473576300628231</v>
      </c>
      <c r="N49" s="22" t="n">
        <v>0.01657423080570939</v>
      </c>
      <c r="O49" s="25" t="n">
        <v>0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0" t="n">
        <v>0.01657423080570939</v>
      </c>
      <c r="J50" s="24" t="n">
        <v>7.606600122518483e-06</v>
      </c>
      <c r="K50" s="24" t="n">
        <v>0.01656662420558687</v>
      </c>
      <c r="L50" s="24" t="n">
        <v>0</v>
      </c>
      <c r="M50" s="24" t="n">
        <v>0.001352690894459934</v>
      </c>
      <c r="N50" s="20" t="n">
        <v>0.0152145541169335</v>
      </c>
      <c r="O50" s="24" t="n">
        <v>0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2" t="n">
        <v>0.0152145541169335</v>
      </c>
      <c r="J51" s="25" t="n">
        <v>6.985794315953743e-06</v>
      </c>
      <c r="K51" s="25" t="n">
        <v>0.01520756832261754</v>
      </c>
      <c r="L51" s="25" t="n">
        <v>0</v>
      </c>
      <c r="M51" s="25" t="n">
        <v>0.001241722108162894</v>
      </c>
      <c r="N51" s="22" t="n">
        <v>0.01396641635375538</v>
      </c>
      <c r="O51" s="25" t="n">
        <v>0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0" t="n">
        <v>0.01396641635375538</v>
      </c>
      <c r="J52" s="24" t="n">
        <v>3.484592086278003e-07</v>
      </c>
      <c r="K52" s="24" t="n">
        <v>0.01396606789454676</v>
      </c>
      <c r="L52" s="24" t="n">
        <v>0</v>
      </c>
      <c r="M52" s="24" t="n">
        <v>0.001139856470651618</v>
      </c>
      <c r="N52" s="20" t="n">
        <v>0.01282623986307908</v>
      </c>
      <c r="O52" s="24" t="n">
        <v>0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2" t="n">
        <v>0.01282623986307908</v>
      </c>
      <c r="J53" s="25" t="n">
        <v>3.200200246845448e-07</v>
      </c>
      <c r="K53" s="25" t="n">
        <v>0.0128259198430544</v>
      </c>
      <c r="L53" s="25" t="n">
        <v>0</v>
      </c>
      <c r="M53" s="25" t="n">
        <v>0.001046801994996323</v>
      </c>
      <c r="N53" s="22" t="n">
        <v>0.01177914396620368</v>
      </c>
      <c r="O53" s="25" t="n">
        <v>0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0" t="n">
        <v>0.01177914396620368</v>
      </c>
      <c r="J54" s="24" t="n">
        <v>2.939018790818838e-07</v>
      </c>
      <c r="K54" s="24" t="n">
        <v>0.01177885006432459</v>
      </c>
      <c r="L54" s="24" t="n">
        <v>0</v>
      </c>
      <c r="M54" s="24" t="n">
        <v>0.0009613442080297143</v>
      </c>
      <c r="N54" s="20" t="n">
        <v>0.01081752984283159</v>
      </c>
      <c r="O54" s="24" t="n">
        <v>0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2" t="n">
        <v>0.01081752984283159</v>
      </c>
      <c r="J55" s="25" t="n">
        <v>2.699153423696171e-07</v>
      </c>
      <c r="K55" s="25" t="n">
        <v>0.01081725992748922</v>
      </c>
      <c r="L55" s="25" t="n">
        <v>0</v>
      </c>
      <c r="M55" s="25" t="n">
        <v>0.0008828629388886202</v>
      </c>
      <c r="N55" s="22" t="n">
        <v>0.00993441901749776</v>
      </c>
      <c r="O55" s="25" t="n">
        <v>0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0" t="n">
        <v>0.00993441901749776</v>
      </c>
      <c r="J56" s="24" t="n">
        <v>2.478864452112256e-07</v>
      </c>
      <c r="K56" s="24" t="n">
        <v>0.009934171131052549</v>
      </c>
      <c r="L56" s="24" t="n">
        <v>0</v>
      </c>
      <c r="M56" s="24" t="n">
        <v>0.0008107886455937199</v>
      </c>
      <c r="N56" s="20" t="n">
        <v>0.009123402716487421</v>
      </c>
      <c r="O56" s="24" t="n">
        <v>0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2" t="n">
        <v>0.009123402716487421</v>
      </c>
      <c r="J57" s="25" t="n">
        <v>1.303674365462475e-07</v>
      </c>
      <c r="K57" s="25" t="n">
        <v>0.009123272349050873</v>
      </c>
      <c r="L57" s="25" t="n">
        <v>0</v>
      </c>
      <c r="M57" s="25" t="n">
        <v>0.0007445982818600764</v>
      </c>
      <c r="N57" s="22" t="n">
        <v>0.008378684707011518</v>
      </c>
      <c r="O57" s="25" t="n">
        <v>0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0" t="n">
        <v>0.008378684707011518</v>
      </c>
      <c r="J58" s="24" t="n">
        <v>1.197276158259131e-07</v>
      </c>
      <c r="K58" s="24" t="n">
        <v>0.008378564979395691</v>
      </c>
      <c r="L58" s="24" t="n">
        <v>0</v>
      </c>
      <c r="M58" s="24" t="n">
        <v>0.0006838187933777893</v>
      </c>
      <c r="N58" s="20" t="n">
        <v>0.007694755957479253</v>
      </c>
      <c r="O58" s="24" t="n">
        <v>0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2" t="n">
        <v>0.007694755957479253</v>
      </c>
      <c r="J59" s="25" t="n">
        <v>1.099561544747582e-07</v>
      </c>
      <c r="K59" s="25" t="n">
        <v>0.007694646001324778</v>
      </c>
      <c r="L59" s="25" t="n">
        <v>0</v>
      </c>
      <c r="M59" s="25" t="n">
        <v>0.0006280005655036502</v>
      </c>
      <c r="N59" s="22" t="n">
        <v>0.007066654409793476</v>
      </c>
      <c r="O59" s="25" t="n">
        <v>0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0" t="n">
        <v>0.007066654409793476</v>
      </c>
      <c r="J60" s="24" t="n">
        <v>1.009821821262737e-07</v>
      </c>
      <c r="K60" s="24" t="n">
        <v>0.007066553427611351</v>
      </c>
      <c r="L60" s="24" t="n">
        <v>0</v>
      </c>
      <c r="M60" s="24" t="n">
        <v>0.0005767386243426723</v>
      </c>
      <c r="N60" s="20" t="n">
        <v>0.00648982304483837</v>
      </c>
      <c r="O60" s="24" t="n">
        <v>0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2" t="n">
        <v>0.00648982304483837</v>
      </c>
      <c r="J61" s="25" t="n">
        <v>9.274061243497615e-08</v>
      </c>
      <c r="K61" s="25" t="n">
        <v>0.006489730304225935</v>
      </c>
      <c r="L61" s="25" t="n">
        <v>0</v>
      </c>
      <c r="M61" s="25" t="n">
        <v>0.000529661052890917</v>
      </c>
      <c r="N61" s="22" t="n">
        <v>0.005960076820276434</v>
      </c>
      <c r="O61" s="25" t="n">
        <v>0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0" t="n">
        <v>0.005960076820276434</v>
      </c>
      <c r="J62" s="24" t="n">
        <v>8.51716710187497e-08</v>
      </c>
      <c r="K62" s="24" t="n">
        <v>0.005959991648605415</v>
      </c>
      <c r="L62" s="24" t="n">
        <v>0</v>
      </c>
      <c r="M62" s="24" t="n">
        <v>0.0004864262926936224</v>
      </c>
      <c r="N62" s="20" t="n">
        <v>0.005473572307120884</v>
      </c>
      <c r="O62" s="24" t="n">
        <v>0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2" t="n">
        <v>0.005473572307120884</v>
      </c>
      <c r="J63" s="25" t="n">
        <v>7.822046192774846e-08</v>
      </c>
      <c r="K63" s="25" t="n">
        <v>0.005473494086658956</v>
      </c>
      <c r="L63" s="25" t="n">
        <v>0</v>
      </c>
      <c r="M63" s="25" t="n">
        <v>0.0004467206657614524</v>
      </c>
      <c r="N63" s="22" t="n">
        <v>0.005026779804789936</v>
      </c>
      <c r="O63" s="25" t="n">
        <v>0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0" t="n">
        <v>0.005026779804789936</v>
      </c>
      <c r="J64" s="24" t="n">
        <v>1.106380129755651e-10</v>
      </c>
      <c r="K64" s="24" t="n">
        <v>0.005026779694151923</v>
      </c>
      <c r="L64" s="24" t="n">
        <v>0</v>
      </c>
      <c r="M64" s="24" t="n">
        <v>0.0004102560987658093</v>
      </c>
      <c r="N64" s="20" t="n">
        <v>0.004616523604415735</v>
      </c>
      <c r="O64" s="24" t="n">
        <v>0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2" t="n">
        <v>0.004616523604415735</v>
      </c>
      <c r="J65" s="25" t="n">
        <v>1.016083913606886e-10</v>
      </c>
      <c r="K65" s="25" t="n">
        <v>0.004616523502807343</v>
      </c>
      <c r="L65" s="25" t="n">
        <v>0</v>
      </c>
      <c r="M65" s="25" t="n">
        <v>0.0003767734090924674</v>
      </c>
      <c r="N65" s="22" t="n">
        <v>0.004239750102007553</v>
      </c>
      <c r="O65" s="25" t="n">
        <v>0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0" t="n">
        <v>0.004239750102007553</v>
      </c>
      <c r="J66" s="24" t="n">
        <v>9.33157141676704e-11</v>
      </c>
      <c r="K66" s="24" t="n">
        <v>0.004239750008691839</v>
      </c>
      <c r="L66" s="24" t="n">
        <v>0</v>
      </c>
      <c r="M66" s="24" t="n">
        <v>0.0003460233796065885</v>
      </c>
      <c r="N66" s="20" t="n">
        <v>0.003893726636701128</v>
      </c>
      <c r="O66" s="24" t="n">
        <v>0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2" t="n">
        <v>0.003893726636701128</v>
      </c>
      <c r="J67" s="25" t="n">
        <v>8.569983634236874e-11</v>
      </c>
      <c r="K67" s="25" t="n">
        <v>0.003893726551001292</v>
      </c>
      <c r="L67" s="25" t="n">
        <v>0</v>
      </c>
      <c r="M67" s="25" t="n">
        <v>0.0003177829866570563</v>
      </c>
      <c r="N67" s="22" t="n">
        <v>0.00357594357133855</v>
      </c>
      <c r="O67" s="25" t="n">
        <v>0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0" t="n">
        <v>0.00357594357133855</v>
      </c>
      <c r="J68" s="24" t="n">
        <v>7.870552151497445e-11</v>
      </c>
      <c r="K68" s="24" t="n">
        <v>0.003575943492633028</v>
      </c>
      <c r="L68" s="24" t="n">
        <v>0</v>
      </c>
      <c r="M68" s="24" t="n">
        <v>0.0002918474084713436</v>
      </c>
      <c r="N68" s="20" t="n">
        <v>0.003284096090585165</v>
      </c>
      <c r="O68" s="24" t="n">
        <v>0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2" t="n">
        <v>0.003284096090585165</v>
      </c>
      <c r="J69" s="25" t="n">
        <v>2.597903122583461e-11</v>
      </c>
      <c r="K69" s="25" t="n">
        <v>0.003284096064606134</v>
      </c>
      <c r="L69" s="25" t="n">
        <v>0</v>
      </c>
      <c r="M69" s="25" t="n">
        <v>0.000268028539625244</v>
      </c>
      <c r="N69" s="22" t="n">
        <v>0.003016067527101145</v>
      </c>
      <c r="O69" s="25" t="n">
        <v>0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0" t="n">
        <v>0.003016067527101145</v>
      </c>
      <c r="J70" s="24" t="n">
        <v>2.385877602980034e-11</v>
      </c>
      <c r="K70" s="24" t="n">
        <v>0.003016067503242369</v>
      </c>
      <c r="L70" s="24" t="n">
        <v>0</v>
      </c>
      <c r="M70" s="24" t="n">
        <v>0.0002461536302234082</v>
      </c>
      <c r="N70" s="20" t="n">
        <v>0.002769913874966173</v>
      </c>
      <c r="O70" s="24" t="n">
        <v>0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2" t="n">
        <v>0.002769913874966173</v>
      </c>
      <c r="J71" s="25" t="n">
        <v>2.191156354876306e-11</v>
      </c>
      <c r="K71" s="25" t="n">
        <v>0.00276991385305461</v>
      </c>
      <c r="L71" s="25" t="n">
        <v>0</v>
      </c>
      <c r="M71" s="25" t="n">
        <v>0.0002260640219764701</v>
      </c>
      <c r="N71" s="22" t="n">
        <v>0.002543849832866432</v>
      </c>
      <c r="O71" s="25" t="n">
        <v>0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0" t="n">
        <v>0.002543849832866432</v>
      </c>
      <c r="J72" s="24" t="n">
        <v>2.012327105765198e-11</v>
      </c>
      <c r="K72" s="24" t="n">
        <v>0.002543849812743161</v>
      </c>
      <c r="L72" s="24" t="n">
        <v>0</v>
      </c>
      <c r="M72" s="24" t="n">
        <v>0.0002076140091283451</v>
      </c>
      <c r="N72" s="20" t="n">
        <v>0.002336235805257159</v>
      </c>
      <c r="O72" s="24" t="n">
        <v>0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2" t="n">
        <v>0.002336235805257159</v>
      </c>
      <c r="J73" s="25" t="n">
        <v>1.848092844486189e-11</v>
      </c>
      <c r="K73" s="25" t="n">
        <v>0.00233623578677623</v>
      </c>
      <c r="L73" s="25" t="n">
        <v>0</v>
      </c>
      <c r="M73" s="25" t="n">
        <v>0.0001906697775678388</v>
      </c>
      <c r="N73" s="22" t="n">
        <v>0.002145566010716696</v>
      </c>
      <c r="O73" s="25" t="n">
        <v>0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0" t="n">
        <v>0.002145566010716696</v>
      </c>
      <c r="J74" s="24" t="n">
        <v>1.697262414274496e-11</v>
      </c>
      <c r="K74" s="24" t="n">
        <v>0.002145565993744072</v>
      </c>
      <c r="L74" s="24" t="n">
        <v>0</v>
      </c>
      <c r="M74" s="24" t="n">
        <v>0.000175108434302691</v>
      </c>
      <c r="N74" s="20" t="n">
        <v>0.001970457560826586</v>
      </c>
      <c r="O74" s="24" t="n">
        <v>0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2" t="n">
        <v>0.001970457560826586</v>
      </c>
      <c r="J75" s="25" t="n">
        <v>1.558741873550077e-11</v>
      </c>
      <c r="K75" s="25" t="n">
        <v>0.001970457545239167</v>
      </c>
      <c r="L75" s="25" t="n">
        <v>0</v>
      </c>
      <c r="M75" s="25" t="n">
        <v>0.0001608171161422277</v>
      </c>
      <c r="N75" s="22" t="n">
        <v>0.001809640430369093</v>
      </c>
      <c r="O75" s="25" t="n">
        <v>0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0" t="n">
        <v>0.001809640430369093</v>
      </c>
      <c r="J76" s="24" t="n">
        <v>2.229879470495118e-20</v>
      </c>
      <c r="K76" s="24" t="n">
        <v>0.001809640430369093</v>
      </c>
      <c r="L76" s="24" t="n">
        <v>0</v>
      </c>
      <c r="M76" s="24" t="n">
        <v>0.0001476921711240799</v>
      </c>
      <c r="N76" s="20" t="n">
        <v>0.001661948259245013</v>
      </c>
      <c r="O76" s="24" t="n">
        <v>0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2" t="n">
        <v>0.001661948259245013</v>
      </c>
      <c r="J77" s="25" t="n">
        <v>2.047889869237554e-20</v>
      </c>
      <c r="K77" s="25" t="n">
        <v>0.001661948259245013</v>
      </c>
      <c r="L77" s="25" t="n">
        <v>0</v>
      </c>
      <c r="M77" s="25" t="n">
        <v>0.0001356384078210045</v>
      </c>
      <c r="N77" s="22" t="n">
        <v>0.001526309851424008</v>
      </c>
      <c r="O77" s="25" t="n">
        <v>0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0" t="n">
        <v>0.001526309851424008</v>
      </c>
      <c r="J78" s="24" t="n">
        <v>1.88075318510135e-20</v>
      </c>
      <c r="K78" s="24" t="n">
        <v>0.001526309851424008</v>
      </c>
      <c r="L78" s="24" t="n">
        <v>0</v>
      </c>
      <c r="M78" s="24" t="n">
        <v>0.0001245684015353848</v>
      </c>
      <c r="N78" s="20" t="n">
        <v>0.001401741449888624</v>
      </c>
      <c r="O78" s="24" t="n">
        <v>0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2" t="n">
        <v>0.001401741449888624</v>
      </c>
      <c r="J79" s="25" t="n">
        <v>1.727257210655481e-20</v>
      </c>
      <c r="K79" s="25" t="n">
        <v>0.001401741449888624</v>
      </c>
      <c r="L79" s="25" t="n">
        <v>0</v>
      </c>
      <c r="M79" s="25" t="n">
        <v>0.0001144018638257555</v>
      </c>
      <c r="N79" s="22" t="n">
        <v>0.001287339586062868</v>
      </c>
      <c r="O79" s="25" t="n">
        <v>0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0" t="n">
        <v>0.001287339586062868</v>
      </c>
      <c r="J80" s="24" t="n">
        <v>1.586288671684786e-20</v>
      </c>
      <c r="K80" s="24" t="n">
        <v>0.001287339586062868</v>
      </c>
      <c r="L80" s="24" t="n">
        <v>0</v>
      </c>
      <c r="M80" s="24" t="n">
        <v>0.0001050650589193681</v>
      </c>
      <c r="N80" s="20" t="n">
        <v>0.0011822745271435</v>
      </c>
      <c r="O80" s="24" t="n">
        <v>0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2" t="n">
        <v>0.0011822745271435</v>
      </c>
      <c r="J81" s="25" t="n">
        <v>1.79898967649348e-21</v>
      </c>
      <c r="K81" s="25" t="n">
        <v>0.0011822745271435</v>
      </c>
      <c r="L81" s="25" t="n">
        <v>0</v>
      </c>
      <c r="M81" s="25" t="n">
        <v>9.649026892204471e-05</v>
      </c>
      <c r="N81" s="22" t="n">
        <v>0.001085784258221456</v>
      </c>
      <c r="O81" s="25" t="n">
        <v>0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0" t="n">
        <v>0.001085784258221456</v>
      </c>
      <c r="J82" s="24" t="n">
        <v>1.652166757038184e-21</v>
      </c>
      <c r="K82" s="24" t="n">
        <v>0.001085784258221456</v>
      </c>
      <c r="L82" s="24" t="n">
        <v>0</v>
      </c>
      <c r="M82" s="24" t="n">
        <v>8.861530267444793e-05</v>
      </c>
      <c r="N82" s="20" t="n">
        <v>0.0009971689555470075</v>
      </c>
      <c r="O82" s="24" t="n">
        <v>0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2" t="n">
        <v>0.0009971689555470075</v>
      </c>
      <c r="J83" s="25" t="n">
        <v>1.517326657695227e-21</v>
      </c>
      <c r="K83" s="25" t="n">
        <v>0.0009971689555470075</v>
      </c>
      <c r="L83" s="25" t="n">
        <v>0</v>
      </c>
      <c r="M83" s="25" t="n">
        <v>8.13830446926027e-05</v>
      </c>
      <c r="N83" s="22" t="n">
        <v>0.0009157859108544048</v>
      </c>
      <c r="O83" s="25" t="n">
        <v>0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0" t="n">
        <v>0.0009157859108544048</v>
      </c>
      <c r="J84" s="24" t="n">
        <v>1.393491411411663e-21</v>
      </c>
      <c r="K84" s="24" t="n">
        <v>0.0009157859108544048</v>
      </c>
      <c r="L84" s="24" t="n">
        <v>0</v>
      </c>
      <c r="M84" s="24" t="n">
        <v>7.474104092123084e-05</v>
      </c>
      <c r="N84" s="20" t="n">
        <v>0.000841044869933174</v>
      </c>
      <c r="O84" s="24" t="n">
        <v>0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2" t="n">
        <v>0.000841044869933174</v>
      </c>
      <c r="J85" s="25" t="n">
        <v>1.27976286703328e-21</v>
      </c>
      <c r="K85" s="25" t="n">
        <v>0.000841044869933174</v>
      </c>
      <c r="L85" s="25" t="n">
        <v>0</v>
      </c>
      <c r="M85" s="25" t="n">
        <v>6.864111829545326e-05</v>
      </c>
      <c r="N85" s="22" t="n">
        <v>0.0007724037516377208</v>
      </c>
      <c r="O85" s="25" t="n">
        <v>0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0" t="n">
        <v>0.0007724037516377208</v>
      </c>
      <c r="J86" s="24" t="n">
        <v>1.175316175202035e-21</v>
      </c>
      <c r="K86" s="24" t="n">
        <v>0.0007724037516377208</v>
      </c>
      <c r="L86" s="24" t="n">
        <v>0</v>
      </c>
      <c r="M86" s="24" t="n">
        <v>6.303903535162083e-05</v>
      </c>
      <c r="N86" s="20" t="n">
        <v>0.0007093647162861</v>
      </c>
      <c r="O86" s="24" t="n">
        <v>0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2" t="n">
        <v>0.0007093647162861</v>
      </c>
      <c r="J87" s="25" t="n">
        <v>1.079393805896088e-21</v>
      </c>
      <c r="K87" s="25" t="n">
        <v>0.0007093647162861</v>
      </c>
      <c r="L87" s="25" t="n">
        <v>0</v>
      </c>
      <c r="M87" s="25" t="n">
        <v>5.789416135322681e-05</v>
      </c>
      <c r="N87" s="22" t="n">
        <v>0.0006514705549328731</v>
      </c>
      <c r="O87" s="25" t="n">
        <v>0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0" t="n">
        <v>0.0006514705549328731</v>
      </c>
      <c r="J88" s="24" t="n">
        <v>0</v>
      </c>
      <c r="K88" s="24" t="n">
        <v>0.0006514705549328731</v>
      </c>
      <c r="L88" s="24" t="n">
        <v>0</v>
      </c>
      <c r="M88" s="24" t="n">
        <v>5.316918160466874e-05</v>
      </c>
      <c r="N88" s="20" t="n">
        <v/>
      </c>
      <c r="O88" s="24" t="n">
        <v>0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2" t="n">
        <v/>
      </c>
      <c r="J89" s="25" t="n">
        <v/>
      </c>
      <c r="K89" s="25" t="n">
        <v/>
      </c>
      <c r="L89" s="25" t="n">
        <v>0</v>
      </c>
      <c r="M89" s="25" t="n">
        <v/>
      </c>
      <c r="N89" s="22" t="n">
        <v/>
      </c>
      <c r="O89" s="25" t="n">
        <v>0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0" t="n">
        <v/>
      </c>
      <c r="J90" s="24" t="n">
        <v/>
      </c>
      <c r="K90" s="24" t="n">
        <v/>
      </c>
      <c r="L90" s="24" t="n">
        <v>0</v>
      </c>
      <c r="M90" s="24" t="n">
        <v/>
      </c>
      <c r="N90" s="20" t="n">
        <v/>
      </c>
      <c r="O90" s="24" t="n">
        <v>0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2" t="n">
        <v/>
      </c>
      <c r="J91" s="25" t="n">
        <v/>
      </c>
      <c r="K91" s="25" t="n">
        <v/>
      </c>
      <c r="L91" s="25" t="n">
        <v>0</v>
      </c>
      <c r="M91" s="25" t="n">
        <v/>
      </c>
      <c r="N91" s="22" t="n">
        <v/>
      </c>
      <c r="O91" s="25" t="n">
        <v>0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0" t="n">
        <v/>
      </c>
      <c r="J92" s="24" t="n">
        <v/>
      </c>
      <c r="K92" s="24" t="n">
        <v/>
      </c>
      <c r="L92" s="24" t="n">
        <v>0</v>
      </c>
      <c r="M92" s="24" t="n">
        <v/>
      </c>
      <c r="N92" s="20" t="n">
        <v/>
      </c>
      <c r="O92" s="24" t="n">
        <v>0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2" t="n">
        <v/>
      </c>
      <c r="J93" s="25" t="n">
        <v/>
      </c>
      <c r="K93" s="25" t="n">
        <v/>
      </c>
      <c r="L93" s="25" t="n">
        <v>0</v>
      </c>
      <c r="M93" s="25" t="n">
        <v/>
      </c>
      <c r="N93" s="22" t="n">
        <v/>
      </c>
      <c r="O93" s="25" t="n">
        <v>0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0" t="n">
        <v/>
      </c>
      <c r="J94" s="24" t="n">
        <v/>
      </c>
      <c r="K94" s="24" t="n">
        <v/>
      </c>
      <c r="L94" s="24" t="n">
        <v>0</v>
      </c>
      <c r="M94" s="24" t="n">
        <v/>
      </c>
      <c r="N94" s="20" t="n">
        <v/>
      </c>
      <c r="O94" s="24" t="n">
        <v>0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2" t="n">
        <v/>
      </c>
      <c r="J95" s="25" t="n">
        <v/>
      </c>
      <c r="K95" s="25" t="n">
        <v/>
      </c>
      <c r="L95" s="25" t="n">
        <v>0</v>
      </c>
      <c r="M95" s="25" t="n">
        <v/>
      </c>
      <c r="N95" s="22" t="n">
        <v/>
      </c>
      <c r="O95" s="25" t="n">
        <v>0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0" t="n">
        <v/>
      </c>
      <c r="J96" s="24" t="n">
        <v/>
      </c>
      <c r="K96" s="24" t="n">
        <v/>
      </c>
      <c r="L96" s="24" t="n">
        <v>0</v>
      </c>
      <c r="M96" s="24" t="n">
        <v/>
      </c>
      <c r="N96" s="20" t="n">
        <v/>
      </c>
      <c r="O96" s="24" t="n">
        <v>0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2" t="n">
        <v/>
      </c>
      <c r="J97" s="25" t="n">
        <v/>
      </c>
      <c r="K97" s="25" t="n">
        <v/>
      </c>
      <c r="L97" s="25" t="n">
        <v>0</v>
      </c>
      <c r="M97" s="25" t="n">
        <v/>
      </c>
      <c r="N97" s="22" t="n">
        <v/>
      </c>
      <c r="O97" s="25" t="n">
        <v>0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0" t="n">
        <v/>
      </c>
      <c r="J98" s="24" t="n">
        <v/>
      </c>
      <c r="K98" s="24" t="n">
        <v/>
      </c>
      <c r="L98" s="24" t="n">
        <v>0</v>
      </c>
      <c r="M98" s="24" t="n">
        <v/>
      </c>
      <c r="N98" s="20" t="n">
        <v/>
      </c>
      <c r="O98" s="24" t="n">
        <v>0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2" t="n">
        <v/>
      </c>
      <c r="J99" s="25" t="n">
        <v/>
      </c>
      <c r="K99" s="25" t="n">
        <v/>
      </c>
      <c r="L99" s="25" t="n">
        <v>0</v>
      </c>
      <c r="M99" s="25" t="n">
        <v/>
      </c>
      <c r="N99" s="22" t="n">
        <v/>
      </c>
      <c r="O99" s="25" t="n">
        <v>0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0" t="n">
        <v/>
      </c>
      <c r="J100" s="24" t="n">
        <v/>
      </c>
      <c r="K100" s="24" t="n">
        <v/>
      </c>
      <c r="L100" s="24" t="n">
        <v>0</v>
      </c>
      <c r="M100" s="24" t="n">
        <v/>
      </c>
      <c r="N100" s="20" t="n">
        <v/>
      </c>
      <c r="O100" s="24" t="n">
        <v>0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2" t="n">
        <v/>
      </c>
      <c r="J101" s="25" t="n">
        <v/>
      </c>
      <c r="K101" s="25" t="n">
        <v/>
      </c>
      <c r="L101" s="25" t="n">
        <v>0</v>
      </c>
      <c r="M101" s="25" t="n">
        <v/>
      </c>
      <c r="N101" s="22" t="n">
        <v/>
      </c>
      <c r="O101" s="25" t="n">
        <v>0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0" t="n">
        <v/>
      </c>
      <c r="J102" s="24" t="n">
        <v/>
      </c>
      <c r="K102" s="24" t="n">
        <v/>
      </c>
      <c r="L102" s="24" t="n">
        <v>0</v>
      </c>
      <c r="M102" s="24" t="n">
        <v/>
      </c>
      <c r="N102" s="20" t="n">
        <v/>
      </c>
      <c r="O102" s="24" t="n">
        <v>0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2" t="n">
        <v/>
      </c>
      <c r="J103" s="25" t="n">
        <v/>
      </c>
      <c r="K103" s="25" t="n">
        <v/>
      </c>
      <c r="L103" s="25" t="n">
        <v>0</v>
      </c>
      <c r="M103" s="25" t="n">
        <v/>
      </c>
      <c r="N103" s="22" t="n">
        <v/>
      </c>
      <c r="O103" s="25" t="n">
        <v>0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0" t="n">
        <v/>
      </c>
      <c r="J104" s="24" t="n">
        <v/>
      </c>
      <c r="K104" s="24" t="n">
        <v/>
      </c>
      <c r="L104" s="24" t="n">
        <v>0</v>
      </c>
      <c r="M104" s="24" t="n">
        <v/>
      </c>
      <c r="N104" s="20" t="n">
        <v/>
      </c>
      <c r="O104" s="24" t="n">
        <v>0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2" t="n">
        <v/>
      </c>
      <c r="J105" s="25" t="n">
        <v/>
      </c>
      <c r="K105" s="25" t="n">
        <v/>
      </c>
      <c r="L105" s="25" t="n">
        <v>0</v>
      </c>
      <c r="M105" s="25" t="n">
        <v/>
      </c>
      <c r="N105" s="22" t="n">
        <v/>
      </c>
      <c r="O105" s="25" t="n">
        <v>0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0" t="n">
        <v/>
      </c>
      <c r="J106" s="24" t="n">
        <v/>
      </c>
      <c r="K106" s="24" t="n">
        <v/>
      </c>
      <c r="L106" s="24" t="n">
        <v>0</v>
      </c>
      <c r="M106" s="24" t="n">
        <v/>
      </c>
      <c r="N106" s="20" t="n">
        <v/>
      </c>
      <c r="O106" s="24" t="n">
        <v>0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2" t="n">
        <v/>
      </c>
      <c r="J107" s="25" t="n">
        <v/>
      </c>
      <c r="K107" s="25" t="n">
        <v/>
      </c>
      <c r="L107" s="25" t="n">
        <v>0</v>
      </c>
      <c r="M107" s="25" t="n">
        <v/>
      </c>
      <c r="N107" s="22" t="n">
        <v/>
      </c>
      <c r="O107" s="25" t="n">
        <v>0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0" t="n">
        <v/>
      </c>
      <c r="J108" s="24" t="n">
        <v/>
      </c>
      <c r="K108" s="24" t="n">
        <v/>
      </c>
      <c r="L108" s="24" t="n">
        <v>0</v>
      </c>
      <c r="M108" s="24" t="n">
        <v/>
      </c>
      <c r="N108" s="20" t="n">
        <v/>
      </c>
      <c r="O108" s="24" t="n">
        <v>0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2" t="n">
        <v/>
      </c>
      <c r="J109" s="25" t="n">
        <v/>
      </c>
      <c r="K109" s="25" t="n">
        <v/>
      </c>
      <c r="L109" s="25" t="n">
        <v>0</v>
      </c>
      <c r="M109" s="25" t="n">
        <v/>
      </c>
      <c r="N109" s="22" t="n">
        <v/>
      </c>
      <c r="O109" s="25" t="n">
        <v>0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0" t="n">
        <v/>
      </c>
      <c r="J110" s="24" t="n">
        <v/>
      </c>
      <c r="K110" s="24" t="n">
        <v/>
      </c>
      <c r="L110" s="24" t="n">
        <v>0</v>
      </c>
      <c r="M110" s="24" t="n">
        <v/>
      </c>
      <c r="N110" s="20" t="n">
        <v/>
      </c>
      <c r="O110" s="24" t="n">
        <v>0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2" t="n">
        <v/>
      </c>
      <c r="J111" s="25" t="n">
        <v/>
      </c>
      <c r="K111" s="25" t="n">
        <v/>
      </c>
      <c r="L111" s="25" t="n">
        <v>0</v>
      </c>
      <c r="M111" s="25" t="n">
        <v/>
      </c>
      <c r="N111" s="22" t="n">
        <v/>
      </c>
      <c r="O111" s="25" t="n">
        <v>0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0" t="n">
        <v/>
      </c>
      <c r="J112" s="24" t="n">
        <v/>
      </c>
      <c r="K112" s="24" t="n">
        <v/>
      </c>
      <c r="L112" s="24" t="n">
        <v>0</v>
      </c>
      <c r="M112" s="24" t="n">
        <v/>
      </c>
      <c r="N112" s="20" t="n">
        <v/>
      </c>
      <c r="O112" s="24" t="n">
        <v>0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2" t="n">
        <v/>
      </c>
      <c r="J113" s="25" t="n">
        <v/>
      </c>
      <c r="K113" s="25" t="n">
        <v/>
      </c>
      <c r="L113" s="25" t="n">
        <v>0</v>
      </c>
      <c r="M113" s="25" t="n">
        <v/>
      </c>
      <c r="N113" s="22" t="n">
        <v/>
      </c>
      <c r="O113" s="25" t="n">
        <v>0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0" t="n">
        <v/>
      </c>
      <c r="J114" s="24" t="n">
        <v/>
      </c>
      <c r="K114" s="24" t="n">
        <v/>
      </c>
      <c r="L114" s="24" t="n">
        <v>0</v>
      </c>
      <c r="M114" s="24" t="n">
        <v/>
      </c>
      <c r="N114" s="20" t="n">
        <v/>
      </c>
      <c r="O114" s="24" t="n">
        <v>0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2" t="n">
        <v/>
      </c>
      <c r="J115" s="25" t="n">
        <v/>
      </c>
      <c r="K115" s="25" t="n">
        <v/>
      </c>
      <c r="L115" s="25" t="n">
        <v>0</v>
      </c>
      <c r="M115" s="25" t="n">
        <v/>
      </c>
      <c r="N115" s="22" t="n">
        <v/>
      </c>
      <c r="O115" s="25" t="n">
        <v>0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0" t="n">
        <v/>
      </c>
      <c r="J116" s="24" t="n">
        <v/>
      </c>
      <c r="K116" s="24" t="n">
        <v/>
      </c>
      <c r="L116" s="24" t="n">
        <v>0</v>
      </c>
      <c r="M116" s="24" t="n">
        <v/>
      </c>
      <c r="N116" s="20" t="n">
        <v/>
      </c>
      <c r="O116" s="24" t="n">
        <v>0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2" t="n">
        <v/>
      </c>
      <c r="J117" s="25" t="n">
        <v/>
      </c>
      <c r="K117" s="25" t="n">
        <v/>
      </c>
      <c r="L117" s="25" t="n">
        <v>0</v>
      </c>
      <c r="M117" s="25" t="n">
        <v/>
      </c>
      <c r="N117" s="22" t="n">
        <v/>
      </c>
      <c r="O117" s="25" t="n">
        <v>0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0" t="n">
        <v/>
      </c>
      <c r="J118" s="24" t="n">
        <v/>
      </c>
      <c r="K118" s="24" t="n">
        <v/>
      </c>
      <c r="L118" s="24" t="n">
        <v>0</v>
      </c>
      <c r="M118" s="24" t="n">
        <v/>
      </c>
      <c r="N118" s="20" t="n">
        <v/>
      </c>
      <c r="O118" s="24" t="n">
        <v>0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2" t="n">
        <v/>
      </c>
      <c r="J119" s="25" t="n">
        <v/>
      </c>
      <c r="K119" s="25" t="n">
        <v/>
      </c>
      <c r="L119" s="25" t="n">
        <v>0</v>
      </c>
      <c r="M119" s="25" t="n">
        <v/>
      </c>
      <c r="N119" s="22" t="n">
        <v/>
      </c>
      <c r="O119" s="25" t="n">
        <v>0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0" t="n">
        <v/>
      </c>
      <c r="J120" s="24" t="n">
        <v/>
      </c>
      <c r="K120" s="24" t="n">
        <v/>
      </c>
      <c r="L120" s="24" t="n">
        <v>0</v>
      </c>
      <c r="M120" s="24" t="n">
        <v/>
      </c>
      <c r="N120" s="20" t="n">
        <v/>
      </c>
      <c r="O120" s="24" t="n">
        <v>0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2" t="n">
        <v/>
      </c>
      <c r="J121" s="25" t="n">
        <v/>
      </c>
      <c r="K121" s="25" t="n">
        <v/>
      </c>
      <c r="L121" s="25" t="n">
        <v>0</v>
      </c>
      <c r="M121" s="25" t="n">
        <v/>
      </c>
      <c r="N121" s="22" t="n">
        <v/>
      </c>
      <c r="O121" s="25" t="n">
        <v>0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0" t="n">
        <v/>
      </c>
      <c r="J122" s="24" t="n">
        <v/>
      </c>
      <c r="K122" s="24" t="n">
        <v/>
      </c>
      <c r="L122" s="24" t="n">
        <v>0</v>
      </c>
      <c r="M122" s="24" t="n">
        <v/>
      </c>
      <c r="N122" s="20" t="n">
        <v/>
      </c>
      <c r="O122" s="24" t="n">
        <v>0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2" t="n">
        <v/>
      </c>
      <c r="J123" s="25" t="n">
        <v/>
      </c>
      <c r="K123" s="25" t="n">
        <v/>
      </c>
      <c r="L123" s="25" t="n">
        <v>0</v>
      </c>
      <c r="M123" s="25" t="n">
        <v/>
      </c>
      <c r="N123" s="22" t="n">
        <v/>
      </c>
      <c r="O123" s="25" t="n">
        <v>0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0" t="n">
        <v/>
      </c>
      <c r="J124" s="24" t="n">
        <v/>
      </c>
      <c r="K124" s="24" t="n">
        <v/>
      </c>
      <c r="L124" s="24" t="n">
        <v>0</v>
      </c>
      <c r="M124" s="24" t="n">
        <v/>
      </c>
      <c r="N124" s="20" t="n">
        <v/>
      </c>
      <c r="O124" s="24" t="n">
        <v>0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2" t="n">
        <v/>
      </c>
      <c r="J125" s="25" t="n">
        <v/>
      </c>
      <c r="K125" s="25" t="n">
        <v/>
      </c>
      <c r="L125" s="25" t="n">
        <v>0</v>
      </c>
      <c r="M125" s="25" t="n">
        <v/>
      </c>
      <c r="N125" s="22" t="n">
        <v/>
      </c>
      <c r="O125" s="25" t="n">
        <v>0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0" t="n">
        <v/>
      </c>
      <c r="J126" s="24" t="n">
        <v/>
      </c>
      <c r="K126" s="24" t="n">
        <v/>
      </c>
      <c r="L126" s="24" t="n">
        <v>0</v>
      </c>
      <c r="M126" s="24" t="n">
        <v/>
      </c>
      <c r="N126" s="20" t="n">
        <v/>
      </c>
      <c r="O126" s="24" t="n">
        <v>0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2" t="n">
        <v/>
      </c>
      <c r="J127" s="25" t="n">
        <v/>
      </c>
      <c r="K127" s="25" t="n">
        <v/>
      </c>
      <c r="L127" s="25" t="n">
        <v>0</v>
      </c>
      <c r="M127" s="25" t="n">
        <v/>
      </c>
      <c r="N127" s="22" t="n">
        <v/>
      </c>
      <c r="O127" s="25" t="n">
        <v>0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0" t="n">
        <v/>
      </c>
      <c r="J128" s="24" t="n">
        <v/>
      </c>
      <c r="K128" s="24" t="n">
        <v/>
      </c>
      <c r="L128" s="24" t="n">
        <v>0</v>
      </c>
      <c r="M128" s="24" t="n">
        <v/>
      </c>
      <c r="N128" s="20" t="n">
        <v/>
      </c>
      <c r="O128" s="24" t="n">
        <v>0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2" t="n">
        <v/>
      </c>
      <c r="J129" s="25" t="n">
        <v/>
      </c>
      <c r="K129" s="25" t="n">
        <v/>
      </c>
      <c r="L129" s="25" t="n">
        <v>0</v>
      </c>
      <c r="M129" s="25" t="n">
        <v/>
      </c>
      <c r="N129" s="22" t="n">
        <v/>
      </c>
      <c r="O129" s="25" t="n">
        <v>0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0" t="n">
        <v/>
      </c>
      <c r="J130" s="24" t="n">
        <v/>
      </c>
      <c r="K130" s="24" t="n">
        <v/>
      </c>
      <c r="L130" s="24" t="n">
        <v>0</v>
      </c>
      <c r="M130" s="24" t="n">
        <v/>
      </c>
      <c r="N130" s="20" t="n">
        <v/>
      </c>
      <c r="O130" s="24" t="n">
        <v>0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2" t="n">
        <v/>
      </c>
      <c r="J131" s="25" t="n">
        <v/>
      </c>
      <c r="K131" s="25" t="n">
        <v/>
      </c>
      <c r="L131" s="25" t="n">
        <v>0</v>
      </c>
      <c r="M131" s="25" t="n">
        <v/>
      </c>
      <c r="N131" s="22" t="n">
        <v/>
      </c>
      <c r="O131" s="25" t="n">
        <v>0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0" t="n">
        <v/>
      </c>
      <c r="J132" s="24" t="n">
        <v/>
      </c>
      <c r="K132" s="24" t="n">
        <v/>
      </c>
      <c r="L132" s="24" t="n">
        <v>0</v>
      </c>
      <c r="M132" s="24" t="n">
        <v/>
      </c>
      <c r="N132" s="20" t="n">
        <v/>
      </c>
      <c r="O132" s="24" t="n">
        <v>0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2" t="n">
        <v/>
      </c>
      <c r="J133" s="25" t="n">
        <v/>
      </c>
      <c r="K133" s="25" t="n">
        <v/>
      </c>
      <c r="L133" s="25" t="n">
        <v>0</v>
      </c>
      <c r="M133" s="25" t="n">
        <v/>
      </c>
      <c r="N133" s="22" t="n">
        <v/>
      </c>
      <c r="O133" s="25" t="n">
        <v>0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0" t="n">
        <v/>
      </c>
      <c r="J134" s="24" t="n">
        <v/>
      </c>
      <c r="K134" s="24" t="n">
        <v/>
      </c>
      <c r="L134" s="24" t="n">
        <v>0</v>
      </c>
      <c r="M134" s="24" t="n">
        <v/>
      </c>
      <c r="N134" s="20" t="n">
        <v/>
      </c>
      <c r="O134" s="24" t="n">
        <v>0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2" t="n">
        <v/>
      </c>
      <c r="J135" s="25" t="n">
        <v/>
      </c>
      <c r="K135" s="25" t="n">
        <v/>
      </c>
      <c r="L135" s="25" t="n">
        <v>0</v>
      </c>
      <c r="M135" s="25" t="n">
        <v/>
      </c>
      <c r="N135" s="22" t="n">
        <v/>
      </c>
      <c r="O135" s="25" t="n">
        <v>0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0" t="n">
        <v/>
      </c>
      <c r="J136" s="24" t="n">
        <v/>
      </c>
      <c r="K136" s="24" t="n">
        <v/>
      </c>
      <c r="L136" s="24" t="n">
        <v>0</v>
      </c>
      <c r="M136" s="24" t="n">
        <v/>
      </c>
      <c r="N136" s="20" t="n">
        <v/>
      </c>
      <c r="O136" s="24" t="n">
        <v>0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2" t="n">
        <v/>
      </c>
      <c r="J137" s="25" t="n">
        <v/>
      </c>
      <c r="K137" s="25" t="n">
        <v/>
      </c>
      <c r="L137" s="25" t="n">
        <v>0</v>
      </c>
      <c r="M137" s="25" t="n">
        <v/>
      </c>
      <c r="N137" s="22" t="n">
        <v/>
      </c>
      <c r="O137" s="25" t="n">
        <v>0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0" t="n">
        <v/>
      </c>
      <c r="J138" s="24" t="n">
        <v/>
      </c>
      <c r="K138" s="24" t="n">
        <v/>
      </c>
      <c r="L138" s="24" t="n">
        <v>0</v>
      </c>
      <c r="M138" s="24" t="n">
        <v/>
      </c>
      <c r="N138" s="20" t="n">
        <v/>
      </c>
      <c r="O138" s="24" t="n">
        <v>0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2" t="n">
        <v/>
      </c>
      <c r="J139" s="25" t="n">
        <v/>
      </c>
      <c r="K139" s="25" t="n">
        <v/>
      </c>
      <c r="L139" s="25" t="n">
        <v>0</v>
      </c>
      <c r="M139" s="25" t="n">
        <v/>
      </c>
      <c r="N139" s="22" t="n">
        <v/>
      </c>
      <c r="O139" s="25" t="n">
        <v>0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0" t="n">
        <v/>
      </c>
      <c r="J140" s="24" t="n">
        <v/>
      </c>
      <c r="K140" s="24" t="n">
        <v/>
      </c>
      <c r="L140" s="24" t="n">
        <v>0</v>
      </c>
      <c r="M140" s="24" t="n">
        <v/>
      </c>
      <c r="N140" s="20" t="n">
        <v/>
      </c>
      <c r="O140" s="24" t="n">
        <v>0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2" t="n">
        <v/>
      </c>
      <c r="J141" s="25" t="n">
        <v/>
      </c>
      <c r="K141" s="25" t="n">
        <v/>
      </c>
      <c r="L141" s="25" t="n">
        <v>0</v>
      </c>
      <c r="M141" s="25" t="n">
        <v/>
      </c>
      <c r="N141" s="22" t="n">
        <v/>
      </c>
      <c r="O141" s="25" t="n">
        <v>0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0" t="n">
        <v/>
      </c>
      <c r="J142" s="24" t="n">
        <v/>
      </c>
      <c r="K142" s="24" t="n">
        <v/>
      </c>
      <c r="L142" s="24" t="n">
        <v>0</v>
      </c>
      <c r="M142" s="24" t="n">
        <v/>
      </c>
      <c r="N142" s="20" t="n">
        <v/>
      </c>
      <c r="O142" s="24" t="n">
        <v>0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2" t="n">
        <v/>
      </c>
      <c r="J143" s="25" t="n">
        <v/>
      </c>
      <c r="K143" s="25" t="n">
        <v/>
      </c>
      <c r="L143" s="25" t="n">
        <v>0</v>
      </c>
      <c r="M143" s="25" t="n">
        <v/>
      </c>
      <c r="N143" s="22" t="n">
        <v/>
      </c>
      <c r="O143" s="25" t="n">
        <v>0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0" t="n">
        <v/>
      </c>
      <c r="J144" s="24" t="n">
        <v/>
      </c>
      <c r="K144" s="24" t="n">
        <v/>
      </c>
      <c r="L144" s="24" t="n">
        <v>0</v>
      </c>
      <c r="M144" s="24" t="n">
        <v/>
      </c>
      <c r="N144" s="20" t="n">
        <v/>
      </c>
      <c r="O144" s="24" t="n">
        <v>0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2" t="n">
        <v/>
      </c>
      <c r="J145" s="25" t="n">
        <v/>
      </c>
      <c r="K145" s="25" t="n">
        <v/>
      </c>
      <c r="L145" s="25" t="n">
        <v>0</v>
      </c>
      <c r="M145" s="25" t="n">
        <v/>
      </c>
      <c r="N145" s="22" t="n">
        <v/>
      </c>
      <c r="O145" s="25" t="n">
        <v>0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0" t="n">
        <v/>
      </c>
      <c r="J146" s="24" t="n">
        <v/>
      </c>
      <c r="K146" s="24" t="n">
        <v/>
      </c>
      <c r="L146" s="24" t="n">
        <v>0</v>
      </c>
      <c r="M146" s="24" t="n">
        <v/>
      </c>
      <c r="N146" s="20" t="n">
        <v/>
      </c>
      <c r="O146" s="24" t="n">
        <v>0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2" t="n">
        <v/>
      </c>
      <c r="J147" s="25" t="n">
        <v/>
      </c>
      <c r="K147" s="25" t="n">
        <v/>
      </c>
      <c r="L147" s="25" t="n">
        <v>0</v>
      </c>
      <c r="M147" s="25" t="n">
        <v/>
      </c>
      <c r="N147" s="22" t="n">
        <v/>
      </c>
      <c r="O147" s="25" t="n">
        <v>0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0" t="n">
        <v/>
      </c>
      <c r="J148" s="24" t="n">
        <v/>
      </c>
      <c r="K148" s="24" t="n">
        <v/>
      </c>
      <c r="L148" s="24" t="n">
        <v>0</v>
      </c>
      <c r="M148" s="24" t="n">
        <v/>
      </c>
      <c r="N148" s="20" t="n">
        <v/>
      </c>
      <c r="O148" s="24" t="n">
        <v>0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2" t="n">
        <v/>
      </c>
      <c r="J149" s="25" t="n">
        <v/>
      </c>
      <c r="K149" s="25" t="n">
        <v/>
      </c>
      <c r="L149" s="25" t="n">
        <v>0</v>
      </c>
      <c r="M149" s="25" t="n">
        <v/>
      </c>
      <c r="N149" s="22" t="n">
        <v/>
      </c>
      <c r="O149" s="25" t="n">
        <v>0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0" t="n">
        <v/>
      </c>
      <c r="J150" s="24" t="n">
        <v/>
      </c>
      <c r="K150" s="24" t="n">
        <v/>
      </c>
      <c r="L150" s="24" t="n">
        <v>0</v>
      </c>
      <c r="M150" s="24" t="n">
        <v/>
      </c>
      <c r="N150" s="20" t="n">
        <v/>
      </c>
      <c r="O150" s="24" t="n">
        <v>0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2" t="n">
        <v/>
      </c>
      <c r="J151" s="25" t="n">
        <v/>
      </c>
      <c r="K151" s="25" t="n">
        <v/>
      </c>
      <c r="L151" s="25" t="n">
        <v>0</v>
      </c>
      <c r="M151" s="25" t="n">
        <v/>
      </c>
      <c r="N151" s="22" t="n">
        <v/>
      </c>
      <c r="O151" s="25" t="n">
        <v>0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0" t="n">
        <v/>
      </c>
      <c r="J152" s="24" t="n">
        <v/>
      </c>
      <c r="K152" s="24" t="n">
        <v/>
      </c>
      <c r="L152" s="24" t="n">
        <v>0</v>
      </c>
      <c r="M152" s="24" t="n">
        <v/>
      </c>
      <c r="N152" s="20" t="n">
        <v/>
      </c>
      <c r="O152" s="24" t="n">
        <v>0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2" t="n">
        <v/>
      </c>
      <c r="J153" s="25" t="n">
        <v/>
      </c>
      <c r="K153" s="25" t="n">
        <v/>
      </c>
      <c r="L153" s="25" t="n">
        <v>0</v>
      </c>
      <c r="M153" s="25" t="n">
        <v/>
      </c>
      <c r="N153" s="22" t="n">
        <v/>
      </c>
      <c r="O153" s="25" t="n">
        <v>0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0" t="n">
        <v/>
      </c>
      <c r="J154" s="24" t="n">
        <v/>
      </c>
      <c r="K154" s="24" t="n">
        <v/>
      </c>
      <c r="L154" s="24" t="n">
        <v>0</v>
      </c>
      <c r="M154" s="24" t="n">
        <v/>
      </c>
      <c r="N154" s="20" t="n">
        <v/>
      </c>
      <c r="O154" s="24" t="n">
        <v>0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2" t="n">
        <v/>
      </c>
      <c r="J155" s="25" t="n">
        <v/>
      </c>
      <c r="K155" s="25" t="n">
        <v/>
      </c>
      <c r="L155" s="25" t="n">
        <v>0</v>
      </c>
      <c r="M155" s="25" t="n">
        <v/>
      </c>
      <c r="N155" s="22" t="n">
        <v/>
      </c>
      <c r="O155" s="25" t="n">
        <v>0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0" t="n">
        <v/>
      </c>
      <c r="J156" s="24" t="n">
        <v/>
      </c>
      <c r="K156" s="24" t="n">
        <v/>
      </c>
      <c r="L156" s="24" t="n">
        <v>0</v>
      </c>
      <c r="M156" s="24" t="n">
        <v/>
      </c>
      <c r="N156" s="20" t="n">
        <v/>
      </c>
      <c r="O156" s="24" t="n">
        <v>0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2" t="n">
        <v/>
      </c>
      <c r="J157" s="25" t="n">
        <v/>
      </c>
      <c r="K157" s="25" t="n">
        <v/>
      </c>
      <c r="L157" s="25" t="n">
        <v>0</v>
      </c>
      <c r="M157" s="25" t="n">
        <v/>
      </c>
      <c r="N157" s="22" t="n">
        <v/>
      </c>
      <c r="O157" s="25" t="n">
        <v>0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0" t="n">
        <v/>
      </c>
      <c r="J158" s="24" t="n">
        <v/>
      </c>
      <c r="K158" s="24" t="n">
        <v/>
      </c>
      <c r="L158" s="24" t="n">
        <v>0</v>
      </c>
      <c r="M158" s="24" t="n">
        <v/>
      </c>
      <c r="N158" s="20" t="n">
        <v/>
      </c>
      <c r="O158" s="24" t="n">
        <v>0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2" t="n">
        <v/>
      </c>
      <c r="J159" s="25" t="n">
        <v/>
      </c>
      <c r="K159" s="25" t="n">
        <v/>
      </c>
      <c r="L159" s="25" t="n">
        <v>0</v>
      </c>
      <c r="M159" s="25" t="n">
        <v/>
      </c>
      <c r="N159" s="22" t="n">
        <v/>
      </c>
      <c r="O159" s="25" t="n">
        <v>0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0" t="n">
        <v/>
      </c>
      <c r="J160" s="24" t="n">
        <v/>
      </c>
      <c r="K160" s="24" t="n">
        <v/>
      </c>
      <c r="L160" s="24" t="n">
        <v>0</v>
      </c>
      <c r="M160" s="24" t="n">
        <v/>
      </c>
      <c r="N160" s="20" t="n">
        <v/>
      </c>
      <c r="O160" s="24" t="n">
        <v>0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2" t="n">
        <v/>
      </c>
      <c r="J161" s="25" t="n">
        <v/>
      </c>
      <c r="K161" s="25" t="n">
        <v/>
      </c>
      <c r="L161" s="25" t="n">
        <v>0</v>
      </c>
      <c r="M161" s="25" t="n">
        <v/>
      </c>
      <c r="N161" s="22" t="n">
        <v/>
      </c>
      <c r="O161" s="25" t="n">
        <v>0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0" t="n">
        <v/>
      </c>
      <c r="J162" s="24" t="n">
        <v/>
      </c>
      <c r="K162" s="24" t="n">
        <v/>
      </c>
      <c r="L162" s="24" t="n">
        <v>0</v>
      </c>
      <c r="M162" s="24" t="n">
        <v/>
      </c>
      <c r="N162" s="20" t="n">
        <v/>
      </c>
      <c r="O162" s="24" t="n">
        <v>0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2" t="n">
        <v/>
      </c>
      <c r="J163" s="25" t="n">
        <v/>
      </c>
      <c r="K163" s="25" t="n">
        <v/>
      </c>
      <c r="L163" s="25" t="n">
        <v>0</v>
      </c>
      <c r="M163" s="25" t="n">
        <v/>
      </c>
      <c r="N163" s="22" t="n">
        <v/>
      </c>
      <c r="O163" s="25" t="n">
        <v>0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0" t="n">
        <v/>
      </c>
      <c r="J164" s="24" t="n">
        <v/>
      </c>
      <c r="K164" s="24" t="n">
        <v/>
      </c>
      <c r="L164" s="24" t="n">
        <v>0</v>
      </c>
      <c r="M164" s="24" t="n">
        <v/>
      </c>
      <c r="N164" s="20" t="n">
        <v/>
      </c>
      <c r="O164" s="24" t="n">
        <v>0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2" t="n">
        <v/>
      </c>
      <c r="J165" s="25" t="n">
        <v/>
      </c>
      <c r="K165" s="25" t="n">
        <v/>
      </c>
      <c r="L165" s="25" t="n">
        <v>0</v>
      </c>
      <c r="M165" s="25" t="n">
        <v/>
      </c>
      <c r="N165" s="22" t="n">
        <v/>
      </c>
      <c r="O165" s="25" t="n">
        <v>0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0" t="n">
        <v/>
      </c>
      <c r="J166" s="24" t="n">
        <v/>
      </c>
      <c r="K166" s="24" t="n">
        <v/>
      </c>
      <c r="L166" s="24" t="n">
        <v>0</v>
      </c>
      <c r="M166" s="24" t="n">
        <v/>
      </c>
      <c r="N166" s="20" t="n">
        <v/>
      </c>
      <c r="O166" s="24" t="n">
        <v>0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2" t="n">
        <v/>
      </c>
      <c r="J167" s="25" t="n">
        <v/>
      </c>
      <c r="K167" s="25" t="n">
        <v/>
      </c>
      <c r="L167" s="25" t="n">
        <v>0</v>
      </c>
      <c r="M167" s="25" t="n">
        <v/>
      </c>
      <c r="N167" s="22" t="n">
        <v/>
      </c>
      <c r="O167" s="25" t="n">
        <v>0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0" t="n">
        <v/>
      </c>
      <c r="J168" s="24" t="n">
        <v/>
      </c>
      <c r="K168" s="24" t="n">
        <v/>
      </c>
      <c r="L168" s="24" t="n">
        <v>0</v>
      </c>
      <c r="M168" s="24" t="n">
        <v/>
      </c>
      <c r="N168" s="20" t="n">
        <v/>
      </c>
      <c r="O168" s="24" t="n">
        <v>0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2" t="n">
        <v/>
      </c>
      <c r="J169" s="25" t="n">
        <v/>
      </c>
      <c r="K169" s="25" t="n">
        <v/>
      </c>
      <c r="L169" s="25" t="n">
        <v>0</v>
      </c>
      <c r="M169" s="25" t="n">
        <v/>
      </c>
      <c r="N169" s="22" t="n">
        <v/>
      </c>
      <c r="O169" s="25" t="n">
        <v>0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0" t="n">
        <v/>
      </c>
      <c r="J170" s="24" t="n">
        <v/>
      </c>
      <c r="K170" s="24" t="n">
        <v/>
      </c>
      <c r="L170" s="24" t="n">
        <v>0</v>
      </c>
      <c r="M170" s="24" t="n">
        <v/>
      </c>
      <c r="N170" s="20" t="n">
        <v/>
      </c>
      <c r="O170" s="24" t="n">
        <v>0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2" t="n">
        <v/>
      </c>
      <c r="J171" s="25" t="n">
        <v/>
      </c>
      <c r="K171" s="25" t="n">
        <v/>
      </c>
      <c r="L171" s="25" t="n">
        <v>0</v>
      </c>
      <c r="M171" s="25" t="n">
        <v/>
      </c>
      <c r="N171" s="22" t="n">
        <v/>
      </c>
      <c r="O171" s="25" t="n">
        <v>0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0" t="n">
        <v/>
      </c>
      <c r="J172" s="24" t="n">
        <v/>
      </c>
      <c r="K172" s="24" t="n">
        <v/>
      </c>
      <c r="L172" s="24" t="n">
        <v>0</v>
      </c>
      <c r="M172" s="24" t="n">
        <v/>
      </c>
      <c r="N172" s="20" t="n">
        <v/>
      </c>
      <c r="O172" s="24" t="n">
        <v>0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2" t="n">
        <v/>
      </c>
      <c r="J173" s="25" t="n">
        <v/>
      </c>
      <c r="K173" s="25" t="n">
        <v/>
      </c>
      <c r="L173" s="25" t="n">
        <v>0</v>
      </c>
      <c r="M173" s="25" t="n">
        <v/>
      </c>
      <c r="N173" s="22" t="n">
        <v/>
      </c>
      <c r="O173" s="25" t="n">
        <v>0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0" t="n">
        <v/>
      </c>
      <c r="J174" s="24" t="n">
        <v/>
      </c>
      <c r="K174" s="24" t="n">
        <v/>
      </c>
      <c r="L174" s="24" t="n">
        <v>0</v>
      </c>
      <c r="M174" s="24" t="n">
        <v/>
      </c>
      <c r="N174" s="20" t="n">
        <v/>
      </c>
      <c r="O174" s="24" t="n">
        <v>0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2" t="n">
        <v/>
      </c>
      <c r="J175" s="25" t="n">
        <v/>
      </c>
      <c r="K175" s="25" t="n">
        <v/>
      </c>
      <c r="L175" s="25" t="n">
        <v>0</v>
      </c>
      <c r="M175" s="25" t="n">
        <v/>
      </c>
      <c r="N175" s="22" t="n">
        <v/>
      </c>
      <c r="O175" s="25" t="n">
        <v>0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0" t="n">
        <v/>
      </c>
      <c r="J176" s="24" t="n">
        <v/>
      </c>
      <c r="K176" s="24" t="n">
        <v/>
      </c>
      <c r="L176" s="24" t="n">
        <v>0</v>
      </c>
      <c r="M176" s="24" t="n">
        <v/>
      </c>
      <c r="N176" s="20" t="n">
        <v/>
      </c>
      <c r="O176" s="24" t="n">
        <v>0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2" t="n">
        <v/>
      </c>
      <c r="J177" s="25" t="n">
        <v/>
      </c>
      <c r="K177" s="25" t="n">
        <v/>
      </c>
      <c r="L177" s="25" t="n">
        <v>0</v>
      </c>
      <c r="M177" s="25" t="n">
        <v/>
      </c>
      <c r="N177" s="22" t="n">
        <v/>
      </c>
      <c r="O177" s="25" t="n">
        <v>0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0" t="n">
        <v/>
      </c>
      <c r="J178" s="24" t="n">
        <v/>
      </c>
      <c r="K178" s="24" t="n">
        <v/>
      </c>
      <c r="L178" s="24" t="n">
        <v>0</v>
      </c>
      <c r="M178" s="24" t="n">
        <v/>
      </c>
      <c r="N178" s="20" t="n">
        <v/>
      </c>
      <c r="O178" s="24" t="n">
        <v>0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2" t="n">
        <v/>
      </c>
      <c r="J179" s="25" t="n">
        <v/>
      </c>
      <c r="K179" s="25" t="n">
        <v/>
      </c>
      <c r="L179" s="25" t="n">
        <v>0</v>
      </c>
      <c r="M179" s="25" t="n">
        <v/>
      </c>
      <c r="N179" s="22" t="n">
        <v/>
      </c>
      <c r="O179" s="25" t="n">
        <v>0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0" t="n">
        <v/>
      </c>
      <c r="J180" s="24" t="n">
        <v/>
      </c>
      <c r="K180" s="24" t="n">
        <v/>
      </c>
      <c r="L180" s="24" t="n">
        <v>0</v>
      </c>
      <c r="M180" s="24" t="n">
        <v/>
      </c>
      <c r="N180" s="20" t="n">
        <v/>
      </c>
      <c r="O180" s="24" t="n">
        <v>0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2" t="n">
        <v/>
      </c>
      <c r="J181" s="25" t="n">
        <v/>
      </c>
      <c r="K181" s="25" t="n">
        <v/>
      </c>
      <c r="L181" s="25" t="n">
        <v>0</v>
      </c>
      <c r="M181" s="25" t="n">
        <v/>
      </c>
      <c r="N181" s="22" t="n">
        <v/>
      </c>
      <c r="O181" s="25" t="n">
        <v>0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0" t="n">
        <v/>
      </c>
      <c r="J182" s="24" t="n">
        <v/>
      </c>
      <c r="K182" s="24" t="n">
        <v/>
      </c>
      <c r="L182" s="24" t="n">
        <v>0</v>
      </c>
      <c r="M182" s="24" t="n">
        <v/>
      </c>
      <c r="N182" s="20" t="n">
        <v/>
      </c>
      <c r="O182" s="24" t="n">
        <v>0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2" t="n">
        <v/>
      </c>
      <c r="J183" s="25" t="n">
        <v/>
      </c>
      <c r="K183" s="25" t="n">
        <v/>
      </c>
      <c r="L183" s="25" t="n">
        <v>0</v>
      </c>
      <c r="M183" s="25" t="n">
        <v/>
      </c>
      <c r="N183" s="22" t="n">
        <v/>
      </c>
      <c r="O183" s="25" t="n">
        <v>0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0" t="n">
        <v/>
      </c>
      <c r="J184" s="24" t="n">
        <v/>
      </c>
      <c r="K184" s="24" t="n">
        <v/>
      </c>
      <c r="L184" s="24" t="n">
        <v>0</v>
      </c>
      <c r="M184" s="24" t="n">
        <v/>
      </c>
      <c r="N184" s="20" t="n">
        <v/>
      </c>
      <c r="O184" s="24" t="n">
        <v>0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2" t="n">
        <v/>
      </c>
      <c r="J185" s="25" t="n">
        <v/>
      </c>
      <c r="K185" s="25" t="n">
        <v/>
      </c>
      <c r="L185" s="25" t="n">
        <v>0</v>
      </c>
      <c r="M185" s="25" t="n">
        <v/>
      </c>
      <c r="N185" s="22" t="n">
        <v/>
      </c>
      <c r="O185" s="25" t="n">
        <v>0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0" t="n">
        <v/>
      </c>
      <c r="J186" s="24" t="n">
        <v/>
      </c>
      <c r="K186" s="24" t="n">
        <v/>
      </c>
      <c r="L186" s="24" t="n">
        <v>0</v>
      </c>
      <c r="M186" s="24" t="n">
        <v/>
      </c>
      <c r="N186" s="20" t="n">
        <v/>
      </c>
      <c r="O186" s="24" t="n">
        <v>0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2" t="n">
        <v/>
      </c>
      <c r="J187" s="25" t="n">
        <v/>
      </c>
      <c r="K187" s="25" t="n">
        <v/>
      </c>
      <c r="L187" s="25" t="n">
        <v>0</v>
      </c>
      <c r="M187" s="25" t="n">
        <v/>
      </c>
      <c r="N187" s="22" t="n">
        <v/>
      </c>
      <c r="O187" s="25" t="n">
        <v>0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0" t="n">
        <v/>
      </c>
      <c r="J188" s="24" t="n">
        <v/>
      </c>
      <c r="K188" s="24" t="n">
        <v/>
      </c>
      <c r="L188" s="24" t="n">
        <v>0</v>
      </c>
      <c r="M188" s="24" t="n">
        <v/>
      </c>
      <c r="N188" s="20" t="n">
        <v/>
      </c>
      <c r="O188" s="24" t="n">
        <v>0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2" t="n">
        <v/>
      </c>
      <c r="J189" s="25" t="n">
        <v/>
      </c>
      <c r="K189" s="25" t="n">
        <v/>
      </c>
      <c r="L189" s="25" t="n">
        <v>0</v>
      </c>
      <c r="M189" s="25" t="n">
        <v/>
      </c>
      <c r="N189" s="22" t="n">
        <v/>
      </c>
      <c r="O189" s="25" t="n">
        <v>0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0" t="n">
        <v/>
      </c>
      <c r="J190" s="24" t="n">
        <v/>
      </c>
      <c r="K190" s="24" t="n">
        <v/>
      </c>
      <c r="L190" s="24" t="n">
        <v>0</v>
      </c>
      <c r="M190" s="24" t="n">
        <v/>
      </c>
      <c r="N190" s="20" t="n">
        <v/>
      </c>
      <c r="O190" s="24" t="n">
        <v>0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2" t="n">
        <v/>
      </c>
      <c r="J191" s="25" t="n">
        <v/>
      </c>
      <c r="K191" s="25" t="n">
        <v/>
      </c>
      <c r="L191" s="25" t="n">
        <v>0</v>
      </c>
      <c r="M191" s="25" t="n">
        <v/>
      </c>
      <c r="N191" s="22" t="n">
        <v/>
      </c>
      <c r="O191" s="25" t="n">
        <v>0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0" t="n">
        <v/>
      </c>
      <c r="J192" s="24" t="n">
        <v/>
      </c>
      <c r="K192" s="24" t="n">
        <v/>
      </c>
      <c r="L192" s="24" t="n">
        <v>0</v>
      </c>
      <c r="M192" s="24" t="n">
        <v/>
      </c>
      <c r="N192" s="20" t="n">
        <v/>
      </c>
      <c r="O192" s="24" t="n">
        <v>0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2" t="n">
        <v/>
      </c>
      <c r="J193" s="25" t="n">
        <v/>
      </c>
      <c r="K193" s="25" t="n">
        <v/>
      </c>
      <c r="L193" s="25" t="n">
        <v>0</v>
      </c>
      <c r="M193" s="25" t="n">
        <v/>
      </c>
      <c r="N193" s="22" t="n">
        <v/>
      </c>
      <c r="O193" s="25" t="n">
        <v>0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0" t="n">
        <v/>
      </c>
      <c r="J194" s="24" t="n">
        <v/>
      </c>
      <c r="K194" s="24" t="n">
        <v/>
      </c>
      <c r="L194" s="24" t="n">
        <v>0</v>
      </c>
      <c r="M194" s="24" t="n">
        <v/>
      </c>
      <c r="N194" s="20" t="n">
        <v/>
      </c>
      <c r="O194" s="24" t="n">
        <v>0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2" t="n">
        <v/>
      </c>
      <c r="J195" s="25" t="n">
        <v/>
      </c>
      <c r="K195" s="25" t="n">
        <v/>
      </c>
      <c r="L195" s="25" t="n">
        <v>0</v>
      </c>
      <c r="M195" s="25" t="n">
        <v/>
      </c>
      <c r="N195" s="22" t="n">
        <v/>
      </c>
      <c r="O195" s="25" t="n">
        <v>0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0" t="n">
        <v/>
      </c>
      <c r="J196" s="24" t="n">
        <v/>
      </c>
      <c r="K196" s="24" t="n">
        <v/>
      </c>
      <c r="L196" s="24" t="n">
        <v>0</v>
      </c>
      <c r="M196" s="24" t="n">
        <v/>
      </c>
      <c r="N196" s="20" t="n">
        <v/>
      </c>
      <c r="O196" s="24" t="n">
        <v>0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2" t="n">
        <v/>
      </c>
      <c r="J197" s="25" t="n">
        <v/>
      </c>
      <c r="K197" s="25" t="n">
        <v/>
      </c>
      <c r="L197" s="25" t="n">
        <v>0</v>
      </c>
      <c r="M197" s="25" t="n">
        <v/>
      </c>
      <c r="N197" s="22" t="n">
        <v/>
      </c>
      <c r="O197" s="25" t="n">
        <v>0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0" t="n">
        <v/>
      </c>
      <c r="J198" s="24" t="n">
        <v/>
      </c>
      <c r="K198" s="24" t="n">
        <v/>
      </c>
      <c r="L198" s="24" t="n">
        <v>0</v>
      </c>
      <c r="M198" s="24" t="n">
        <v/>
      </c>
      <c r="N198" s="20" t="n">
        <v/>
      </c>
      <c r="O198" s="24" t="n">
        <v>0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2" t="n">
        <v/>
      </c>
      <c r="J199" s="25" t="n">
        <v/>
      </c>
      <c r="K199" s="25" t="n">
        <v/>
      </c>
      <c r="L199" s="25" t="n">
        <v>0</v>
      </c>
      <c r="M199" s="25" t="n">
        <v/>
      </c>
      <c r="N199" s="22" t="n">
        <v/>
      </c>
      <c r="O199" s="25" t="n">
        <v>0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0" t="n">
        <v/>
      </c>
      <c r="J200" s="24" t="n">
        <v/>
      </c>
      <c r="K200" s="24" t="n">
        <v/>
      </c>
      <c r="L200" s="24" t="n">
        <v>0</v>
      </c>
      <c r="M200" s="24" t="n">
        <v/>
      </c>
      <c r="N200" s="20" t="n">
        <v/>
      </c>
      <c r="O200" s="24" t="n">
        <v>0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2" t="n">
        <v/>
      </c>
      <c r="J201" s="25" t="n">
        <v/>
      </c>
      <c r="K201" s="25" t="n">
        <v/>
      </c>
      <c r="L201" s="25" t="n">
        <v>0</v>
      </c>
      <c r="M201" s="25" t="n">
        <v/>
      </c>
      <c r="N201" s="22" t="n">
        <v/>
      </c>
      <c r="O201" s="25" t="n">
        <v>0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0" t="n">
        <v/>
      </c>
      <c r="J202" s="24" t="n">
        <v/>
      </c>
      <c r="K202" s="24" t="n">
        <v/>
      </c>
      <c r="L202" s="24" t="n">
        <v>0</v>
      </c>
      <c r="M202" s="24" t="n">
        <v/>
      </c>
      <c r="N202" s="20" t="n">
        <v/>
      </c>
      <c r="O202" s="24" t="n">
        <v>0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2" t="n">
        <v/>
      </c>
      <c r="J203" s="25" t="n">
        <v/>
      </c>
      <c r="K203" s="25" t="n">
        <v/>
      </c>
      <c r="L203" s="25" t="n">
        <v>0</v>
      </c>
      <c r="M203" s="25" t="n">
        <v/>
      </c>
      <c r="N203" s="22" t="n">
        <v/>
      </c>
      <c r="O203" s="25" t="n">
        <v>0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0" t="n">
        <v/>
      </c>
      <c r="J204" s="24" t="n">
        <v/>
      </c>
      <c r="K204" s="24" t="n">
        <v/>
      </c>
      <c r="L204" s="24" t="n">
        <v>0</v>
      </c>
      <c r="M204" s="24" t="n">
        <v/>
      </c>
      <c r="N204" s="20" t="n">
        <v/>
      </c>
      <c r="O204" s="24" t="n">
        <v>0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2" t="n">
        <v/>
      </c>
      <c r="J205" s="25" t="n">
        <v/>
      </c>
      <c r="K205" s="25" t="n">
        <v/>
      </c>
      <c r="L205" s="25" t="n">
        <v>0</v>
      </c>
      <c r="M205" s="25" t="n">
        <v/>
      </c>
      <c r="N205" s="22" t="n">
        <v/>
      </c>
      <c r="O205" s="25" t="n">
        <v>0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0" t="n">
        <v/>
      </c>
      <c r="J206" s="24" t="n">
        <v/>
      </c>
      <c r="K206" s="24" t="n">
        <v/>
      </c>
      <c r="L206" s="24" t="n">
        <v>0</v>
      </c>
      <c r="M206" s="24" t="n">
        <v/>
      </c>
      <c r="N206" s="20" t="n">
        <v/>
      </c>
      <c r="O206" s="24" t="n">
        <v>0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2" t="n">
        <v/>
      </c>
      <c r="J207" s="25" t="n">
        <v/>
      </c>
      <c r="K207" s="25" t="n">
        <v/>
      </c>
      <c r="L207" s="25" t="n">
        <v>0</v>
      </c>
      <c r="M207" s="25" t="n">
        <v/>
      </c>
      <c r="N207" s="22" t="n">
        <v/>
      </c>
      <c r="O207" s="25" t="n">
        <v>0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0" t="n">
        <v/>
      </c>
      <c r="J208" s="24" t="n">
        <v/>
      </c>
      <c r="K208" s="24" t="n">
        <v/>
      </c>
      <c r="L208" s="24" t="n">
        <v>0</v>
      </c>
      <c r="M208" s="24" t="n">
        <v/>
      </c>
      <c r="N208" s="20" t="n">
        <v/>
      </c>
      <c r="O208" s="24" t="n">
        <v>0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2" t="n">
        <v/>
      </c>
      <c r="J209" s="25" t="n">
        <v/>
      </c>
      <c r="K209" s="25" t="n">
        <v/>
      </c>
      <c r="L209" s="25" t="n">
        <v>0</v>
      </c>
      <c r="M209" s="25" t="n">
        <v/>
      </c>
      <c r="N209" s="22" t="n">
        <v/>
      </c>
      <c r="O209" s="25" t="n">
        <v>0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0" t="n">
        <v/>
      </c>
      <c r="J210" s="24" t="n">
        <v/>
      </c>
      <c r="K210" s="24" t="n">
        <v/>
      </c>
      <c r="L210" s="24" t="n">
        <v>0</v>
      </c>
      <c r="M210" s="24" t="n">
        <v/>
      </c>
      <c r="N210" s="20" t="n">
        <v/>
      </c>
      <c r="O210" s="24" t="n">
        <v>0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2" t="n">
        <v/>
      </c>
      <c r="J211" s="25" t="n">
        <v/>
      </c>
      <c r="K211" s="25" t="n">
        <v/>
      </c>
      <c r="L211" s="25" t="n">
        <v>0</v>
      </c>
      <c r="M211" s="25" t="n">
        <v/>
      </c>
      <c r="N211" s="22" t="n">
        <v/>
      </c>
      <c r="O211" s="25" t="n">
        <v>0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0" t="n">
        <v/>
      </c>
      <c r="J212" s="24" t="n">
        <v/>
      </c>
      <c r="K212" s="24" t="n">
        <v/>
      </c>
      <c r="L212" s="24" t="n">
        <v>0</v>
      </c>
      <c r="M212" s="24" t="n">
        <v/>
      </c>
      <c r="N212" s="20" t="n">
        <v/>
      </c>
      <c r="O212" s="24" t="n">
        <v>0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2" t="n">
        <v/>
      </c>
      <c r="J213" s="25" t="n">
        <v/>
      </c>
      <c r="K213" s="25" t="n">
        <v/>
      </c>
      <c r="L213" s="25" t="n">
        <v>0</v>
      </c>
      <c r="M213" s="25" t="n">
        <v/>
      </c>
      <c r="N213" s="22" t="n">
        <v/>
      </c>
      <c r="O213" s="25" t="n">
        <v>0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0" t="n">
        <v/>
      </c>
      <c r="J214" s="24" t="n">
        <v/>
      </c>
      <c r="K214" s="24" t="n">
        <v/>
      </c>
      <c r="L214" s="24" t="n">
        <v>0</v>
      </c>
      <c r="M214" s="24" t="n">
        <v/>
      </c>
      <c r="N214" s="20" t="n">
        <v/>
      </c>
      <c r="O214" s="24" t="n">
        <v>0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2" t="n">
        <v/>
      </c>
      <c r="J215" s="25" t="n">
        <v/>
      </c>
      <c r="K215" s="25" t="n">
        <v/>
      </c>
      <c r="L215" s="25" t="n">
        <v>0</v>
      </c>
      <c r="M215" s="25" t="n">
        <v/>
      </c>
      <c r="N215" s="22" t="n">
        <v/>
      </c>
      <c r="O215" s="25" t="n">
        <v>0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0" t="n">
        <v/>
      </c>
      <c r="J216" s="24" t="n">
        <v/>
      </c>
      <c r="K216" s="24" t="n">
        <v/>
      </c>
      <c r="L216" s="24" t="n">
        <v>0</v>
      </c>
      <c r="M216" s="24" t="n">
        <v/>
      </c>
      <c r="N216" s="20" t="n">
        <v/>
      </c>
      <c r="O216" s="24" t="n">
        <v>0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2" t="n">
        <v/>
      </c>
      <c r="J217" s="25" t="n">
        <v/>
      </c>
      <c r="K217" s="25" t="n">
        <v/>
      </c>
      <c r="L217" s="25" t="n">
        <v>0</v>
      </c>
      <c r="M217" s="25" t="n">
        <v/>
      </c>
      <c r="N217" s="22" t="n">
        <v/>
      </c>
      <c r="O217" s="25" t="n">
        <v>0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0" t="n">
        <v/>
      </c>
      <c r="J218" s="24" t="n">
        <v/>
      </c>
      <c r="K218" s="24" t="n">
        <v/>
      </c>
      <c r="L218" s="24" t="n">
        <v>0</v>
      </c>
      <c r="M218" s="24" t="n">
        <v/>
      </c>
      <c r="N218" s="20" t="n">
        <v/>
      </c>
      <c r="O218" s="24" t="n">
        <v>0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2" t="n">
        <v/>
      </c>
      <c r="J219" s="25" t="n">
        <v/>
      </c>
      <c r="K219" s="25" t="n">
        <v/>
      </c>
      <c r="L219" s="25" t="n">
        <v>0</v>
      </c>
      <c r="M219" s="25" t="n">
        <v/>
      </c>
      <c r="N219" s="22" t="n">
        <v/>
      </c>
      <c r="O219" s="25" t="n">
        <v>0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0" t="n">
        <v/>
      </c>
      <c r="J220" s="24" t="n">
        <v/>
      </c>
      <c r="K220" s="24" t="n">
        <v/>
      </c>
      <c r="L220" s="24" t="n">
        <v>0</v>
      </c>
      <c r="M220" s="24" t="n">
        <v/>
      </c>
      <c r="N220" s="20" t="n">
        <v/>
      </c>
      <c r="O220" s="24" t="n">
        <v>0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2" t="n">
        <v/>
      </c>
      <c r="J221" s="25" t="n">
        <v/>
      </c>
      <c r="K221" s="25" t="n">
        <v/>
      </c>
      <c r="L221" s="25" t="n">
        <v>0</v>
      </c>
      <c r="M221" s="25" t="n">
        <v/>
      </c>
      <c r="N221" s="22" t="n">
        <v/>
      </c>
      <c r="O221" s="25" t="n">
        <v>0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0" t="n">
        <v/>
      </c>
      <c r="J222" s="24" t="n">
        <v/>
      </c>
      <c r="K222" s="24" t="n">
        <v/>
      </c>
      <c r="L222" s="24" t="n">
        <v>0</v>
      </c>
      <c r="M222" s="24" t="n">
        <v/>
      </c>
      <c r="N222" s="20" t="n">
        <v/>
      </c>
      <c r="O222" s="24" t="n">
        <v>0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2" t="n">
        <v/>
      </c>
      <c r="J223" s="25" t="n">
        <v/>
      </c>
      <c r="K223" s="25" t="n">
        <v/>
      </c>
      <c r="L223" s="25" t="n">
        <v>0</v>
      </c>
      <c r="M223" s="25" t="n">
        <v/>
      </c>
      <c r="N223" s="22" t="n">
        <v/>
      </c>
      <c r="O223" s="25" t="n">
        <v>0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0" t="n">
        <v/>
      </c>
      <c r="J224" s="24" t="n">
        <v/>
      </c>
      <c r="K224" s="24" t="n">
        <v/>
      </c>
      <c r="L224" s="24" t="n">
        <v>0</v>
      </c>
      <c r="M224" s="24" t="n">
        <v/>
      </c>
      <c r="N224" s="20" t="n">
        <v/>
      </c>
      <c r="O224" s="24" t="n">
        <v>0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2" t="n">
        <v/>
      </c>
      <c r="J225" s="25" t="n">
        <v/>
      </c>
      <c r="K225" s="25" t="n">
        <v/>
      </c>
      <c r="L225" s="25" t="n">
        <v>0</v>
      </c>
      <c r="M225" s="25" t="n">
        <v/>
      </c>
      <c r="N225" s="22" t="n">
        <v/>
      </c>
      <c r="O225" s="25" t="n">
        <v>0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0" t="n">
        <v/>
      </c>
      <c r="J226" s="24" t="n">
        <v/>
      </c>
      <c r="K226" s="24" t="n">
        <v/>
      </c>
      <c r="L226" s="24" t="n">
        <v>0</v>
      </c>
      <c r="M226" s="24" t="n">
        <v/>
      </c>
      <c r="N226" s="20" t="n">
        <v/>
      </c>
      <c r="O226" s="24" t="n">
        <v>0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2" t="n">
        <v/>
      </c>
      <c r="J227" s="25" t="n">
        <v/>
      </c>
      <c r="K227" s="25" t="n">
        <v/>
      </c>
      <c r="L227" s="25" t="n">
        <v>0</v>
      </c>
      <c r="M227" s="25" t="n">
        <v/>
      </c>
      <c r="N227" s="22" t="n">
        <v/>
      </c>
      <c r="O227" s="25" t="n">
        <v>0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0" t="n">
        <v/>
      </c>
      <c r="J228" s="24" t="n">
        <v/>
      </c>
      <c r="K228" s="24" t="n">
        <v/>
      </c>
      <c r="L228" s="24" t="n">
        <v>0</v>
      </c>
      <c r="M228" s="24" t="n">
        <v/>
      </c>
      <c r="N228" s="20" t="n">
        <v/>
      </c>
      <c r="O228" s="24" t="n">
        <v>0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2" t="n">
        <v/>
      </c>
      <c r="J229" s="25" t="n">
        <v/>
      </c>
      <c r="K229" s="25" t="n">
        <v/>
      </c>
      <c r="L229" s="25" t="n">
        <v>0</v>
      </c>
      <c r="M229" s="25" t="n">
        <v/>
      </c>
      <c r="N229" s="22" t="n">
        <v/>
      </c>
      <c r="O229" s="25" t="n">
        <v>0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0" t="n">
        <v/>
      </c>
      <c r="J230" s="24" t="n">
        <v/>
      </c>
      <c r="K230" s="24" t="n">
        <v/>
      </c>
      <c r="L230" s="24" t="n">
        <v>0</v>
      </c>
      <c r="M230" s="24" t="n">
        <v/>
      </c>
      <c r="N230" s="20" t="n">
        <v/>
      </c>
      <c r="O230" s="24" t="n">
        <v>0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2" t="n">
        <v/>
      </c>
      <c r="J231" s="25" t="n">
        <v/>
      </c>
      <c r="K231" s="25" t="n">
        <v/>
      </c>
      <c r="L231" s="25" t="n">
        <v>0</v>
      </c>
      <c r="M231" s="25" t="n">
        <v/>
      </c>
      <c r="N231" s="22" t="n">
        <v/>
      </c>
      <c r="O231" s="25" t="n">
        <v>0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0" t="n">
        <v/>
      </c>
      <c r="J232" s="24" t="n">
        <v/>
      </c>
      <c r="K232" s="24" t="n">
        <v/>
      </c>
      <c r="L232" s="24" t="n">
        <v>0</v>
      </c>
      <c r="M232" s="24" t="n">
        <v/>
      </c>
      <c r="N232" s="20" t="n">
        <v/>
      </c>
      <c r="O232" s="24" t="n">
        <v>0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2" t="n">
        <v/>
      </c>
      <c r="J233" s="25" t="n">
        <v/>
      </c>
      <c r="K233" s="25" t="n">
        <v/>
      </c>
      <c r="L233" s="25" t="n">
        <v>0</v>
      </c>
      <c r="M233" s="25" t="n">
        <v/>
      </c>
      <c r="N233" s="22" t="n">
        <v/>
      </c>
      <c r="O233" s="25" t="n">
        <v>0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0" t="n">
        <v/>
      </c>
      <c r="J234" s="24" t="n">
        <v/>
      </c>
      <c r="K234" s="24" t="n">
        <v/>
      </c>
      <c r="L234" s="24" t="n">
        <v>0</v>
      </c>
      <c r="M234" s="24" t="n">
        <v/>
      </c>
      <c r="N234" s="20" t="n">
        <v/>
      </c>
      <c r="O234" s="24" t="n">
        <v>0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2" t="n">
        <v/>
      </c>
      <c r="J235" s="25" t="n">
        <v/>
      </c>
      <c r="K235" s="25" t="n">
        <v/>
      </c>
      <c r="L235" s="25" t="n">
        <v>0</v>
      </c>
      <c r="M235" s="25" t="n">
        <v/>
      </c>
      <c r="N235" s="22" t="n">
        <v/>
      </c>
      <c r="O235" s="25" t="n">
        <v>0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0" t="n">
        <v/>
      </c>
      <c r="J236" s="24" t="n">
        <v/>
      </c>
      <c r="K236" s="24" t="n">
        <v/>
      </c>
      <c r="L236" s="24" t="n">
        <v>0</v>
      </c>
      <c r="M236" s="24" t="n">
        <v/>
      </c>
      <c r="N236" s="20" t="n">
        <v/>
      </c>
      <c r="O236" s="24" t="n">
        <v>0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2" t="n">
        <v/>
      </c>
      <c r="J237" s="25" t="n">
        <v/>
      </c>
      <c r="K237" s="25" t="n">
        <v/>
      </c>
      <c r="L237" s="25" t="n">
        <v>0</v>
      </c>
      <c r="M237" s="25" t="n">
        <v/>
      </c>
      <c r="N237" s="22" t="n">
        <v/>
      </c>
      <c r="O237" s="25" t="n">
        <v>0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0" t="n">
        <v/>
      </c>
      <c r="J238" s="24" t="n">
        <v/>
      </c>
      <c r="K238" s="24" t="n">
        <v/>
      </c>
      <c r="L238" s="24" t="n">
        <v>0</v>
      </c>
      <c r="M238" s="24" t="n">
        <v/>
      </c>
      <c r="N238" s="20" t="n">
        <v/>
      </c>
      <c r="O238" s="24" t="n">
        <v>0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2" t="n">
        <v/>
      </c>
      <c r="J239" s="25" t="n">
        <v/>
      </c>
      <c r="K239" s="25" t="n">
        <v/>
      </c>
      <c r="L239" s="25" t="n">
        <v>0</v>
      </c>
      <c r="M239" s="25" t="n">
        <v/>
      </c>
      <c r="N239" s="22" t="n">
        <v/>
      </c>
      <c r="O239" s="25" t="n">
        <v>0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0" t="n">
        <v/>
      </c>
      <c r="J240" s="24" t="n">
        <v/>
      </c>
      <c r="K240" s="24" t="n">
        <v/>
      </c>
      <c r="L240" s="24" t="n">
        <v>0</v>
      </c>
      <c r="M240" s="24" t="n">
        <v/>
      </c>
      <c r="N240" s="20" t="n">
        <v/>
      </c>
      <c r="O240" s="24" t="n">
        <v>0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2" t="n">
        <v/>
      </c>
      <c r="J241" s="25" t="n">
        <v/>
      </c>
      <c r="K241" s="25" t="n">
        <v/>
      </c>
      <c r="L241" s="25" t="n">
        <v>0</v>
      </c>
      <c r="M241" s="25" t="n">
        <v/>
      </c>
      <c r="N241" s="22" t="n">
        <v/>
      </c>
      <c r="O241" s="25" t="n">
        <v>0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0" t="n">
        <v/>
      </c>
      <c r="J242" s="24" t="n">
        <v/>
      </c>
      <c r="K242" s="24" t="n">
        <v/>
      </c>
      <c r="L242" s="24" t="n">
        <v>0</v>
      </c>
      <c r="M242" s="24" t="n">
        <v/>
      </c>
      <c r="N242" s="20" t="n">
        <v/>
      </c>
      <c r="O242" s="24" t="n">
        <v>0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2" t="n">
        <v/>
      </c>
      <c r="J243" s="25" t="n">
        <v/>
      </c>
      <c r="K243" s="25" t="n">
        <v/>
      </c>
      <c r="L243" s="25" t="n">
        <v>0</v>
      </c>
      <c r="M243" s="25" t="n">
        <v/>
      </c>
      <c r="N243" s="22" t="n">
        <v/>
      </c>
      <c r="O243" s="25" t="n">
        <v>0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0" t="n">
        <v/>
      </c>
      <c r="J244" s="24" t="n">
        <v/>
      </c>
      <c r="K244" s="24" t="n">
        <v/>
      </c>
      <c r="L244" s="24" t="n">
        <v>0</v>
      </c>
      <c r="M244" s="24" t="n">
        <v/>
      </c>
      <c r="N244" s="20" t="n">
        <v/>
      </c>
      <c r="O244" s="24" t="n">
        <v>0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2" t="n">
        <v/>
      </c>
      <c r="J245" s="25" t="n">
        <v/>
      </c>
      <c r="K245" s="25" t="n">
        <v/>
      </c>
      <c r="L245" s="25" t="n">
        <v>0</v>
      </c>
      <c r="M245" s="25" t="n">
        <v/>
      </c>
      <c r="N245" s="22" t="n">
        <v/>
      </c>
      <c r="O245" s="25" t="n">
        <v>0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0" t="n">
        <v/>
      </c>
      <c r="J246" s="24" t="n">
        <v/>
      </c>
      <c r="K246" s="24" t="n">
        <v/>
      </c>
      <c r="L246" s="24" t="n">
        <v>0</v>
      </c>
      <c r="M246" s="24" t="n">
        <v/>
      </c>
      <c r="N246" s="20" t="n">
        <v/>
      </c>
      <c r="O246" s="24" t="n">
        <v>0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2" t="n">
        <v/>
      </c>
      <c r="J247" s="25" t="n">
        <v/>
      </c>
      <c r="K247" s="25" t="n">
        <v/>
      </c>
      <c r="L247" s="25" t="n">
        <v>0</v>
      </c>
      <c r="M247" s="25" t="n">
        <v/>
      </c>
      <c r="N247" s="22" t="n">
        <v/>
      </c>
      <c r="O247" s="25" t="n">
        <v>0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0" t="n">
        <v/>
      </c>
      <c r="J248" s="24" t="n">
        <v/>
      </c>
      <c r="K248" s="24" t="n">
        <v/>
      </c>
      <c r="L248" s="24" t="n">
        <v>0</v>
      </c>
      <c r="M248" s="24" t="n">
        <v/>
      </c>
      <c r="N248" s="20" t="n">
        <v/>
      </c>
      <c r="O248" s="24" t="n">
        <v>0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2" t="n">
        <v/>
      </c>
      <c r="J249" s="25" t="n">
        <v/>
      </c>
      <c r="K249" s="25" t="n">
        <v/>
      </c>
      <c r="L249" s="25" t="n">
        <v>0</v>
      </c>
      <c r="M249" s="25" t="n">
        <v/>
      </c>
      <c r="N249" s="22" t="n">
        <v/>
      </c>
      <c r="O249" s="25" t="n">
        <v>0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0" t="n">
        <v/>
      </c>
      <c r="J250" s="24" t="n">
        <v/>
      </c>
      <c r="K250" s="24" t="n">
        <v/>
      </c>
      <c r="L250" s="24" t="n">
        <v>0</v>
      </c>
      <c r="M250" s="24" t="n">
        <v/>
      </c>
      <c r="N250" s="20" t="n">
        <v/>
      </c>
      <c r="O250" s="24" t="n">
        <v>0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2" t="n">
        <v/>
      </c>
      <c r="J251" s="25" t="n">
        <v/>
      </c>
      <c r="K251" s="25" t="n">
        <v/>
      </c>
      <c r="L251" s="25" t="n">
        <v>0</v>
      </c>
      <c r="M251" s="25" t="n">
        <v/>
      </c>
      <c r="N251" s="22" t="n">
        <v/>
      </c>
      <c r="O251" s="25" t="n">
        <v>0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0" t="n">
        <v/>
      </c>
      <c r="J252" s="24" t="n">
        <v/>
      </c>
      <c r="K252" s="24" t="n">
        <v/>
      </c>
      <c r="L252" s="24" t="n">
        <v>0</v>
      </c>
      <c r="M252" s="24" t="n">
        <v/>
      </c>
      <c r="N252" s="20" t="n">
        <v/>
      </c>
      <c r="O252" s="24" t="n">
        <v>0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2" t="n">
        <v/>
      </c>
      <c r="J253" s="25" t="n">
        <v/>
      </c>
      <c r="K253" s="25" t="n">
        <v/>
      </c>
      <c r="L253" s="25" t="n">
        <v>0</v>
      </c>
      <c r="M253" s="25" t="n">
        <v/>
      </c>
      <c r="N253" s="22" t="n">
        <v/>
      </c>
      <c r="O253" s="25" t="n">
        <v>0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0" t="n">
        <v/>
      </c>
      <c r="J254" s="24" t="n">
        <v/>
      </c>
      <c r="K254" s="24" t="n">
        <v/>
      </c>
      <c r="L254" s="24" t="n">
        <v>0</v>
      </c>
      <c r="M254" s="24" t="n">
        <v/>
      </c>
      <c r="N254" s="20" t="n">
        <v/>
      </c>
      <c r="O254" s="24" t="n">
        <v>0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2" t="n">
        <v/>
      </c>
      <c r="J255" s="25" t="n">
        <v/>
      </c>
      <c r="K255" s="25" t="n">
        <v/>
      </c>
      <c r="L255" s="25" t="n">
        <v>0</v>
      </c>
      <c r="M255" s="25" t="n">
        <v/>
      </c>
      <c r="N255" s="22" t="n">
        <v/>
      </c>
      <c r="O255" s="25" t="n">
        <v>0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0" t="n">
        <v/>
      </c>
      <c r="J256" s="24" t="n">
        <v/>
      </c>
      <c r="K256" s="24" t="n">
        <v/>
      </c>
      <c r="L256" s="24" t="n">
        <v>0</v>
      </c>
      <c r="M256" s="24" t="n">
        <v/>
      </c>
      <c r="N256" s="20" t="n">
        <v/>
      </c>
      <c r="O256" s="24" t="n">
        <v>0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2" t="n">
        <v/>
      </c>
      <c r="J257" s="25" t="n">
        <v/>
      </c>
      <c r="K257" s="25" t="n">
        <v/>
      </c>
      <c r="L257" s="25" t="n">
        <v>0</v>
      </c>
      <c r="M257" s="25" t="n">
        <v/>
      </c>
      <c r="N257" s="22" t="n">
        <v/>
      </c>
      <c r="O257" s="25" t="n">
        <v>0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0" t="n">
        <v/>
      </c>
      <c r="J258" s="24" t="n">
        <v/>
      </c>
      <c r="K258" s="24" t="n">
        <v/>
      </c>
      <c r="L258" s="24" t="n">
        <v>0</v>
      </c>
      <c r="M258" s="24" t="n">
        <v/>
      </c>
      <c r="N258" s="20" t="n">
        <v/>
      </c>
      <c r="O258" s="24" t="n">
        <v>0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2" t="n">
        <v/>
      </c>
      <c r="J259" s="25" t="n">
        <v/>
      </c>
      <c r="K259" s="25" t="n">
        <v/>
      </c>
      <c r="L259" s="25" t="n">
        <v>0</v>
      </c>
      <c r="M259" s="25" t="n">
        <v/>
      </c>
      <c r="N259" s="22" t="n">
        <v/>
      </c>
      <c r="O259" s="25" t="n">
        <v>0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0" t="n">
        <v/>
      </c>
      <c r="J260" s="24" t="n">
        <v/>
      </c>
      <c r="K260" s="24" t="n">
        <v/>
      </c>
      <c r="L260" s="24" t="n">
        <v>0</v>
      </c>
      <c r="M260" s="24" t="n">
        <v/>
      </c>
      <c r="N260" s="20" t="n">
        <v/>
      </c>
      <c r="O260" s="24" t="n">
        <v>0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2" t="n">
        <v/>
      </c>
      <c r="J261" s="25" t="n">
        <v/>
      </c>
      <c r="K261" s="25" t="n">
        <v/>
      </c>
      <c r="L261" s="25" t="n">
        <v>0</v>
      </c>
      <c r="M261" s="25" t="n">
        <v/>
      </c>
      <c r="N261" s="22" t="n">
        <v/>
      </c>
      <c r="O261" s="25" t="n">
        <v>0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0" t="n">
        <v/>
      </c>
      <c r="J262" s="24" t="n">
        <v/>
      </c>
      <c r="K262" s="24" t="n">
        <v/>
      </c>
      <c r="L262" s="24" t="n">
        <v>0</v>
      </c>
      <c r="M262" s="24" t="n">
        <v/>
      </c>
      <c r="N262" s="20" t="n">
        <v/>
      </c>
      <c r="O262" s="24" t="n">
        <v>0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2" t="n">
        <v/>
      </c>
      <c r="J263" s="25" t="n">
        <v/>
      </c>
      <c r="K263" s="25" t="n">
        <v/>
      </c>
      <c r="L263" s="25" t="n">
        <v>0</v>
      </c>
      <c r="M263" s="25" t="n">
        <v/>
      </c>
      <c r="N263" s="22" t="n">
        <v/>
      </c>
      <c r="O263" s="25" t="n">
        <v>0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0" t="n">
        <v/>
      </c>
      <c r="J264" s="24" t="n">
        <v/>
      </c>
      <c r="K264" s="24" t="n">
        <v/>
      </c>
      <c r="L264" s="24" t="n">
        <v>0</v>
      </c>
      <c r="M264" s="24" t="n">
        <v/>
      </c>
      <c r="N264" s="20" t="n">
        <v/>
      </c>
      <c r="O264" s="24" t="n">
        <v>0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2" t="n">
        <v/>
      </c>
      <c r="J265" s="25" t="n">
        <v/>
      </c>
      <c r="K265" s="25" t="n">
        <v/>
      </c>
      <c r="L265" s="25" t="n">
        <v>0</v>
      </c>
      <c r="M265" s="25" t="n">
        <v/>
      </c>
      <c r="N265" s="22" t="n">
        <v/>
      </c>
      <c r="O265" s="25" t="n">
        <v>0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0" t="n">
        <v/>
      </c>
      <c r="J266" s="24" t="n">
        <v/>
      </c>
      <c r="K266" s="24" t="n">
        <v/>
      </c>
      <c r="L266" s="24" t="n">
        <v>0</v>
      </c>
      <c r="M266" s="24" t="n">
        <v/>
      </c>
      <c r="N266" s="20" t="n">
        <v/>
      </c>
      <c r="O266" s="24" t="n">
        <v>0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2" t="n">
        <v/>
      </c>
      <c r="J267" s="25" t="n">
        <v/>
      </c>
      <c r="K267" s="25" t="n">
        <v/>
      </c>
      <c r="L267" s="25" t="n">
        <v>0</v>
      </c>
      <c r="M267" s="25" t="n">
        <v/>
      </c>
      <c r="N267" s="22" t="n">
        <v/>
      </c>
      <c r="O267" s="25" t="n">
        <v>0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0" t="n">
        <v/>
      </c>
      <c r="J268" s="24" t="n">
        <v/>
      </c>
      <c r="K268" s="24" t="n">
        <v/>
      </c>
      <c r="L268" s="24" t="n">
        <v>0</v>
      </c>
      <c r="M268" s="24" t="n">
        <v/>
      </c>
      <c r="N268" s="20" t="n">
        <v/>
      </c>
      <c r="O268" s="24" t="n">
        <v>0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2" t="n">
        <v/>
      </c>
      <c r="J269" s="25" t="n">
        <v/>
      </c>
      <c r="K269" s="25" t="n">
        <v/>
      </c>
      <c r="L269" s="25" t="n">
        <v>0</v>
      </c>
      <c r="M269" s="25" t="n">
        <v/>
      </c>
      <c r="N269" s="22" t="n">
        <v/>
      </c>
      <c r="O269" s="25" t="n">
        <v>0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0" t="n">
        <v/>
      </c>
      <c r="J270" s="24" t="n">
        <v/>
      </c>
      <c r="K270" s="24" t="n">
        <v/>
      </c>
      <c r="L270" s="24" t="n">
        <v>0</v>
      </c>
      <c r="M270" s="24" t="n">
        <v/>
      </c>
      <c r="N270" s="20" t="n">
        <v/>
      </c>
      <c r="O270" s="24" t="n">
        <v>0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2" t="n">
        <v/>
      </c>
      <c r="J271" s="25" t="n">
        <v/>
      </c>
      <c r="K271" s="25" t="n">
        <v/>
      </c>
      <c r="L271" s="25" t="n">
        <v>0</v>
      </c>
      <c r="M271" s="25" t="n">
        <v/>
      </c>
      <c r="N271" s="22" t="n">
        <v/>
      </c>
      <c r="O271" s="25" t="n">
        <v>0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0" t="n">
        <v/>
      </c>
      <c r="J272" s="24" t="n">
        <v/>
      </c>
      <c r="K272" s="24" t="n">
        <v/>
      </c>
      <c r="L272" s="24" t="n">
        <v>0</v>
      </c>
      <c r="M272" s="24" t="n">
        <v/>
      </c>
      <c r="N272" s="20" t="n">
        <v/>
      </c>
      <c r="O272" s="24" t="n">
        <v>0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2" t="n">
        <v/>
      </c>
      <c r="J273" s="25" t="n">
        <v/>
      </c>
      <c r="K273" s="25" t="n">
        <v/>
      </c>
      <c r="L273" s="25" t="n">
        <v>0</v>
      </c>
      <c r="M273" s="25" t="n">
        <v/>
      </c>
      <c r="N273" s="22" t="n">
        <v/>
      </c>
      <c r="O273" s="25" t="n">
        <v>0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0" t="n">
        <v/>
      </c>
      <c r="J274" s="24" t="n">
        <v/>
      </c>
      <c r="K274" s="24" t="n">
        <v/>
      </c>
      <c r="L274" s="24" t="n">
        <v>0</v>
      </c>
      <c r="M274" s="24" t="n">
        <v/>
      </c>
      <c r="N274" s="20" t="n">
        <v/>
      </c>
      <c r="O274" s="24" t="n">
        <v>0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2" t="n">
        <v/>
      </c>
      <c r="J275" s="25" t="n">
        <v/>
      </c>
      <c r="K275" s="25" t="n">
        <v/>
      </c>
      <c r="L275" s="25" t="n">
        <v>0</v>
      </c>
      <c r="M275" s="25" t="n">
        <v/>
      </c>
      <c r="N275" s="22" t="n">
        <v/>
      </c>
      <c r="O275" s="25" t="n">
        <v>0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0" t="n">
        <v/>
      </c>
      <c r="J276" s="24" t="n">
        <v/>
      </c>
      <c r="K276" s="24" t="n">
        <v/>
      </c>
      <c r="L276" s="24" t="n">
        <v>0</v>
      </c>
      <c r="M276" s="24" t="n">
        <v/>
      </c>
      <c r="N276" s="20" t="n">
        <v/>
      </c>
      <c r="O276" s="24" t="n">
        <v>0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2" t="n">
        <v/>
      </c>
      <c r="J277" s="25" t="n">
        <v/>
      </c>
      <c r="K277" s="25" t="n">
        <v/>
      </c>
      <c r="L277" s="25" t="n">
        <v>0</v>
      </c>
      <c r="M277" s="25" t="n">
        <v/>
      </c>
      <c r="N277" s="22" t="n">
        <v/>
      </c>
      <c r="O277" s="25" t="n">
        <v>0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0" t="n">
        <v/>
      </c>
      <c r="J278" s="24" t="n">
        <v/>
      </c>
      <c r="K278" s="24" t="n">
        <v/>
      </c>
      <c r="L278" s="24" t="n">
        <v>0</v>
      </c>
      <c r="M278" s="24" t="n">
        <v/>
      </c>
      <c r="N278" s="20" t="n">
        <v/>
      </c>
      <c r="O278" s="24" t="n">
        <v>0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2" t="n">
        <v/>
      </c>
      <c r="J279" s="25" t="n">
        <v/>
      </c>
      <c r="K279" s="25" t="n">
        <v/>
      </c>
      <c r="L279" s="25" t="n">
        <v>0</v>
      </c>
      <c r="M279" s="25" t="n">
        <v/>
      </c>
      <c r="N279" s="22" t="n">
        <v/>
      </c>
      <c r="O279" s="25" t="n">
        <v>0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0" t="n">
        <v/>
      </c>
      <c r="J280" s="24" t="n">
        <v/>
      </c>
      <c r="K280" s="24" t="n">
        <v/>
      </c>
      <c r="L280" s="24" t="n">
        <v>0</v>
      </c>
      <c r="M280" s="24" t="n">
        <v/>
      </c>
      <c r="N280" s="20" t="n">
        <v/>
      </c>
      <c r="O280" s="24" t="n">
        <v>0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2" t="n">
        <v/>
      </c>
      <c r="J281" s="25" t="n">
        <v/>
      </c>
      <c r="K281" s="25" t="n">
        <v/>
      </c>
      <c r="L281" s="25" t="n">
        <v>0</v>
      </c>
      <c r="M281" s="25" t="n">
        <v/>
      </c>
      <c r="N281" s="22" t="n">
        <v/>
      </c>
      <c r="O281" s="25" t="n">
        <v>0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0" t="n">
        <v/>
      </c>
      <c r="J282" s="24" t="n">
        <v/>
      </c>
      <c r="K282" s="24" t="n">
        <v/>
      </c>
      <c r="L282" s="24" t="n">
        <v>0</v>
      </c>
      <c r="M282" s="24" t="n">
        <v/>
      </c>
      <c r="N282" s="20" t="n">
        <v/>
      </c>
      <c r="O282" s="24" t="n">
        <v>0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2" t="n">
        <v/>
      </c>
      <c r="J283" s="25" t="n">
        <v/>
      </c>
      <c r="K283" s="25" t="n">
        <v/>
      </c>
      <c r="L283" s="25" t="n">
        <v>0</v>
      </c>
      <c r="M283" s="25" t="n">
        <v/>
      </c>
      <c r="N283" s="22" t="n">
        <v/>
      </c>
      <c r="O283" s="25" t="n">
        <v>0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0" t="n">
        <v/>
      </c>
      <c r="J284" s="24" t="n">
        <v/>
      </c>
      <c r="K284" s="24" t="n">
        <v/>
      </c>
      <c r="L284" s="24" t="n">
        <v>0</v>
      </c>
      <c r="M284" s="24" t="n">
        <v/>
      </c>
      <c r="N284" s="20" t="n">
        <v/>
      </c>
      <c r="O284" s="24" t="n">
        <v>0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2" t="n">
        <v/>
      </c>
      <c r="J285" s="25" t="n">
        <v/>
      </c>
      <c r="K285" s="25" t="n">
        <v/>
      </c>
      <c r="L285" s="25" t="n">
        <v>0</v>
      </c>
      <c r="M285" s="25" t="n">
        <v/>
      </c>
      <c r="N285" s="22" t="n">
        <v/>
      </c>
      <c r="O285" s="25" t="n">
        <v>0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0" t="n">
        <v/>
      </c>
      <c r="J286" s="24" t="n">
        <v/>
      </c>
      <c r="K286" s="24" t="n">
        <v/>
      </c>
      <c r="L286" s="24" t="n">
        <v>0</v>
      </c>
      <c r="M286" s="24" t="n">
        <v/>
      </c>
      <c r="N286" s="20" t="n">
        <v/>
      </c>
      <c r="O286" s="24" t="n">
        <v>0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2" t="n">
        <v/>
      </c>
      <c r="J287" s="25" t="n">
        <v/>
      </c>
      <c r="K287" s="25" t="n">
        <v/>
      </c>
      <c r="L287" s="25" t="n">
        <v>0</v>
      </c>
      <c r="M287" s="25" t="n">
        <v/>
      </c>
      <c r="N287" s="22" t="n">
        <v/>
      </c>
      <c r="O287" s="25" t="n">
        <v>0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0" t="n">
        <v/>
      </c>
      <c r="J288" s="24" t="n">
        <v/>
      </c>
      <c r="K288" s="24" t="n">
        <v/>
      </c>
      <c r="L288" s="24" t="n">
        <v>0</v>
      </c>
      <c r="M288" s="24" t="n">
        <v/>
      </c>
      <c r="N288" s="20" t="n">
        <v/>
      </c>
      <c r="O288" s="24" t="n">
        <v>0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2" t="n">
        <v/>
      </c>
      <c r="J289" s="25" t="n">
        <v/>
      </c>
      <c r="K289" s="25" t="n">
        <v/>
      </c>
      <c r="L289" s="25" t="n">
        <v>0</v>
      </c>
      <c r="M289" s="25" t="n">
        <v/>
      </c>
      <c r="N289" s="22" t="n">
        <v/>
      </c>
      <c r="O289" s="25" t="n">
        <v>0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0" t="n">
        <v/>
      </c>
      <c r="J290" s="24" t="n">
        <v/>
      </c>
      <c r="K290" s="24" t="n">
        <v/>
      </c>
      <c r="L290" s="24" t="n">
        <v>0</v>
      </c>
      <c r="M290" s="24" t="n">
        <v/>
      </c>
      <c r="N290" s="20" t="n">
        <v/>
      </c>
      <c r="O290" s="24" t="n">
        <v>0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2" t="n">
        <v/>
      </c>
      <c r="J291" s="25" t="n">
        <v/>
      </c>
      <c r="K291" s="25" t="n">
        <v/>
      </c>
      <c r="L291" s="25" t="n">
        <v>0</v>
      </c>
      <c r="M291" s="25" t="n">
        <v/>
      </c>
      <c r="N291" s="22" t="n">
        <v/>
      </c>
      <c r="O291" s="25" t="n">
        <v>0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0" t="n">
        <v/>
      </c>
      <c r="J292" s="24" t="n">
        <v/>
      </c>
      <c r="K292" s="24" t="n">
        <v/>
      </c>
      <c r="L292" s="24" t="n">
        <v>0</v>
      </c>
      <c r="M292" s="24" t="n">
        <v/>
      </c>
      <c r="N292" s="20" t="n">
        <v/>
      </c>
      <c r="O292" s="24" t="n">
        <v>0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2" t="n">
        <v/>
      </c>
      <c r="J293" s="25" t="n">
        <v/>
      </c>
      <c r="K293" s="25" t="n">
        <v/>
      </c>
      <c r="L293" s="25" t="n">
        <v>0</v>
      </c>
      <c r="M293" s="25" t="n">
        <v/>
      </c>
      <c r="N293" s="22" t="n">
        <v/>
      </c>
      <c r="O293" s="25" t="n">
        <v>0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0" t="n">
        <v/>
      </c>
      <c r="J294" s="24" t="n">
        <v/>
      </c>
      <c r="K294" s="24" t="n">
        <v/>
      </c>
      <c r="L294" s="24" t="n">
        <v>0</v>
      </c>
      <c r="M294" s="24" t="n">
        <v/>
      </c>
      <c r="N294" s="20" t="n">
        <v/>
      </c>
      <c r="O294" s="24" t="n">
        <v>0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2" t="n">
        <v/>
      </c>
      <c r="J295" s="25" t="n">
        <v/>
      </c>
      <c r="K295" s="25" t="n">
        <v/>
      </c>
      <c r="L295" s="25" t="n">
        <v>0</v>
      </c>
      <c r="M295" s="25" t="n">
        <v/>
      </c>
      <c r="N295" s="22" t="n">
        <v/>
      </c>
      <c r="O295" s="25" t="n">
        <v>0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0" t="n">
        <v/>
      </c>
      <c r="J296" s="24" t="n">
        <v/>
      </c>
      <c r="K296" s="24" t="n">
        <v/>
      </c>
      <c r="L296" s="24" t="n">
        <v>0</v>
      </c>
      <c r="M296" s="24" t="n">
        <v/>
      </c>
      <c r="N296" s="20" t="n">
        <v/>
      </c>
      <c r="O296" s="24" t="n">
        <v>0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2" t="n">
        <v/>
      </c>
      <c r="J297" s="25" t="n">
        <v/>
      </c>
      <c r="K297" s="25" t="n">
        <v/>
      </c>
      <c r="L297" s="25" t="n">
        <v>0</v>
      </c>
      <c r="M297" s="25" t="n">
        <v/>
      </c>
      <c r="N297" s="22" t="n">
        <v/>
      </c>
      <c r="O297" s="25" t="n">
        <v>0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0" t="n">
        <v/>
      </c>
      <c r="J298" s="24" t="n">
        <v/>
      </c>
      <c r="K298" s="24" t="n">
        <v/>
      </c>
      <c r="L298" s="24" t="n">
        <v>0</v>
      </c>
      <c r="M298" s="24" t="n">
        <v/>
      </c>
      <c r="N298" s="20" t="n">
        <v/>
      </c>
      <c r="O298" s="24" t="n">
        <v>0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2" t="n">
        <v/>
      </c>
      <c r="J299" s="25" t="n">
        <v/>
      </c>
      <c r="K299" s="25" t="n">
        <v/>
      </c>
      <c r="L299" s="25" t="n">
        <v>0</v>
      </c>
      <c r="M299" s="25" t="n">
        <v/>
      </c>
      <c r="N299" s="22" t="n">
        <v/>
      </c>
      <c r="O299" s="25" t="n">
        <v>0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0" t="n">
        <v/>
      </c>
      <c r="J300" s="24" t="n">
        <v/>
      </c>
      <c r="K300" s="24" t="n">
        <v/>
      </c>
      <c r="L300" s="24" t="n">
        <v>0</v>
      </c>
      <c r="M300" s="24" t="n">
        <v/>
      </c>
      <c r="N300" s="20" t="n">
        <v/>
      </c>
      <c r="O300" s="24" t="n">
        <v>0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2" t="n">
        <v/>
      </c>
      <c r="J301" s="25" t="n">
        <v/>
      </c>
      <c r="K301" s="25" t="n">
        <v/>
      </c>
      <c r="L301" s="25" t="n">
        <v>0</v>
      </c>
      <c r="M301" s="25" t="n">
        <v/>
      </c>
      <c r="N301" s="22" t="n">
        <v/>
      </c>
      <c r="O301" s="25" t="n">
        <v>0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0" t="n">
        <v/>
      </c>
      <c r="J302" s="24" t="n">
        <v/>
      </c>
      <c r="K302" s="24" t="n">
        <v/>
      </c>
      <c r="L302" s="24" t="n">
        <v>0</v>
      </c>
      <c r="M302" s="24" t="n">
        <v/>
      </c>
      <c r="N302" s="20" t="n">
        <v/>
      </c>
      <c r="O302" s="24" t="n">
        <v>0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2" t="n">
        <v/>
      </c>
      <c r="J303" s="25" t="n">
        <v/>
      </c>
      <c r="K303" s="25" t="n">
        <v/>
      </c>
      <c r="L303" s="25" t="n">
        <v>0</v>
      </c>
      <c r="M303" s="25" t="n">
        <v/>
      </c>
      <c r="N303" s="22" t="n">
        <v/>
      </c>
      <c r="O303" s="25" t="n">
        <v>0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0" t="n">
        <v/>
      </c>
      <c r="J304" s="24" t="n">
        <v/>
      </c>
      <c r="K304" s="24" t="n">
        <v/>
      </c>
      <c r="L304" s="24" t="n">
        <v>0</v>
      </c>
      <c r="M304" s="24" t="n">
        <v/>
      </c>
      <c r="N304" s="20" t="n">
        <v/>
      </c>
      <c r="O304" s="24" t="n">
        <v>0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2" t="n">
        <v/>
      </c>
      <c r="J305" s="25" t="n">
        <v/>
      </c>
      <c r="K305" s="25" t="n">
        <v/>
      </c>
      <c r="L305" s="25" t="n">
        <v>0</v>
      </c>
      <c r="M305" s="25" t="n">
        <v/>
      </c>
      <c r="N305" s="22" t="n">
        <v/>
      </c>
      <c r="O305" s="25" t="n">
        <v>0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0" t="n">
        <v/>
      </c>
      <c r="J306" s="24" t="n">
        <v/>
      </c>
      <c r="K306" s="24" t="n">
        <v/>
      </c>
      <c r="L306" s="24" t="n">
        <v>0</v>
      </c>
      <c r="M306" s="24" t="n">
        <v/>
      </c>
      <c r="N306" s="20" t="n">
        <v/>
      </c>
      <c r="O306" s="24" t="n">
        <v>0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2" t="n">
        <v/>
      </c>
      <c r="J307" s="25" t="n">
        <v/>
      </c>
      <c r="K307" s="25" t="n">
        <v/>
      </c>
      <c r="L307" s="25" t="n">
        <v>0</v>
      </c>
      <c r="M307" s="25" t="n">
        <v/>
      </c>
      <c r="N307" s="22" t="n">
        <v/>
      </c>
      <c r="O307" s="25" t="n">
        <v>0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0" t="n">
        <v/>
      </c>
      <c r="J308" s="24" t="n">
        <v/>
      </c>
      <c r="K308" s="24" t="n">
        <v/>
      </c>
      <c r="L308" s="24" t="n">
        <v>0</v>
      </c>
      <c r="M308" s="24" t="n">
        <v/>
      </c>
      <c r="N308" s="20" t="n">
        <v/>
      </c>
      <c r="O308" s="24" t="n">
        <v>0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2" t="n">
        <v/>
      </c>
      <c r="J309" s="25" t="n">
        <v/>
      </c>
      <c r="K309" s="25" t="n">
        <v/>
      </c>
      <c r="L309" s="25" t="n">
        <v>0</v>
      </c>
      <c r="M309" s="25" t="n">
        <v/>
      </c>
      <c r="N309" s="22" t="n">
        <v/>
      </c>
      <c r="O309" s="25" t="n">
        <v>0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0" t="n">
        <v/>
      </c>
      <c r="J310" s="24" t="n">
        <v/>
      </c>
      <c r="K310" s="24" t="n">
        <v/>
      </c>
      <c r="L310" s="24" t="n">
        <v>0</v>
      </c>
      <c r="M310" s="24" t="n">
        <v/>
      </c>
      <c r="N310" s="20" t="n">
        <v/>
      </c>
      <c r="O310" s="24" t="n">
        <v>0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2" t="n">
        <v/>
      </c>
      <c r="J311" s="25" t="n">
        <v/>
      </c>
      <c r="K311" s="25" t="n">
        <v/>
      </c>
      <c r="L311" s="25" t="n">
        <v>0</v>
      </c>
      <c r="M311" s="25" t="n">
        <v/>
      </c>
      <c r="N311" s="22" t="n">
        <v/>
      </c>
      <c r="O311" s="25" t="n">
        <v>0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0" t="n">
        <v/>
      </c>
      <c r="J312" s="24" t="n">
        <v/>
      </c>
      <c r="K312" s="24" t="n">
        <v/>
      </c>
      <c r="L312" s="24" t="n">
        <v>0</v>
      </c>
      <c r="M312" s="24" t="n">
        <v/>
      </c>
      <c r="N312" s="20" t="n">
        <v/>
      </c>
      <c r="O312" s="24" t="n">
        <v>0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2" t="n">
        <v/>
      </c>
      <c r="J313" s="25" t="n">
        <v/>
      </c>
      <c r="K313" s="25" t="n">
        <v/>
      </c>
      <c r="L313" s="25" t="n">
        <v>0</v>
      </c>
      <c r="M313" s="25" t="n">
        <v/>
      </c>
      <c r="N313" s="22" t="n">
        <v/>
      </c>
      <c r="O313" s="25" t="n">
        <v>0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0" t="n">
        <v/>
      </c>
      <c r="J314" s="24" t="n">
        <v/>
      </c>
      <c r="K314" s="24" t="n">
        <v/>
      </c>
      <c r="L314" s="24" t="n">
        <v>0</v>
      </c>
      <c r="M314" s="24" t="n">
        <v/>
      </c>
      <c r="N314" s="20" t="n">
        <v/>
      </c>
      <c r="O314" s="24" t="n">
        <v>0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2" t="n">
        <v/>
      </c>
      <c r="J315" s="25" t="n">
        <v/>
      </c>
      <c r="K315" s="25" t="n">
        <v/>
      </c>
      <c r="L315" s="25" t="n">
        <v>0</v>
      </c>
      <c r="M315" s="25" t="n">
        <v/>
      </c>
      <c r="N315" s="22" t="n">
        <v/>
      </c>
      <c r="O315" s="25" t="n">
        <v>0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0" t="n">
        <v/>
      </c>
      <c r="J316" s="24" t="n">
        <v/>
      </c>
      <c r="K316" s="24" t="n">
        <v/>
      </c>
      <c r="L316" s="24" t="n">
        <v>0</v>
      </c>
      <c r="M316" s="24" t="n">
        <v/>
      </c>
      <c r="N316" s="20" t="n">
        <v/>
      </c>
      <c r="O316" s="24" t="n">
        <v>0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2" t="n">
        <v/>
      </c>
      <c r="J317" s="25" t="n">
        <v/>
      </c>
      <c r="K317" s="25" t="n">
        <v/>
      </c>
      <c r="L317" s="25" t="n">
        <v>0</v>
      </c>
      <c r="M317" s="25" t="n">
        <v/>
      </c>
      <c r="N317" s="22" t="n">
        <v/>
      </c>
      <c r="O317" s="25" t="n">
        <v>0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0" t="n">
        <v/>
      </c>
      <c r="J318" s="24" t="n">
        <v/>
      </c>
      <c r="K318" s="24" t="n">
        <v/>
      </c>
      <c r="L318" s="24" t="n">
        <v>0</v>
      </c>
      <c r="M318" s="24" t="n">
        <v/>
      </c>
      <c r="N318" s="20" t="n">
        <v/>
      </c>
      <c r="O318" s="24" t="n">
        <v>0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2" t="n">
        <v/>
      </c>
      <c r="J319" s="25" t="n">
        <v/>
      </c>
      <c r="K319" s="25" t="n">
        <v/>
      </c>
      <c r="L319" s="25" t="n">
        <v>0</v>
      </c>
      <c r="M319" s="25" t="n">
        <v/>
      </c>
      <c r="N319" s="22" t="n">
        <v/>
      </c>
      <c r="O319" s="25" t="n">
        <v>0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0" t="n">
        <v/>
      </c>
      <c r="J320" s="24" t="n">
        <v/>
      </c>
      <c r="K320" s="24" t="n">
        <v/>
      </c>
      <c r="L320" s="24" t="n">
        <v>0</v>
      </c>
      <c r="M320" s="24" t="n">
        <v/>
      </c>
      <c r="N320" s="20" t="n">
        <v/>
      </c>
      <c r="O320" s="24" t="n">
        <v>0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2" t="n">
        <v/>
      </c>
      <c r="J321" s="25" t="n">
        <v/>
      </c>
      <c r="K321" s="25" t="n">
        <v/>
      </c>
      <c r="L321" s="25" t="n">
        <v>0</v>
      </c>
      <c r="M321" s="25" t="n">
        <v/>
      </c>
      <c r="N321" s="22" t="n">
        <v/>
      </c>
      <c r="O321" s="25" t="n">
        <v>0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0" t="n">
        <v/>
      </c>
      <c r="J322" s="24" t="n">
        <v/>
      </c>
      <c r="K322" s="24" t="n">
        <v/>
      </c>
      <c r="L322" s="24" t="n">
        <v>0</v>
      </c>
      <c r="M322" s="24" t="n">
        <v/>
      </c>
      <c r="N322" s="20" t="n">
        <v/>
      </c>
      <c r="O322" s="24" t="n">
        <v>0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2" t="n">
        <v/>
      </c>
      <c r="J323" s="25" t="n">
        <v/>
      </c>
      <c r="K323" s="25" t="n">
        <v/>
      </c>
      <c r="L323" s="25" t="n">
        <v>0</v>
      </c>
      <c r="M323" s="25" t="n">
        <v/>
      </c>
      <c r="N323" s="22" t="n">
        <v/>
      </c>
      <c r="O323" s="25" t="n">
        <v>0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0" t="n">
        <v/>
      </c>
      <c r="J324" s="24" t="n">
        <v/>
      </c>
      <c r="K324" s="24" t="n">
        <v/>
      </c>
      <c r="L324" s="24" t="n">
        <v>0</v>
      </c>
      <c r="M324" s="24" t="n">
        <v/>
      </c>
      <c r="N324" s="20" t="n">
        <v/>
      </c>
      <c r="O324" s="24" t="n">
        <v>0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2" t="n">
        <v/>
      </c>
      <c r="J325" s="25" t="n">
        <v/>
      </c>
      <c r="K325" s="25" t="n">
        <v/>
      </c>
      <c r="L325" s="25" t="n">
        <v>0</v>
      </c>
      <c r="M325" s="25" t="n">
        <v/>
      </c>
      <c r="N325" s="22" t="n">
        <v/>
      </c>
      <c r="O325" s="25" t="n">
        <v>0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0" t="n">
        <v/>
      </c>
      <c r="J326" s="24" t="n">
        <v/>
      </c>
      <c r="K326" s="24" t="n">
        <v/>
      </c>
      <c r="L326" s="24" t="n">
        <v>0</v>
      </c>
      <c r="M326" s="24" t="n">
        <v/>
      </c>
      <c r="N326" s="20" t="n">
        <v/>
      </c>
      <c r="O326" s="24" t="n">
        <v>0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2" t="n">
        <v/>
      </c>
      <c r="J327" s="25" t="n">
        <v/>
      </c>
      <c r="K327" s="25" t="n">
        <v/>
      </c>
      <c r="L327" s="25" t="n">
        <v>0</v>
      </c>
      <c r="M327" s="25" t="n">
        <v/>
      </c>
      <c r="N327" s="22" t="n">
        <v/>
      </c>
      <c r="O327" s="25" t="n">
        <v>0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0" t="n">
        <v/>
      </c>
      <c r="J328" s="24" t="n">
        <v/>
      </c>
      <c r="K328" s="24" t="n">
        <v/>
      </c>
      <c r="L328" s="24" t="n">
        <v>0</v>
      </c>
      <c r="M328" s="24" t="n">
        <v/>
      </c>
      <c r="N328" s="20" t="n">
        <v/>
      </c>
      <c r="O328" s="24" t="n">
        <v>0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2" t="n">
        <v/>
      </c>
      <c r="J329" s="25" t="n">
        <v/>
      </c>
      <c r="K329" s="25" t="n">
        <v/>
      </c>
      <c r="L329" s="25" t="n">
        <v>0</v>
      </c>
      <c r="M329" s="25" t="n">
        <v/>
      </c>
      <c r="N329" s="22" t="n">
        <v/>
      </c>
      <c r="O329" s="25" t="n">
        <v>0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0" t="n">
        <v/>
      </c>
      <c r="J330" s="24" t="n">
        <v/>
      </c>
      <c r="K330" s="24" t="n">
        <v/>
      </c>
      <c r="L330" s="24" t="n">
        <v>0</v>
      </c>
      <c r="M330" s="24" t="n">
        <v/>
      </c>
      <c r="N330" s="20" t="n">
        <v/>
      </c>
      <c r="O330" s="24" t="n">
        <v>0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2" t="n">
        <v/>
      </c>
      <c r="J331" s="25" t="n">
        <v/>
      </c>
      <c r="K331" s="25" t="n">
        <v/>
      </c>
      <c r="L331" s="25" t="n">
        <v>0</v>
      </c>
      <c r="M331" s="25" t="n">
        <v/>
      </c>
      <c r="N331" s="22" t="n">
        <v/>
      </c>
      <c r="O331" s="25" t="n">
        <v>0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0" t="n">
        <v/>
      </c>
      <c r="J332" s="24" t="n">
        <v/>
      </c>
      <c r="K332" s="24" t="n">
        <v/>
      </c>
      <c r="L332" s="24" t="n">
        <v>0</v>
      </c>
      <c r="M332" s="24" t="n">
        <v/>
      </c>
      <c r="N332" s="20" t="n">
        <v/>
      </c>
      <c r="O332" s="24" t="n">
        <v>0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2" t="n">
        <v/>
      </c>
      <c r="J333" s="25" t="n">
        <v/>
      </c>
      <c r="K333" s="25" t="n">
        <v/>
      </c>
      <c r="L333" s="25" t="n">
        <v>0</v>
      </c>
      <c r="M333" s="25" t="n">
        <v/>
      </c>
      <c r="N333" s="22" t="n">
        <v/>
      </c>
      <c r="O333" s="25" t="n">
        <v>0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0" t="n">
        <v/>
      </c>
      <c r="J334" s="24" t="n">
        <v/>
      </c>
      <c r="K334" s="24" t="n">
        <v/>
      </c>
      <c r="L334" s="24" t="n">
        <v>0</v>
      </c>
      <c r="M334" s="24" t="n">
        <v/>
      </c>
      <c r="N334" s="20" t="n">
        <v/>
      </c>
      <c r="O334" s="24" t="n">
        <v>0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2" t="n">
        <v/>
      </c>
      <c r="J335" s="25" t="n">
        <v/>
      </c>
      <c r="K335" s="25" t="n">
        <v/>
      </c>
      <c r="L335" s="25" t="n">
        <v>0</v>
      </c>
      <c r="M335" s="25" t="n">
        <v/>
      </c>
      <c r="N335" s="22" t="n">
        <v/>
      </c>
      <c r="O335" s="25" t="n">
        <v>0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0" t="n">
        <v/>
      </c>
      <c r="J336" s="24" t="n">
        <v/>
      </c>
      <c r="K336" s="24" t="n">
        <v/>
      </c>
      <c r="L336" s="24" t="n">
        <v>0</v>
      </c>
      <c r="M336" s="24" t="n">
        <v/>
      </c>
      <c r="N336" s="20" t="n">
        <v/>
      </c>
      <c r="O336" s="24" t="n">
        <v>0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2" t="n">
        <v/>
      </c>
      <c r="J337" s="25" t="n">
        <v/>
      </c>
      <c r="K337" s="25" t="n">
        <v/>
      </c>
      <c r="L337" s="25" t="n">
        <v>0</v>
      </c>
      <c r="M337" s="25" t="n">
        <v/>
      </c>
      <c r="N337" s="22" t="n">
        <v/>
      </c>
      <c r="O337" s="25" t="n">
        <v>0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0" t="n">
        <v/>
      </c>
      <c r="J338" s="24" t="n">
        <v/>
      </c>
      <c r="K338" s="24" t="n">
        <v/>
      </c>
      <c r="L338" s="24" t="n">
        <v>0</v>
      </c>
      <c r="M338" s="24" t="n">
        <v/>
      </c>
      <c r="N338" s="20" t="n">
        <v/>
      </c>
      <c r="O338" s="24" t="n">
        <v>0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2" t="n">
        <v/>
      </c>
      <c r="J339" s="25" t="n">
        <v/>
      </c>
      <c r="K339" s="25" t="n">
        <v/>
      </c>
      <c r="L339" s="25" t="n">
        <v>0</v>
      </c>
      <c r="M339" s="25" t="n">
        <v/>
      </c>
      <c r="N339" s="22" t="n">
        <v/>
      </c>
      <c r="O339" s="25" t="n">
        <v>0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0" t="n">
        <v/>
      </c>
      <c r="J340" s="24" t="n">
        <v/>
      </c>
      <c r="K340" s="24" t="n">
        <v/>
      </c>
      <c r="L340" s="24" t="n">
        <v>0</v>
      </c>
      <c r="M340" s="24" t="n">
        <v/>
      </c>
      <c r="N340" s="20" t="n">
        <v/>
      </c>
      <c r="O340" s="24" t="n">
        <v>0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2" t="n">
        <v/>
      </c>
      <c r="J341" s="25" t="n">
        <v/>
      </c>
      <c r="K341" s="25" t="n">
        <v/>
      </c>
      <c r="L341" s="25" t="n">
        <v>0</v>
      </c>
      <c r="M341" s="25" t="n">
        <v/>
      </c>
      <c r="N341" s="22" t="n">
        <v/>
      </c>
      <c r="O341" s="25" t="n">
        <v>0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0" t="n">
        <v/>
      </c>
      <c r="J342" s="24" t="n">
        <v/>
      </c>
      <c r="K342" s="24" t="n">
        <v/>
      </c>
      <c r="L342" s="24" t="n">
        <v>0</v>
      </c>
      <c r="M342" s="24" t="n">
        <v/>
      </c>
      <c r="N342" s="20" t="n">
        <v/>
      </c>
      <c r="O342" s="24" t="n">
        <v>0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2" t="n">
        <v/>
      </c>
      <c r="J343" s="25" t="n">
        <v/>
      </c>
      <c r="K343" s="25" t="n">
        <v/>
      </c>
      <c r="L343" s="25" t="n">
        <v>0</v>
      </c>
      <c r="M343" s="25" t="n">
        <v/>
      </c>
      <c r="N343" s="22" t="n">
        <v/>
      </c>
      <c r="O343" s="25" t="n">
        <v>0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0" t="n">
        <v/>
      </c>
      <c r="J344" s="24" t="n">
        <v/>
      </c>
      <c r="K344" s="24" t="n">
        <v/>
      </c>
      <c r="L344" s="24" t="n">
        <v>0</v>
      </c>
      <c r="M344" s="24" t="n">
        <v/>
      </c>
      <c r="N344" s="20" t="n">
        <v/>
      </c>
      <c r="O344" s="24" t="n">
        <v>0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2" t="n">
        <v/>
      </c>
      <c r="J345" s="25" t="n">
        <v/>
      </c>
      <c r="K345" s="25" t="n">
        <v/>
      </c>
      <c r="L345" s="25" t="n">
        <v>0</v>
      </c>
      <c r="M345" s="25" t="n">
        <v/>
      </c>
      <c r="N345" s="22" t="n">
        <v/>
      </c>
      <c r="O345" s="25" t="n">
        <v>0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0" t="n">
        <v/>
      </c>
      <c r="J346" s="24" t="n">
        <v/>
      </c>
      <c r="K346" s="24" t="n">
        <v/>
      </c>
      <c r="L346" s="24" t="n">
        <v>0</v>
      </c>
      <c r="M346" s="24" t="n">
        <v/>
      </c>
      <c r="N346" s="20" t="n">
        <v/>
      </c>
      <c r="O346" s="24" t="n">
        <v>0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2" t="n">
        <v/>
      </c>
      <c r="J347" s="25" t="n">
        <v/>
      </c>
      <c r="K347" s="25" t="n">
        <v/>
      </c>
      <c r="L347" s="25" t="n">
        <v>0</v>
      </c>
      <c r="M347" s="25" t="n">
        <v/>
      </c>
      <c r="N347" s="22" t="n">
        <v/>
      </c>
      <c r="O347" s="25" t="n">
        <v>0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0" t="n">
        <v/>
      </c>
      <c r="J348" s="24" t="n">
        <v/>
      </c>
      <c r="K348" s="24" t="n">
        <v/>
      </c>
      <c r="L348" s="24" t="n">
        <v>0</v>
      </c>
      <c r="M348" s="24" t="n">
        <v/>
      </c>
      <c r="N348" s="20" t="n">
        <v/>
      </c>
      <c r="O348" s="24" t="n">
        <v>0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2" t="n">
        <v/>
      </c>
      <c r="J349" s="25" t="n">
        <v/>
      </c>
      <c r="K349" s="25" t="n">
        <v/>
      </c>
      <c r="L349" s="25" t="n">
        <v>0</v>
      </c>
      <c r="M349" s="25" t="n">
        <v/>
      </c>
      <c r="N349" s="22" t="n">
        <v/>
      </c>
      <c r="O349" s="25" t="n">
        <v>0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0" t="n">
        <v/>
      </c>
      <c r="J350" s="24" t="n">
        <v/>
      </c>
      <c r="K350" s="24" t="n">
        <v/>
      </c>
      <c r="L350" s="24" t="n">
        <v>0</v>
      </c>
      <c r="M350" s="24" t="n">
        <v/>
      </c>
      <c r="N350" s="20" t="n">
        <v/>
      </c>
      <c r="O350" s="24" t="n">
        <v>0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2" t="n">
        <v/>
      </c>
      <c r="J351" s="25" t="n">
        <v/>
      </c>
      <c r="K351" s="25" t="n">
        <v/>
      </c>
      <c r="L351" s="25" t="n">
        <v>0</v>
      </c>
      <c r="M351" s="25" t="n">
        <v/>
      </c>
      <c r="N351" s="22" t="n">
        <v/>
      </c>
      <c r="O351" s="25" t="n">
        <v>0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0" t="n">
        <v/>
      </c>
      <c r="J352" s="24" t="n">
        <v/>
      </c>
      <c r="K352" s="24" t="n">
        <v/>
      </c>
      <c r="L352" s="24" t="n">
        <v>0</v>
      </c>
      <c r="M352" s="24" t="n">
        <v/>
      </c>
      <c r="N352" s="20" t="n">
        <v/>
      </c>
      <c r="O352" s="24" t="n">
        <v>0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2" t="n">
        <v/>
      </c>
      <c r="J353" s="25" t="n">
        <v/>
      </c>
      <c r="K353" s="25" t="n">
        <v/>
      </c>
      <c r="L353" s="25" t="n">
        <v>0</v>
      </c>
      <c r="M353" s="25" t="n">
        <v/>
      </c>
      <c r="N353" s="22" t="n">
        <v/>
      </c>
      <c r="O353" s="25" t="n">
        <v>0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0" t="n">
        <v/>
      </c>
      <c r="J354" s="24" t="n">
        <v/>
      </c>
      <c r="K354" s="24" t="n">
        <v/>
      </c>
      <c r="L354" s="24" t="n">
        <v>0</v>
      </c>
      <c r="M354" s="24" t="n">
        <v/>
      </c>
      <c r="N354" s="20" t="n">
        <v/>
      </c>
      <c r="O354" s="24" t="n">
        <v>0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2" t="n">
        <v/>
      </c>
      <c r="J355" s="25" t="n">
        <v/>
      </c>
      <c r="K355" s="25" t="n">
        <v/>
      </c>
      <c r="L355" s="25" t="n">
        <v>0</v>
      </c>
      <c r="M355" s="25" t="n">
        <v/>
      </c>
      <c r="N355" s="22" t="n">
        <v/>
      </c>
      <c r="O355" s="25" t="n">
        <v>0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0" t="n">
        <v/>
      </c>
      <c r="J356" s="24" t="n">
        <v/>
      </c>
      <c r="K356" s="24" t="n">
        <v/>
      </c>
      <c r="L356" s="24" t="n">
        <v>0</v>
      </c>
      <c r="M356" s="24" t="n">
        <v/>
      </c>
      <c r="N356" s="20" t="n">
        <v/>
      </c>
      <c r="O356" s="24" t="n">
        <v>0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2" t="n">
        <v/>
      </c>
      <c r="J357" s="25" t="n">
        <v/>
      </c>
      <c r="K357" s="25" t="n">
        <v/>
      </c>
      <c r="L357" s="25" t="n">
        <v>0</v>
      </c>
      <c r="M357" s="25" t="n">
        <v/>
      </c>
      <c r="N357" s="22" t="n">
        <v/>
      </c>
      <c r="O357" s="25" t="n">
        <v>0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0" t="n">
        <v/>
      </c>
      <c r="J358" s="24" t="n">
        <v/>
      </c>
      <c r="K358" s="24" t="n">
        <v/>
      </c>
      <c r="L358" s="24" t="n">
        <v>0</v>
      </c>
      <c r="M358" s="24" t="n">
        <v/>
      </c>
      <c r="N358" s="20" t="n">
        <v/>
      </c>
      <c r="O358" s="24" t="n">
        <v>0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2" t="n">
        <v/>
      </c>
      <c r="J359" s="25" t="n">
        <v/>
      </c>
      <c r="K359" s="25" t="n">
        <v/>
      </c>
      <c r="L359" s="25" t="n">
        <v>0</v>
      </c>
      <c r="M359" s="25" t="n">
        <v/>
      </c>
      <c r="N359" s="22" t="n">
        <v/>
      </c>
      <c r="O359" s="25" t="n">
        <v>0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0" t="n">
        <v/>
      </c>
      <c r="J360" s="24" t="n">
        <v/>
      </c>
      <c r="K360" s="24" t="n">
        <v/>
      </c>
      <c r="L360" s="24" t="n">
        <v>0</v>
      </c>
      <c r="M360" s="24" t="n">
        <v/>
      </c>
      <c r="N360" s="20" t="n">
        <v/>
      </c>
      <c r="O360" s="24" t="n">
        <v>0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2" t="n">
        <v/>
      </c>
      <c r="J361" s="25" t="n">
        <v/>
      </c>
      <c r="K361" s="25" t="n">
        <v/>
      </c>
      <c r="L361" s="25" t="n">
        <v>0</v>
      </c>
      <c r="M361" s="25" t="n">
        <v/>
      </c>
      <c r="N361" s="22" t="n">
        <v/>
      </c>
      <c r="O361" s="25" t="n">
        <v>0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0" t="n">
        <v/>
      </c>
      <c r="J362" s="24" t="n">
        <v/>
      </c>
      <c r="K362" s="24" t="n">
        <v/>
      </c>
      <c r="L362" s="24" t="n">
        <v>0</v>
      </c>
      <c r="M362" s="24" t="n">
        <v/>
      </c>
      <c r="N362" s="20" t="n">
        <v/>
      </c>
      <c r="O362" s="24" t="n">
        <v>0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2" t="n">
        <v/>
      </c>
      <c r="J363" s="25" t="n">
        <v/>
      </c>
      <c r="K363" s="25" t="n">
        <v/>
      </c>
      <c r="L363" s="25" t="n">
        <v>0</v>
      </c>
      <c r="M363" s="25" t="n">
        <v/>
      </c>
      <c r="N363" s="22" t="n">
        <v/>
      </c>
      <c r="O363" s="25" t="n">
        <v>0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0" t="n">
        <v/>
      </c>
      <c r="J364" s="24" t="n">
        <v/>
      </c>
      <c r="K364" s="24" t="n">
        <v/>
      </c>
      <c r="L364" s="24" t="n">
        <v>0</v>
      </c>
      <c r="M364" s="24" t="n">
        <v/>
      </c>
      <c r="N364" s="20" t="n">
        <v/>
      </c>
      <c r="O364" s="24" t="n">
        <v>0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2" t="n">
        <v/>
      </c>
      <c r="J365" s="25" t="n">
        <v/>
      </c>
      <c r="K365" s="25" t="n">
        <v/>
      </c>
      <c r="L365" s="25" t="n">
        <v>0</v>
      </c>
      <c r="M365" s="25" t="n">
        <v/>
      </c>
      <c r="N365" s="22" t="n">
        <v/>
      </c>
      <c r="O365" s="25" t="n">
        <v>0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0" t="n">
        <v/>
      </c>
      <c r="J366" s="24" t="n">
        <v/>
      </c>
      <c r="K366" s="24" t="n">
        <v/>
      </c>
      <c r="L366" s="24" t="n">
        <v>0</v>
      </c>
      <c r="M366" s="24" t="n">
        <v/>
      </c>
      <c r="N366" s="20" t="n">
        <v/>
      </c>
      <c r="O366" s="24" t="n">
        <v>0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2" t="n">
        <v/>
      </c>
      <c r="J367" s="25" t="n">
        <v/>
      </c>
      <c r="K367" s="25" t="n">
        <v/>
      </c>
      <c r="L367" s="25" t="n">
        <v>0</v>
      </c>
      <c r="M367" s="25" t="n">
        <v/>
      </c>
      <c r="N367" s="22" t="n">
        <v/>
      </c>
      <c r="O367" s="25" t="n">
        <v>0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0" t="n">
        <v/>
      </c>
      <c r="J368" s="24" t="n">
        <v/>
      </c>
      <c r="K368" s="24" t="n">
        <v/>
      </c>
      <c r="L368" s="24" t="n">
        <v>0</v>
      </c>
      <c r="M368" s="24" t="n">
        <v/>
      </c>
      <c r="N368" s="20" t="n">
        <v/>
      </c>
      <c r="O368" s="24" t="n">
        <v>0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2" t="n">
        <v/>
      </c>
      <c r="J369" s="25" t="n">
        <v/>
      </c>
      <c r="K369" s="25" t="n">
        <v/>
      </c>
      <c r="L369" s="25" t="n">
        <v>0</v>
      </c>
      <c r="M369" s="25" t="n">
        <v/>
      </c>
      <c r="N369" s="22" t="n">
        <v/>
      </c>
      <c r="O369" s="25" t="n">
        <v>0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0" t="n">
        <v/>
      </c>
      <c r="J370" s="24" t="n">
        <v/>
      </c>
      <c r="K370" s="24" t="n">
        <v/>
      </c>
      <c r="L370" s="24" t="n">
        <v>0</v>
      </c>
      <c r="M370" s="24" t="n">
        <v/>
      </c>
      <c r="N370" s="20" t="n">
        <v/>
      </c>
      <c r="O370" s="24" t="n">
        <v>0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2" t="n">
        <v/>
      </c>
      <c r="J371" s="25" t="n">
        <v/>
      </c>
      <c r="K371" s="25" t="n">
        <v/>
      </c>
      <c r="L371" s="25" t="n">
        <v>0</v>
      </c>
      <c r="M371" s="25" t="n">
        <v/>
      </c>
      <c r="N371" s="22" t="n">
        <v/>
      </c>
      <c r="O371" s="25" t="n">
        <v>0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0" t="n">
        <v/>
      </c>
      <c r="J372" s="24" t="n">
        <v/>
      </c>
      <c r="K372" s="24" t="n">
        <v/>
      </c>
      <c r="L372" s="24" t="n">
        <v>0</v>
      </c>
      <c r="M372" s="24" t="n">
        <v/>
      </c>
      <c r="N372" s="20" t="n">
        <v/>
      </c>
      <c r="O372" s="24" t="n">
        <v>0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2" t="n">
        <v/>
      </c>
      <c r="J373" s="25" t="n">
        <v/>
      </c>
      <c r="K373" s="25" t="n">
        <v/>
      </c>
      <c r="L373" s="25" t="n">
        <v>0</v>
      </c>
      <c r="M373" s="25" t="n">
        <v/>
      </c>
      <c r="N373" s="22" t="n">
        <v/>
      </c>
      <c r="O373" s="25" t="n">
        <v>0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0" t="n">
        <v/>
      </c>
      <c r="J374" s="24" t="n">
        <v/>
      </c>
      <c r="K374" s="24" t="n">
        <v/>
      </c>
      <c r="L374" s="24" t="n">
        <v>0</v>
      </c>
      <c r="M374" s="24" t="n">
        <v/>
      </c>
      <c r="N374" s="20" t="n">
        <v/>
      </c>
      <c r="O374" s="24" t="n">
        <v>0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2" t="n">
        <v/>
      </c>
      <c r="J375" s="25" t="n">
        <v/>
      </c>
      <c r="K375" s="25" t="n">
        <v/>
      </c>
      <c r="L375" s="25" t="n">
        <v>0</v>
      </c>
      <c r="M375" s="25" t="n">
        <v/>
      </c>
      <c r="N375" s="22" t="n">
        <v/>
      </c>
      <c r="O375" s="25" t="n">
        <v>0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0" t="n">
        <v/>
      </c>
      <c r="J376" s="24" t="n">
        <v/>
      </c>
      <c r="K376" s="24" t="n">
        <v/>
      </c>
      <c r="L376" s="24" t="n">
        <v>0</v>
      </c>
      <c r="M376" s="24" t="n">
        <v/>
      </c>
      <c r="N376" s="20" t="n">
        <v/>
      </c>
      <c r="O376" s="24" t="n">
        <v>0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2" t="n">
        <v/>
      </c>
      <c r="J377" s="25" t="n">
        <v/>
      </c>
      <c r="K377" s="25" t="n">
        <v/>
      </c>
      <c r="L377" s="25" t="n">
        <v>0</v>
      </c>
      <c r="M377" s="25" t="n">
        <v/>
      </c>
      <c r="N377" s="22" t="n">
        <v/>
      </c>
      <c r="O377" s="25" t="n">
        <v>0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0" t="n">
        <v/>
      </c>
      <c r="J378" s="24" t="n">
        <v/>
      </c>
      <c r="K378" s="24" t="n">
        <v/>
      </c>
      <c r="L378" s="24" t="n">
        <v>0</v>
      </c>
      <c r="M378" s="24" t="n">
        <v/>
      </c>
      <c r="N378" s="20" t="n">
        <v/>
      </c>
      <c r="O378" s="24" t="n">
        <v>0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2" t="n">
        <v/>
      </c>
      <c r="J379" s="25" t="n">
        <v/>
      </c>
      <c r="K379" s="25" t="n">
        <v/>
      </c>
      <c r="L379" s="25" t="n">
        <v>0</v>
      </c>
      <c r="M379" s="25" t="n">
        <v/>
      </c>
      <c r="N379" s="22" t="n">
        <v/>
      </c>
      <c r="O379" s="25" t="n">
        <v>0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0" t="n">
        <v/>
      </c>
      <c r="J380" s="24" t="n">
        <v/>
      </c>
      <c r="K380" s="24" t="n">
        <v/>
      </c>
      <c r="L380" s="24" t="n">
        <v>0</v>
      </c>
      <c r="M380" s="24" t="n">
        <v/>
      </c>
      <c r="N380" s="20" t="n">
        <v/>
      </c>
      <c r="O380" s="24" t="n">
        <v>0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2" t="n">
        <v/>
      </c>
      <c r="J381" s="25" t="n">
        <v/>
      </c>
      <c r="K381" s="25" t="n">
        <v/>
      </c>
      <c r="L381" s="25" t="n">
        <v>0</v>
      </c>
      <c r="M381" s="25" t="n">
        <v/>
      </c>
      <c r="N381" s="22" t="n">
        <v/>
      </c>
      <c r="O381" s="25" t="n">
        <v>0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0" t="n">
        <v/>
      </c>
      <c r="J382" s="24" t="n">
        <v/>
      </c>
      <c r="K382" s="24" t="n">
        <v/>
      </c>
      <c r="L382" s="24" t="n">
        <v>0</v>
      </c>
      <c r="M382" s="24" t="n">
        <v/>
      </c>
      <c r="N382" s="20" t="n">
        <v/>
      </c>
      <c r="O382" s="24" t="n">
        <v>0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2" t="n">
        <v/>
      </c>
      <c r="J383" s="25" t="n">
        <v/>
      </c>
      <c r="K383" s="25" t="n">
        <v/>
      </c>
      <c r="L383" s="25" t="n">
        <v>0</v>
      </c>
      <c r="M383" s="25" t="n">
        <v/>
      </c>
      <c r="N383" s="22" t="n">
        <v/>
      </c>
      <c r="O383" s="25" t="n">
        <v>0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0" t="n">
        <v/>
      </c>
      <c r="J384" s="24" t="n">
        <v/>
      </c>
      <c r="K384" s="24" t="n">
        <v/>
      </c>
      <c r="L384" s="24" t="n">
        <v>0</v>
      </c>
      <c r="M384" s="24" t="n">
        <v/>
      </c>
      <c r="N384" s="20" t="n">
        <v/>
      </c>
      <c r="O384" s="24" t="n">
        <v>0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2" t="n">
        <v/>
      </c>
      <c r="J385" s="25" t="n">
        <v/>
      </c>
      <c r="K385" s="25" t="n">
        <v/>
      </c>
      <c r="L385" s="25" t="n">
        <v>0</v>
      </c>
      <c r="M385" s="25" t="n">
        <v/>
      </c>
      <c r="N385" s="22" t="n">
        <v/>
      </c>
      <c r="O385" s="25" t="n">
        <v>0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0" t="n">
        <v/>
      </c>
      <c r="J386" s="24" t="n">
        <v/>
      </c>
      <c r="K386" s="24" t="n">
        <v/>
      </c>
      <c r="L386" s="24" t="n">
        <v>0</v>
      </c>
      <c r="M386" s="24" t="n">
        <v/>
      </c>
      <c r="N386" s="20" t="n">
        <v/>
      </c>
      <c r="O386" s="24" t="n">
        <v>0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2" t="n">
        <v/>
      </c>
      <c r="J387" s="25" t="n">
        <v/>
      </c>
      <c r="K387" s="25" t="n">
        <v/>
      </c>
      <c r="L387" s="25" t="n">
        <v>0</v>
      </c>
      <c r="M387" s="25" t="n">
        <v/>
      </c>
      <c r="N387" s="22" t="n">
        <v/>
      </c>
      <c r="O387" s="25" t="n">
        <v>0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0" t="n">
        <v/>
      </c>
      <c r="J388" s="24" t="n">
        <v/>
      </c>
      <c r="K388" s="24" t="n">
        <v/>
      </c>
      <c r="L388" s="24" t="n">
        <v>0</v>
      </c>
      <c r="M388" s="24" t="n">
        <v/>
      </c>
      <c r="N388" s="20" t="n">
        <v/>
      </c>
      <c r="O388" s="24" t="n">
        <v>0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2" t="n">
        <v/>
      </c>
      <c r="J389" s="25" t="n">
        <v/>
      </c>
      <c r="K389" s="25" t="n">
        <v/>
      </c>
      <c r="L389" s="25" t="n">
        <v>0</v>
      </c>
      <c r="M389" s="25" t="n">
        <v/>
      </c>
      <c r="N389" s="22" t="n">
        <v/>
      </c>
      <c r="O389" s="25" t="n">
        <v>0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0" t="n">
        <v/>
      </c>
      <c r="J390" s="24" t="n">
        <v/>
      </c>
      <c r="K390" s="24" t="n">
        <v/>
      </c>
      <c r="L390" s="24" t="n">
        <v>0</v>
      </c>
      <c r="M390" s="24" t="n">
        <v/>
      </c>
      <c r="N390" s="20" t="n">
        <v/>
      </c>
      <c r="O390" s="24" t="n">
        <v>0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2" t="n">
        <v/>
      </c>
      <c r="J391" s="25" t="n">
        <v/>
      </c>
      <c r="K391" s="25" t="n">
        <v/>
      </c>
      <c r="L391" s="25" t="n">
        <v>0</v>
      </c>
      <c r="M391" s="25" t="n">
        <v/>
      </c>
      <c r="N391" s="22" t="n">
        <v/>
      </c>
      <c r="O391" s="25" t="n">
        <v>0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0" t="n">
        <v/>
      </c>
      <c r="J392" s="24" t="n">
        <v/>
      </c>
      <c r="K392" s="24" t="n">
        <v/>
      </c>
      <c r="L392" s="24" t="n">
        <v>0</v>
      </c>
      <c r="M392" s="24" t="n">
        <v/>
      </c>
      <c r="N392" s="20" t="n">
        <v/>
      </c>
      <c r="O392" s="24" t="n">
        <v>0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2" t="n">
        <v/>
      </c>
      <c r="J393" s="25" t="n">
        <v/>
      </c>
      <c r="K393" s="25" t="n">
        <v/>
      </c>
      <c r="L393" s="25" t="n">
        <v>0</v>
      </c>
      <c r="M393" s="25" t="n">
        <v/>
      </c>
      <c r="N393" s="22" t="n">
        <v/>
      </c>
      <c r="O393" s="25" t="n">
        <v>0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0" t="n">
        <v/>
      </c>
      <c r="J394" s="24" t="n">
        <v/>
      </c>
      <c r="K394" s="24" t="n">
        <v/>
      </c>
      <c r="L394" s="24" t="n">
        <v>0</v>
      </c>
      <c r="M394" s="24" t="n">
        <v/>
      </c>
      <c r="N394" s="20" t="n">
        <v/>
      </c>
      <c r="O394" s="24" t="n">
        <v>0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2" t="n">
        <v/>
      </c>
      <c r="J395" s="25" t="n">
        <v/>
      </c>
      <c r="K395" s="25" t="n">
        <v/>
      </c>
      <c r="L395" s="25" t="n">
        <v>0</v>
      </c>
      <c r="M395" s="25" t="n">
        <v/>
      </c>
      <c r="N395" s="22" t="n">
        <v/>
      </c>
      <c r="O395" s="25" t="n">
        <v>0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0" t="n">
        <v/>
      </c>
      <c r="J396" s="24" t="n">
        <v/>
      </c>
      <c r="K396" s="24" t="n">
        <v/>
      </c>
      <c r="L396" s="24" t="n">
        <v>0</v>
      </c>
      <c r="M396" s="24" t="n">
        <v/>
      </c>
      <c r="N396" s="20" t="n">
        <v/>
      </c>
      <c r="O396" s="24" t="n">
        <v>0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2" t="n">
        <v/>
      </c>
      <c r="J397" s="25" t="n">
        <v/>
      </c>
      <c r="K397" s="25" t="n">
        <v/>
      </c>
      <c r="L397" s="25" t="n">
        <v>0</v>
      </c>
      <c r="M397" s="25" t="n">
        <v/>
      </c>
      <c r="N397" s="22" t="n">
        <v/>
      </c>
      <c r="O397" s="25" t="n">
        <v>0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0" t="n">
        <v/>
      </c>
      <c r="J398" s="24" t="n">
        <v/>
      </c>
      <c r="K398" s="24" t="n">
        <v/>
      </c>
      <c r="L398" s="24" t="n">
        <v>0</v>
      </c>
      <c r="M398" s="24" t="n">
        <v/>
      </c>
      <c r="N398" s="20" t="n">
        <v/>
      </c>
      <c r="O398" s="24" t="n">
        <v>0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2" t="n">
        <v/>
      </c>
      <c r="J399" s="25" t="n">
        <v/>
      </c>
      <c r="K399" s="25" t="n">
        <v/>
      </c>
      <c r="L399" s="25" t="n">
        <v>0</v>
      </c>
      <c r="M399" s="25" t="n">
        <v/>
      </c>
      <c r="N399" s="22" t="n">
        <v/>
      </c>
      <c r="O399" s="25" t="n">
        <v>0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0" t="n">
        <v/>
      </c>
      <c r="J400" s="24" t="n">
        <v/>
      </c>
      <c r="K400" s="24" t="n">
        <v/>
      </c>
      <c r="L400" s="24" t="n">
        <v>0</v>
      </c>
      <c r="M400" s="24" t="n">
        <v/>
      </c>
      <c r="N400" s="20" t="n">
        <v/>
      </c>
      <c r="O400" s="24" t="n">
        <v>0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2" t="n">
        <v/>
      </c>
      <c r="J401" s="25" t="n">
        <v/>
      </c>
      <c r="K401" s="25" t="n">
        <v/>
      </c>
      <c r="L401" s="25" t="n">
        <v>0</v>
      </c>
      <c r="M401" s="25" t="n">
        <v/>
      </c>
      <c r="N401" s="22" t="n">
        <v/>
      </c>
      <c r="O401" s="25" t="n">
        <v>0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0" t="n">
        <v/>
      </c>
      <c r="J402" s="24" t="n">
        <v/>
      </c>
      <c r="K402" s="24" t="n">
        <v/>
      </c>
      <c r="L402" s="24" t="n">
        <v>0</v>
      </c>
      <c r="M402" s="24" t="n">
        <v/>
      </c>
      <c r="N402" s="20" t="n">
        <v/>
      </c>
      <c r="O402" s="24" t="n">
        <v>0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2" t="n">
        <v/>
      </c>
      <c r="J403" s="25" t="n">
        <v/>
      </c>
      <c r="K403" s="25" t="n">
        <v/>
      </c>
      <c r="L403" s="25" t="n">
        <v>0</v>
      </c>
      <c r="M403" s="25" t="n">
        <v/>
      </c>
      <c r="N403" s="22" t="n">
        <v/>
      </c>
      <c r="O403" s="25" t="n">
        <v>0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0" t="n">
        <v/>
      </c>
      <c r="J404" s="24" t="n">
        <v/>
      </c>
      <c r="K404" s="24" t="n">
        <v/>
      </c>
      <c r="L404" s="24" t="n">
        <v>0</v>
      </c>
      <c r="M404" s="24" t="n">
        <v/>
      </c>
      <c r="N404" s="20" t="n">
        <v/>
      </c>
      <c r="O404" s="24" t="n">
        <v>0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2" t="n">
        <v/>
      </c>
      <c r="J405" s="25" t="n">
        <v/>
      </c>
      <c r="K405" s="25" t="n">
        <v/>
      </c>
      <c r="L405" s="25" t="n">
        <v>0</v>
      </c>
      <c r="M405" s="25" t="n">
        <v/>
      </c>
      <c r="N405" s="22" t="n">
        <v/>
      </c>
      <c r="O405" s="25" t="n">
        <v>0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0" t="n">
        <v/>
      </c>
      <c r="J406" s="24" t="n">
        <v/>
      </c>
      <c r="K406" s="24" t="n">
        <v/>
      </c>
      <c r="L406" s="24" t="n">
        <v>0</v>
      </c>
      <c r="M406" s="24" t="n">
        <v/>
      </c>
      <c r="N406" s="20" t="n">
        <v/>
      </c>
      <c r="O406" s="24" t="n">
        <v>0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2" t="n">
        <v/>
      </c>
      <c r="J407" s="25" t="n">
        <v/>
      </c>
      <c r="K407" s="25" t="n">
        <v/>
      </c>
      <c r="L407" s="25" t="n">
        <v>0</v>
      </c>
      <c r="M407" s="25" t="n">
        <v/>
      </c>
      <c r="N407" s="22" t="n">
        <v/>
      </c>
      <c r="O407" s="25" t="n">
        <v>0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0" t="n">
        <v/>
      </c>
      <c r="J408" s="24" t="n">
        <v/>
      </c>
      <c r="K408" s="24" t="n">
        <v/>
      </c>
      <c r="L408" s="24" t="n">
        <v>0</v>
      </c>
      <c r="M408" s="24" t="n">
        <v/>
      </c>
      <c r="N408" s="20" t="n">
        <v/>
      </c>
      <c r="O408" s="24" t="n">
        <v>0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2" t="n">
        <v/>
      </c>
      <c r="J409" s="25" t="n">
        <v/>
      </c>
      <c r="K409" s="25" t="n">
        <v/>
      </c>
      <c r="L409" s="25" t="n">
        <v>0</v>
      </c>
      <c r="M409" s="25" t="n">
        <v/>
      </c>
      <c r="N409" s="22" t="n">
        <v/>
      </c>
      <c r="O409" s="25" t="n">
        <v>0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0" t="n">
        <v/>
      </c>
      <c r="J410" s="24" t="n">
        <v/>
      </c>
      <c r="K410" s="24" t="n">
        <v/>
      </c>
      <c r="L410" s="24" t="n">
        <v>0</v>
      </c>
      <c r="M410" s="24" t="n">
        <v/>
      </c>
      <c r="N410" s="20" t="n">
        <v/>
      </c>
      <c r="O410" s="24" t="n">
        <v>0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2" t="n">
        <v/>
      </c>
      <c r="J411" s="25" t="n">
        <v/>
      </c>
      <c r="K411" s="25" t="n">
        <v/>
      </c>
      <c r="L411" s="25" t="n">
        <v>0</v>
      </c>
      <c r="M411" s="25" t="n">
        <v/>
      </c>
      <c r="N411" s="22" t="n">
        <v/>
      </c>
      <c r="O411" s="25" t="n">
        <v>0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0" t="n">
        <v/>
      </c>
      <c r="J412" s="24" t="n">
        <v/>
      </c>
      <c r="K412" s="24" t="n">
        <v/>
      </c>
      <c r="L412" s="24" t="n">
        <v>0</v>
      </c>
      <c r="M412" s="24" t="n">
        <v/>
      </c>
      <c r="N412" s="20" t="n">
        <v/>
      </c>
      <c r="O412" s="24" t="n">
        <v>0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2" t="n">
        <v/>
      </c>
      <c r="J413" s="25" t="n">
        <v/>
      </c>
      <c r="K413" s="25" t="n">
        <v/>
      </c>
      <c r="L413" s="25" t="n">
        <v>0</v>
      </c>
      <c r="M413" s="25" t="n">
        <v/>
      </c>
      <c r="N413" s="22" t="n">
        <v/>
      </c>
      <c r="O413" s="25" t="n">
        <v>0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0" t="n">
        <v/>
      </c>
      <c r="J414" s="24" t="n">
        <v/>
      </c>
      <c r="K414" s="24" t="n">
        <v/>
      </c>
      <c r="L414" s="24" t="n">
        <v>0</v>
      </c>
      <c r="M414" s="24" t="n">
        <v/>
      </c>
      <c r="N414" s="20" t="n">
        <v/>
      </c>
      <c r="O414" s="24" t="n">
        <v>0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2" t="n">
        <v/>
      </c>
      <c r="J415" s="25" t="n">
        <v/>
      </c>
      <c r="K415" s="25" t="n">
        <v/>
      </c>
      <c r="L415" s="25" t="n">
        <v>0</v>
      </c>
      <c r="M415" s="25" t="n">
        <v/>
      </c>
      <c r="N415" s="22" t="n">
        <v/>
      </c>
      <c r="O415" s="25" t="n">
        <v>0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0" t="n">
        <v/>
      </c>
      <c r="J416" s="24" t="n">
        <v/>
      </c>
      <c r="K416" s="24" t="n">
        <v/>
      </c>
      <c r="L416" s="24" t="n">
        <v>0</v>
      </c>
      <c r="M416" s="24" t="n">
        <v/>
      </c>
      <c r="N416" s="20" t="n">
        <v/>
      </c>
      <c r="O416" s="24" t="n">
        <v>0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2" t="n">
        <v/>
      </c>
      <c r="J417" s="25" t="n">
        <v/>
      </c>
      <c r="K417" s="25" t="n">
        <v/>
      </c>
      <c r="L417" s="25" t="n">
        <v>0</v>
      </c>
      <c r="M417" s="25" t="n">
        <v/>
      </c>
      <c r="N417" s="22" t="n">
        <v/>
      </c>
      <c r="O417" s="25" t="n">
        <v>0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0" t="n">
        <v/>
      </c>
      <c r="J418" s="24" t="n">
        <v/>
      </c>
      <c r="K418" s="24" t="n">
        <v/>
      </c>
      <c r="L418" s="24" t="n">
        <v>0</v>
      </c>
      <c r="M418" s="24" t="n">
        <v/>
      </c>
      <c r="N418" s="20" t="n">
        <v/>
      </c>
      <c r="O418" s="24" t="n">
        <v>0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2" t="n">
        <v/>
      </c>
      <c r="J419" s="25" t="n">
        <v/>
      </c>
      <c r="K419" s="25" t="n">
        <v/>
      </c>
      <c r="L419" s="25" t="n">
        <v>0</v>
      </c>
      <c r="M419" s="25" t="n">
        <v/>
      </c>
      <c r="N419" s="22" t="n">
        <v/>
      </c>
      <c r="O419" s="25" t="n">
        <v>0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0" t="n">
        <v/>
      </c>
      <c r="J420" s="24" t="n">
        <v/>
      </c>
      <c r="K420" s="24" t="n">
        <v/>
      </c>
      <c r="L420" s="24" t="n">
        <v>0</v>
      </c>
      <c r="M420" s="24" t="n">
        <v/>
      </c>
      <c r="N420" s="20" t="n">
        <v/>
      </c>
      <c r="O420" s="24" t="n">
        <v>0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2" t="n">
        <v/>
      </c>
      <c r="J421" s="25" t="n">
        <v/>
      </c>
      <c r="K421" s="25" t="n">
        <v/>
      </c>
      <c r="L421" s="25" t="n">
        <v>0</v>
      </c>
      <c r="M421" s="25" t="n">
        <v/>
      </c>
      <c r="N421" s="22" t="n">
        <v/>
      </c>
      <c r="O421" s="25" t="n">
        <v>0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0" t="n">
        <v/>
      </c>
      <c r="J422" s="24" t="n">
        <v/>
      </c>
      <c r="K422" s="24" t="n">
        <v/>
      </c>
      <c r="L422" s="24" t="n">
        <v>0</v>
      </c>
      <c r="M422" s="24" t="n">
        <v/>
      </c>
      <c r="N422" s="20" t="n">
        <v/>
      </c>
      <c r="O422" s="24" t="n">
        <v>0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2" t="n">
        <v/>
      </c>
      <c r="J423" s="25" t="n">
        <v/>
      </c>
      <c r="K423" s="25" t="n">
        <v/>
      </c>
      <c r="L423" s="25" t="n">
        <v>0</v>
      </c>
      <c r="M423" s="25" t="n">
        <v/>
      </c>
      <c r="N423" s="22" t="n">
        <v/>
      </c>
      <c r="O423" s="25" t="n">
        <v>0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0" t="n">
        <v/>
      </c>
      <c r="J424" s="24" t="n">
        <v/>
      </c>
      <c r="K424" s="24" t="n">
        <v/>
      </c>
      <c r="L424" s="24" t="n">
        <v>0</v>
      </c>
      <c r="M424" s="24" t="n">
        <v/>
      </c>
      <c r="N424" s="20" t="n">
        <v/>
      </c>
      <c r="O424" s="24" t="n">
        <v>0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2" t="n">
        <v/>
      </c>
      <c r="J425" s="25" t="n">
        <v/>
      </c>
      <c r="K425" s="25" t="n">
        <v/>
      </c>
      <c r="L425" s="25" t="n">
        <v>0</v>
      </c>
      <c r="M425" s="25" t="n">
        <v/>
      </c>
      <c r="N425" s="22" t="n">
        <v/>
      </c>
      <c r="O425" s="25" t="n">
        <v>0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0" t="n">
        <v/>
      </c>
      <c r="J426" s="24" t="n">
        <v/>
      </c>
      <c r="K426" s="24" t="n">
        <v/>
      </c>
      <c r="L426" s="24" t="n">
        <v>0</v>
      </c>
      <c r="M426" s="24" t="n">
        <v/>
      </c>
      <c r="N426" s="20" t="n">
        <v/>
      </c>
      <c r="O426" s="24" t="n">
        <v>0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2" t="n">
        <v/>
      </c>
      <c r="J427" s="25" t="n">
        <v/>
      </c>
      <c r="K427" s="25" t="n">
        <v/>
      </c>
      <c r="L427" s="25" t="n">
        <v>0</v>
      </c>
      <c r="M427" s="25" t="n">
        <v/>
      </c>
      <c r="N427" s="22" t="n">
        <v/>
      </c>
      <c r="O427" s="25" t="n">
        <v>0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0" t="n">
        <v/>
      </c>
      <c r="J428" s="24" t="n">
        <v/>
      </c>
      <c r="K428" s="24" t="n">
        <v/>
      </c>
      <c r="L428" s="24" t="n">
        <v>0</v>
      </c>
      <c r="M428" s="24" t="n">
        <v/>
      </c>
      <c r="N428" s="20" t="n">
        <v/>
      </c>
      <c r="O428" s="24" t="n">
        <v>0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2" t="n">
        <v/>
      </c>
      <c r="J429" s="25" t="n">
        <v/>
      </c>
      <c r="K429" s="25" t="n">
        <v/>
      </c>
      <c r="L429" s="25" t="n">
        <v>0</v>
      </c>
      <c r="M429" s="25" t="n">
        <v/>
      </c>
      <c r="N429" s="22" t="n">
        <v/>
      </c>
      <c r="O429" s="25" t="n">
        <v>0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0" t="n">
        <v/>
      </c>
      <c r="J430" s="24" t="n">
        <v/>
      </c>
      <c r="K430" s="24" t="n">
        <v/>
      </c>
      <c r="L430" s="24" t="n">
        <v>0</v>
      </c>
      <c r="M430" s="24" t="n">
        <v/>
      </c>
      <c r="N430" s="20" t="n">
        <v/>
      </c>
      <c r="O430" s="24" t="n">
        <v>0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2" t="n">
        <v/>
      </c>
      <c r="J431" s="25" t="n">
        <v/>
      </c>
      <c r="K431" s="25" t="n">
        <v/>
      </c>
      <c r="L431" s="25" t="n">
        <v>0</v>
      </c>
      <c r="M431" s="25" t="n">
        <v/>
      </c>
      <c r="N431" s="22" t="n">
        <v/>
      </c>
      <c r="O431" s="25" t="n">
        <v>0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0" t="n">
        <v/>
      </c>
      <c r="J432" s="24" t="n">
        <v/>
      </c>
      <c r="K432" s="24" t="n">
        <v/>
      </c>
      <c r="L432" s="24" t="n">
        <v>0</v>
      </c>
      <c r="M432" s="24" t="n">
        <v/>
      </c>
      <c r="N432" s="20" t="n">
        <v/>
      </c>
      <c r="O432" s="24" t="n">
        <v>0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2" t="n">
        <v/>
      </c>
      <c r="J433" s="25" t="n">
        <v/>
      </c>
      <c r="K433" s="25" t="n">
        <v/>
      </c>
      <c r="L433" s="25" t="n">
        <v>0</v>
      </c>
      <c r="M433" s="25" t="n">
        <v/>
      </c>
      <c r="N433" s="22" t="n">
        <v/>
      </c>
      <c r="O433" s="25" t="n">
        <v>0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0" t="n">
        <v/>
      </c>
      <c r="J434" s="24" t="n">
        <v/>
      </c>
      <c r="K434" s="24" t="n">
        <v/>
      </c>
      <c r="L434" s="24" t="n">
        <v>0</v>
      </c>
      <c r="M434" s="24" t="n">
        <v/>
      </c>
      <c r="N434" s="20" t="n">
        <v/>
      </c>
      <c r="O434" s="24" t="n">
        <v>0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2" t="n">
        <v/>
      </c>
      <c r="J435" s="25" t="n">
        <v/>
      </c>
      <c r="K435" s="25" t="n">
        <v/>
      </c>
      <c r="L435" s="25" t="n">
        <v>0</v>
      </c>
      <c r="M435" s="25" t="n">
        <v/>
      </c>
      <c r="N435" s="22" t="n">
        <v/>
      </c>
      <c r="O435" s="25" t="n">
        <v>0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0" t="n">
        <v/>
      </c>
      <c r="J436" s="24" t="n">
        <v/>
      </c>
      <c r="K436" s="24" t="n">
        <v/>
      </c>
      <c r="L436" s="24" t="n">
        <v>0</v>
      </c>
      <c r="M436" s="24" t="n">
        <v/>
      </c>
      <c r="N436" s="20" t="n">
        <v/>
      </c>
      <c r="O436" s="24" t="n">
        <v>0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2" t="n">
        <v/>
      </c>
      <c r="J437" s="25" t="n">
        <v/>
      </c>
      <c r="K437" s="25" t="n">
        <v/>
      </c>
      <c r="L437" s="25" t="n">
        <v>0</v>
      </c>
      <c r="M437" s="25" t="n">
        <v/>
      </c>
      <c r="N437" s="22" t="n">
        <v/>
      </c>
      <c r="O437" s="25" t="n">
        <v>0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0" t="n">
        <v/>
      </c>
      <c r="J438" s="24" t="n">
        <v/>
      </c>
      <c r="K438" s="24" t="n">
        <v/>
      </c>
      <c r="L438" s="24" t="n">
        <v>0</v>
      </c>
      <c r="M438" s="24" t="n">
        <v/>
      </c>
      <c r="N438" s="20" t="n">
        <v/>
      </c>
      <c r="O438" s="24" t="n">
        <v>0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2" t="n">
        <v/>
      </c>
      <c r="J439" s="25" t="n">
        <v/>
      </c>
      <c r="K439" s="25" t="n">
        <v/>
      </c>
      <c r="L439" s="25" t="n">
        <v>0</v>
      </c>
      <c r="M439" s="25" t="n">
        <v/>
      </c>
      <c r="N439" s="22" t="n">
        <v/>
      </c>
      <c r="O439" s="25" t="n">
        <v>0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0" t="n">
        <v/>
      </c>
      <c r="J440" s="24" t="n">
        <v/>
      </c>
      <c r="K440" s="24" t="n">
        <v/>
      </c>
      <c r="L440" s="24" t="n">
        <v>0</v>
      </c>
      <c r="M440" s="24" t="n">
        <v/>
      </c>
      <c r="N440" s="20" t="n">
        <v/>
      </c>
      <c r="O440" s="24" t="n">
        <v>0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2" t="n">
        <v/>
      </c>
      <c r="J441" s="25" t="n">
        <v/>
      </c>
      <c r="K441" s="25" t="n">
        <v/>
      </c>
      <c r="L441" s="25" t="n">
        <v>0</v>
      </c>
      <c r="M441" s="25" t="n">
        <v/>
      </c>
      <c r="N441" s="22" t="n">
        <v/>
      </c>
      <c r="O441" s="25" t="n">
        <v>0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0" t="n">
        <v/>
      </c>
      <c r="J442" s="24" t="n">
        <v/>
      </c>
      <c r="K442" s="24" t="n">
        <v/>
      </c>
      <c r="L442" s="24" t="n">
        <v>0</v>
      </c>
      <c r="M442" s="24" t="n">
        <v/>
      </c>
      <c r="N442" s="20" t="n">
        <v/>
      </c>
      <c r="O442" s="24" t="n">
        <v>0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2" t="n">
        <v/>
      </c>
      <c r="J443" s="25" t="n">
        <v/>
      </c>
      <c r="K443" s="25" t="n">
        <v/>
      </c>
      <c r="L443" s="25" t="n">
        <v>0</v>
      </c>
      <c r="M443" s="25" t="n">
        <v/>
      </c>
      <c r="N443" s="22" t="n">
        <v/>
      </c>
      <c r="O443" s="25" t="n">
        <v>0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0" t="n">
        <v/>
      </c>
      <c r="J444" s="24" t="n">
        <v/>
      </c>
      <c r="K444" s="24" t="n">
        <v/>
      </c>
      <c r="L444" s="24" t="n">
        <v>0</v>
      </c>
      <c r="M444" s="24" t="n">
        <v/>
      </c>
      <c r="N444" s="20" t="n">
        <v/>
      </c>
      <c r="O444" s="24" t="n">
        <v>0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2" t="n">
        <v/>
      </c>
      <c r="J445" s="25" t="n">
        <v/>
      </c>
      <c r="K445" s="25" t="n">
        <v/>
      </c>
      <c r="L445" s="25" t="n">
        <v>0</v>
      </c>
      <c r="M445" s="25" t="n">
        <v/>
      </c>
      <c r="N445" s="22" t="n">
        <v/>
      </c>
      <c r="O445" s="25" t="n">
        <v>0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0" t="n">
        <v/>
      </c>
      <c r="J446" s="24" t="n">
        <v/>
      </c>
      <c r="K446" s="24" t="n">
        <v/>
      </c>
      <c r="L446" s="24" t="n">
        <v>0</v>
      </c>
      <c r="M446" s="24" t="n">
        <v/>
      </c>
      <c r="N446" s="20" t="n">
        <v/>
      </c>
      <c r="O446" s="24" t="n">
        <v>0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2" t="n">
        <v/>
      </c>
      <c r="J447" s="25" t="n">
        <v/>
      </c>
      <c r="K447" s="25" t="n">
        <v/>
      </c>
      <c r="L447" s="25" t="n">
        <v>0</v>
      </c>
      <c r="M447" s="25" t="n">
        <v/>
      </c>
      <c r="N447" s="22" t="n">
        <v/>
      </c>
      <c r="O447" s="25" t="n">
        <v>0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0" t="n">
        <v/>
      </c>
      <c r="J448" s="24" t="n">
        <v/>
      </c>
      <c r="K448" s="24" t="n">
        <v/>
      </c>
      <c r="L448" s="24" t="n">
        <v>0</v>
      </c>
      <c r="M448" s="24" t="n">
        <v/>
      </c>
      <c r="N448" s="20" t="n">
        <v/>
      </c>
      <c r="O448" s="24" t="n">
        <v>0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2" t="n">
        <v/>
      </c>
      <c r="J449" s="25" t="n">
        <v/>
      </c>
      <c r="K449" s="25" t="n">
        <v/>
      </c>
      <c r="L449" s="25" t="n">
        <v>0</v>
      </c>
      <c r="M449" s="25" t="n">
        <v/>
      </c>
      <c r="N449" s="22" t="n">
        <v/>
      </c>
      <c r="O449" s="25" t="n">
        <v>0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0" t="n">
        <v/>
      </c>
      <c r="J450" s="24" t="n">
        <v/>
      </c>
      <c r="K450" s="24" t="n">
        <v/>
      </c>
      <c r="L450" s="24" t="n">
        <v>0</v>
      </c>
      <c r="M450" s="24" t="n">
        <v/>
      </c>
      <c r="N450" s="20" t="n">
        <v/>
      </c>
      <c r="O450" s="24" t="n">
        <v>0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2" t="n">
        <v/>
      </c>
      <c r="J451" s="25" t="n">
        <v/>
      </c>
      <c r="K451" s="25" t="n">
        <v/>
      </c>
      <c r="L451" s="25" t="n">
        <v>0</v>
      </c>
      <c r="M451" s="25" t="n">
        <v/>
      </c>
      <c r="N451" s="22" t="n">
        <v/>
      </c>
      <c r="O451" s="25" t="n">
        <v>0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0" t="n">
        <v/>
      </c>
      <c r="J452" s="24" t="n">
        <v/>
      </c>
      <c r="K452" s="24" t="n">
        <v/>
      </c>
      <c r="L452" s="24" t="n">
        <v>0</v>
      </c>
      <c r="M452" s="24" t="n">
        <v/>
      </c>
      <c r="N452" s="20" t="n">
        <v/>
      </c>
      <c r="O452" s="24" t="n">
        <v>0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2" t="n">
        <v/>
      </c>
      <c r="J453" s="25" t="n">
        <v/>
      </c>
      <c r="K453" s="25" t="n">
        <v/>
      </c>
      <c r="L453" s="25" t="n">
        <v>0</v>
      </c>
      <c r="M453" s="25" t="n">
        <v/>
      </c>
      <c r="N453" s="22" t="n">
        <v/>
      </c>
      <c r="O453" s="25" t="n">
        <v>0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0" t="n">
        <v/>
      </c>
      <c r="J454" s="24" t="n">
        <v/>
      </c>
      <c r="K454" s="24" t="n">
        <v/>
      </c>
      <c r="L454" s="24" t="n">
        <v>0</v>
      </c>
      <c r="M454" s="24" t="n">
        <v/>
      </c>
      <c r="N454" s="20" t="n">
        <v/>
      </c>
      <c r="O454" s="24" t="n">
        <v>0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2" t="n">
        <v/>
      </c>
      <c r="J455" s="25" t="n">
        <v/>
      </c>
      <c r="K455" s="25" t="n">
        <v/>
      </c>
      <c r="L455" s="25" t="n">
        <v>0</v>
      </c>
      <c r="M455" s="25" t="n">
        <v/>
      </c>
      <c r="N455" s="22" t="n">
        <v/>
      </c>
      <c r="O455" s="25" t="n">
        <v>0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0" t="n">
        <v/>
      </c>
      <c r="J456" s="24" t="n">
        <v/>
      </c>
      <c r="K456" s="24" t="n">
        <v/>
      </c>
      <c r="L456" s="24" t="n">
        <v>0</v>
      </c>
      <c r="M456" s="24" t="n">
        <v/>
      </c>
      <c r="N456" s="20" t="n">
        <v/>
      </c>
      <c r="O456" s="24" t="n">
        <v>0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2" t="n">
        <v/>
      </c>
      <c r="J457" s="25" t="n">
        <v/>
      </c>
      <c r="K457" s="25" t="n">
        <v/>
      </c>
      <c r="L457" s="25" t="n">
        <v>0</v>
      </c>
      <c r="M457" s="25" t="n">
        <v/>
      </c>
      <c r="N457" s="22" t="n">
        <v/>
      </c>
      <c r="O457" s="25" t="n">
        <v>0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0" t="n">
        <v/>
      </c>
      <c r="J458" s="24" t="n">
        <v/>
      </c>
      <c r="K458" s="24" t="n">
        <v/>
      </c>
      <c r="L458" s="24" t="n">
        <v>0</v>
      </c>
      <c r="M458" s="24" t="n">
        <v/>
      </c>
      <c r="N458" s="20" t="n">
        <v/>
      </c>
      <c r="O458" s="24" t="n">
        <v>0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2" t="n">
        <v/>
      </c>
      <c r="J459" s="25" t="n">
        <v/>
      </c>
      <c r="K459" s="25" t="n">
        <v/>
      </c>
      <c r="L459" s="25" t="n">
        <v>0</v>
      </c>
      <c r="M459" s="25" t="n">
        <v/>
      </c>
      <c r="N459" s="22" t="n">
        <v/>
      </c>
      <c r="O459" s="25" t="n">
        <v>0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0" t="n">
        <v/>
      </c>
      <c r="J460" s="24" t="n">
        <v/>
      </c>
      <c r="K460" s="24" t="n">
        <v/>
      </c>
      <c r="L460" s="24" t="n">
        <v>0</v>
      </c>
      <c r="M460" s="24" t="n">
        <v/>
      </c>
      <c r="N460" s="20" t="n">
        <v/>
      </c>
      <c r="O460" s="24" t="n">
        <v>0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2" t="n">
        <v/>
      </c>
      <c r="J461" s="25" t="n">
        <v/>
      </c>
      <c r="K461" s="25" t="n">
        <v/>
      </c>
      <c r="L461" s="25" t="n">
        <v>0</v>
      </c>
      <c r="M461" s="25" t="n">
        <v/>
      </c>
      <c r="N461" s="22" t="n">
        <v/>
      </c>
      <c r="O461" s="25" t="n">
        <v>0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0" t="n">
        <v/>
      </c>
      <c r="J462" s="24" t="n">
        <v/>
      </c>
      <c r="K462" s="24" t="n">
        <v/>
      </c>
      <c r="L462" s="24" t="n">
        <v>0</v>
      </c>
      <c r="M462" s="24" t="n">
        <v/>
      </c>
      <c r="N462" s="20" t="n">
        <v/>
      </c>
      <c r="O462" s="24" t="n">
        <v>0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2" t="n">
        <v/>
      </c>
      <c r="J463" s="25" t="n">
        <v/>
      </c>
      <c r="K463" s="25" t="n">
        <v/>
      </c>
      <c r="L463" s="25" t="n">
        <v>0</v>
      </c>
      <c r="M463" s="25" t="n">
        <v/>
      </c>
      <c r="N463" s="22" t="n">
        <v/>
      </c>
      <c r="O463" s="25" t="n">
        <v>0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0" t="n">
        <v/>
      </c>
      <c r="J464" s="24" t="n">
        <v/>
      </c>
      <c r="K464" s="24" t="n">
        <v/>
      </c>
      <c r="L464" s="24" t="n">
        <v>0</v>
      </c>
      <c r="M464" s="24" t="n">
        <v/>
      </c>
      <c r="N464" s="20" t="n">
        <v/>
      </c>
      <c r="O464" s="24" t="n">
        <v>0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2" t="n">
        <v/>
      </c>
      <c r="J465" s="25" t="n">
        <v/>
      </c>
      <c r="K465" s="25" t="n">
        <v/>
      </c>
      <c r="L465" s="25" t="n">
        <v>0</v>
      </c>
      <c r="M465" s="25" t="n">
        <v/>
      </c>
      <c r="N465" s="22" t="n">
        <v/>
      </c>
      <c r="O465" s="25" t="n">
        <v>0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0" t="n">
        <v/>
      </c>
      <c r="J466" s="24" t="n">
        <v/>
      </c>
      <c r="K466" s="24" t="n">
        <v/>
      </c>
      <c r="L466" s="24" t="n">
        <v>0</v>
      </c>
      <c r="M466" s="24" t="n">
        <v/>
      </c>
      <c r="N466" s="20" t="n">
        <v/>
      </c>
      <c r="O466" s="24" t="n">
        <v>0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2" t="n">
        <v/>
      </c>
      <c r="J467" s="25" t="n">
        <v/>
      </c>
      <c r="K467" s="25" t="n">
        <v/>
      </c>
      <c r="L467" s="25" t="n">
        <v>0</v>
      </c>
      <c r="M467" s="25" t="n">
        <v/>
      </c>
      <c r="N467" s="22" t="n">
        <v/>
      </c>
      <c r="O467" s="25" t="n">
        <v>0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0" t="n">
        <v/>
      </c>
      <c r="J468" s="24" t="n">
        <v/>
      </c>
      <c r="K468" s="24" t="n">
        <v/>
      </c>
      <c r="L468" s="24" t="n">
        <v>0</v>
      </c>
      <c r="M468" s="24" t="n">
        <v/>
      </c>
      <c r="N468" s="20" t="n">
        <v/>
      </c>
      <c r="O468" s="24" t="n">
        <v>0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2" t="n">
        <v/>
      </c>
      <c r="J469" s="25" t="n">
        <v/>
      </c>
      <c r="K469" s="25" t="n">
        <v/>
      </c>
      <c r="L469" s="25" t="n">
        <v>0</v>
      </c>
      <c r="M469" s="25" t="n">
        <v/>
      </c>
      <c r="N469" s="22" t="n">
        <v/>
      </c>
      <c r="O469" s="25" t="n">
        <v>0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0" t="n">
        <v/>
      </c>
      <c r="J470" s="24" t="n">
        <v/>
      </c>
      <c r="K470" s="24" t="n">
        <v/>
      </c>
      <c r="L470" s="24" t="n">
        <v>0</v>
      </c>
      <c r="M470" s="24" t="n">
        <v/>
      </c>
      <c r="N470" s="20" t="n">
        <v/>
      </c>
      <c r="O470" s="24" t="n">
        <v>0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2" t="n">
        <v/>
      </c>
      <c r="J471" s="25" t="n">
        <v/>
      </c>
      <c r="K471" s="25" t="n">
        <v/>
      </c>
      <c r="L471" s="25" t="n">
        <v>0</v>
      </c>
      <c r="M471" s="25" t="n">
        <v/>
      </c>
      <c r="N471" s="22" t="n">
        <v/>
      </c>
      <c r="O471" s="25" t="n">
        <v>0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0" t="n">
        <v/>
      </c>
      <c r="J472" s="24" t="n">
        <v/>
      </c>
      <c r="K472" s="24" t="n">
        <v/>
      </c>
      <c r="L472" s="24" t="n">
        <v>0</v>
      </c>
      <c r="M472" s="24" t="n">
        <v/>
      </c>
      <c r="N472" s="20" t="n">
        <v/>
      </c>
      <c r="O472" s="24" t="n">
        <v>0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2" t="n">
        <v/>
      </c>
      <c r="J473" s="25" t="n">
        <v/>
      </c>
      <c r="K473" s="25" t="n">
        <v/>
      </c>
      <c r="L473" s="25" t="n">
        <v>0</v>
      </c>
      <c r="M473" s="25" t="n">
        <v/>
      </c>
      <c r="N473" s="22" t="n">
        <v/>
      </c>
      <c r="O473" s="25" t="n">
        <v>0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0" t="n">
        <v/>
      </c>
      <c r="J474" s="24" t="n">
        <v/>
      </c>
      <c r="K474" s="24" t="n">
        <v/>
      </c>
      <c r="L474" s="24" t="n">
        <v>0</v>
      </c>
      <c r="M474" s="24" t="n">
        <v/>
      </c>
      <c r="N474" s="20" t="n">
        <v/>
      </c>
      <c r="O474" s="24" t="n">
        <v>0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2" t="n">
        <v/>
      </c>
      <c r="J475" s="25" t="n">
        <v/>
      </c>
      <c r="K475" s="25" t="n">
        <v/>
      </c>
      <c r="L475" s="25" t="n">
        <v>0</v>
      </c>
      <c r="M475" s="25" t="n">
        <v/>
      </c>
      <c r="N475" s="22" t="n">
        <v/>
      </c>
      <c r="O475" s="25" t="n">
        <v>0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0" t="n">
        <v/>
      </c>
      <c r="J476" s="24" t="n">
        <v/>
      </c>
      <c r="K476" s="24" t="n">
        <v/>
      </c>
      <c r="L476" s="24" t="n">
        <v>0</v>
      </c>
      <c r="M476" s="24" t="n">
        <v/>
      </c>
      <c r="N476" s="20" t="n">
        <v/>
      </c>
      <c r="O476" s="24" t="n">
        <v>0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2" t="n">
        <v/>
      </c>
      <c r="J477" s="25" t="n">
        <v/>
      </c>
      <c r="K477" s="25" t="n">
        <v/>
      </c>
      <c r="L477" s="25" t="n">
        <v>0</v>
      </c>
      <c r="M477" s="25" t="n">
        <v/>
      </c>
      <c r="N477" s="22" t="n">
        <v/>
      </c>
      <c r="O477" s="25" t="n">
        <v>0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0" t="n">
        <v/>
      </c>
      <c r="J478" s="24" t="n">
        <v/>
      </c>
      <c r="K478" s="24" t="n">
        <v/>
      </c>
      <c r="L478" s="24" t="n">
        <v>0</v>
      </c>
      <c r="M478" s="24" t="n">
        <v/>
      </c>
      <c r="N478" s="20" t="n">
        <v/>
      </c>
      <c r="O478" s="24" t="n">
        <v>0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2" t="n">
        <v/>
      </c>
      <c r="J479" s="25" t="n">
        <v/>
      </c>
      <c r="K479" s="25" t="n">
        <v/>
      </c>
      <c r="L479" s="25" t="n">
        <v>0</v>
      </c>
      <c r="M479" s="25" t="n">
        <v/>
      </c>
      <c r="N479" s="22" t="n">
        <v/>
      </c>
      <c r="O479" s="25" t="n">
        <v>0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0" t="n">
        <v/>
      </c>
      <c r="J480" s="24" t="n">
        <v/>
      </c>
      <c r="K480" s="24" t="n">
        <v/>
      </c>
      <c r="L480" s="24" t="n">
        <v>0</v>
      </c>
      <c r="M480" s="24" t="n">
        <v/>
      </c>
      <c r="N480" s="20" t="n">
        <v/>
      </c>
      <c r="O480" s="24" t="n">
        <v>0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2" t="n">
        <v/>
      </c>
      <c r="J481" s="25" t="n">
        <v/>
      </c>
      <c r="K481" s="25" t="n">
        <v/>
      </c>
      <c r="L481" s="25" t="n">
        <v>0</v>
      </c>
      <c r="M481" s="25" t="n">
        <v/>
      </c>
      <c r="N481" s="22" t="n">
        <v/>
      </c>
      <c r="O481" s="25" t="n">
        <v>0</v>
      </c>
    </row>
  </sheetData>
  <autoFilter ref="A1:O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M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8" customWidth="1" min="9" max="9"/>
    <col width="15" customWidth="1" min="10" max="10"/>
    <col width="13" customWidth="1" min="11" max="11"/>
    <col width="9" customWidth="1" min="12" max="12"/>
    <col width="12" customWidth="1" min="13" max="13"/>
  </cols>
  <sheetData>
    <row r="1" ht="30" customHeight="1">
      <c r="A1" s="27" t="inlineStr">
        <is>
          <t>projection_period</t>
        </is>
      </c>
      <c r="B1" s="27" t="inlineStr">
        <is>
          <t>policy_year</t>
        </is>
      </c>
      <c r="C1" s="27" t="inlineStr">
        <is>
          <t>policy_month</t>
        </is>
      </c>
      <c r="D1" s="27" t="inlineStr">
        <is>
          <t>month_in_policy_year</t>
        </is>
      </c>
      <c r="E1" s="27" t="inlineStr">
        <is>
          <t>bop_date</t>
        </is>
      </c>
      <c r="F1" s="27" t="inlineStr">
        <is>
          <t>eop_date</t>
        </is>
      </c>
      <c r="G1" s="27" t="inlineStr">
        <is>
          <t>cal_month_end</t>
        </is>
      </c>
      <c r="H1" s="27" t="inlineStr">
        <is>
          <t>attained_age</t>
        </is>
      </c>
      <c r="I1" s="27" t="inlineStr">
        <is>
          <t>anr</t>
        </is>
      </c>
      <c r="J1" s="27" t="inlineStr">
        <is>
          <t>carvm_reserve</t>
        </is>
      </c>
      <c r="K1" s="27" t="inlineStr">
        <is>
          <t>dac_balance</t>
        </is>
      </c>
      <c r="L1" s="27" t="inlineStr">
        <is>
          <t>reserve</t>
        </is>
      </c>
      <c r="M1" s="27" t="inlineStr">
        <is>
          <t>reserve_t0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>
        <f>I2</f>
        <v/>
      </c>
      <c r="J2" s="24" t="n">
        <v>0</v>
      </c>
      <c r="K2" s="24" t="n">
        <v>0</v>
      </c>
      <c r="L2" s="24" t="n">
        <v>0</v>
      </c>
      <c r="M2" s="24">
        <f>MAX(0, I2)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>
        <f>I3</f>
        <v/>
      </c>
      <c r="J3" s="25" t="n">
        <v>0</v>
      </c>
      <c r="K3" s="25" t="n">
        <v>0</v>
      </c>
      <c r="L3" s="25" t="n">
        <v>0</v>
      </c>
      <c r="M3" s="25">
        <f>MAX(0, I3)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>
        <f>I4</f>
        <v/>
      </c>
      <c r="J4" s="24" t="n">
        <v>0</v>
      </c>
      <c r="K4" s="24" t="n">
        <v>0</v>
      </c>
      <c r="L4" s="24" t="n">
        <v>0</v>
      </c>
      <c r="M4" s="24">
        <f>MAX(0, I4)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>
        <f>I5</f>
        <v/>
      </c>
      <c r="J5" s="25" t="n">
        <v>0</v>
      </c>
      <c r="K5" s="25" t="n">
        <v>0</v>
      </c>
      <c r="L5" s="25" t="n">
        <v>0</v>
      </c>
      <c r="M5" s="25">
        <f>MAX(0, I5)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>
        <f>I6</f>
        <v/>
      </c>
      <c r="J6" s="24" t="n">
        <v>0</v>
      </c>
      <c r="K6" s="24" t="n">
        <v>0</v>
      </c>
      <c r="L6" s="24" t="n">
        <v>0</v>
      </c>
      <c r="M6" s="24">
        <f>MAX(0, I6)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>
        <f>I7</f>
        <v/>
      </c>
      <c r="J7" s="25" t="n">
        <v>0</v>
      </c>
      <c r="K7" s="25" t="n">
        <v>0</v>
      </c>
      <c r="L7" s="25" t="n">
        <v>0</v>
      </c>
      <c r="M7" s="25">
        <f>MAX(0, I7)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>
        <f>I8</f>
        <v/>
      </c>
      <c r="J8" s="24" t="n">
        <v>0</v>
      </c>
      <c r="K8" s="24" t="n">
        <v>0</v>
      </c>
      <c r="L8" s="24" t="n">
        <v>0</v>
      </c>
      <c r="M8" s="24">
        <f>MAX(0, I8)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>
        <f>I9</f>
        <v/>
      </c>
      <c r="J9" s="25" t="n">
        <v>0</v>
      </c>
      <c r="K9" s="25" t="n">
        <v>0</v>
      </c>
      <c r="L9" s="25" t="n">
        <v>0</v>
      </c>
      <c r="M9" s="25">
        <f>MAX(0, I9)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>
        <f>I10</f>
        <v/>
      </c>
      <c r="J10" s="24" t="n">
        <v>0</v>
      </c>
      <c r="K10" s="24" t="n">
        <v>0</v>
      </c>
      <c r="L10" s="24" t="n">
        <v>0</v>
      </c>
      <c r="M10" s="24">
        <f>MAX(0, I10)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>
        <f>I11</f>
        <v/>
      </c>
      <c r="J11" s="25" t="n">
        <v>0</v>
      </c>
      <c r="K11" s="25" t="n">
        <v>0</v>
      </c>
      <c r="L11" s="25" t="n">
        <v>0</v>
      </c>
      <c r="M11" s="25">
        <f>MAX(0, I11)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>
        <f>I12</f>
        <v/>
      </c>
      <c r="J12" s="24" t="n">
        <v>0</v>
      </c>
      <c r="K12" s="24" t="n">
        <v>0</v>
      </c>
      <c r="L12" s="24" t="n">
        <v>0</v>
      </c>
      <c r="M12" s="24">
        <f>MAX(0, I12)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>
        <f>I13</f>
        <v/>
      </c>
      <c r="J13" s="25" t="n">
        <v>0</v>
      </c>
      <c r="K13" s="25" t="n">
        <v>0</v>
      </c>
      <c r="L13" s="25" t="n">
        <v>0</v>
      </c>
      <c r="M13" s="25">
        <f>MAX(0, I13)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>
        <f>I14</f>
        <v/>
      </c>
      <c r="J14" s="24" t="n">
        <v>0</v>
      </c>
      <c r="K14" s="24" t="n">
        <v>0</v>
      </c>
      <c r="L14" s="24" t="n">
        <v>0</v>
      </c>
      <c r="M14" s="24">
        <f>MAX(0, I14)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>
        <f>I15</f>
        <v/>
      </c>
      <c r="J15" s="25" t="n">
        <v>0</v>
      </c>
      <c r="K15" s="25" t="n">
        <v>0</v>
      </c>
      <c r="L15" s="25" t="n">
        <v>0</v>
      </c>
      <c r="M15" s="25">
        <f>MAX(0, I15)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>
        <f>I16</f>
        <v/>
      </c>
      <c r="J16" s="24" t="n">
        <v>0</v>
      </c>
      <c r="K16" s="24" t="n">
        <v>0</v>
      </c>
      <c r="L16" s="24" t="n">
        <v>0</v>
      </c>
      <c r="M16" s="24">
        <f>MAX(0, I16)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>
        <f>I17</f>
        <v/>
      </c>
      <c r="J17" s="25" t="n">
        <v>0</v>
      </c>
      <c r="K17" s="25" t="n">
        <v>0</v>
      </c>
      <c r="L17" s="25" t="n">
        <v>0</v>
      </c>
      <c r="M17" s="25">
        <f>MAX(0, I17)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>
        <f>I18</f>
        <v/>
      </c>
      <c r="J18" s="24" t="n">
        <v>0</v>
      </c>
      <c r="K18" s="24" t="n">
        <v>0</v>
      </c>
      <c r="L18" s="24" t="n">
        <v>0</v>
      </c>
      <c r="M18" s="24">
        <f>MAX(0, I18)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>
        <f>I19</f>
        <v/>
      </c>
      <c r="J19" s="25" t="n">
        <v>0</v>
      </c>
      <c r="K19" s="25" t="n">
        <v>0</v>
      </c>
      <c r="L19" s="25" t="n">
        <v>0</v>
      </c>
      <c r="M19" s="25">
        <f>MAX(0, I19)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>
        <f>I20</f>
        <v/>
      </c>
      <c r="J20" s="24" t="n">
        <v>0</v>
      </c>
      <c r="K20" s="24" t="n">
        <v>0</v>
      </c>
      <c r="L20" s="24" t="n">
        <v>0</v>
      </c>
      <c r="M20" s="24">
        <f>MAX(0, I20)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>
        <f>I21</f>
        <v/>
      </c>
      <c r="J21" s="25" t="n">
        <v>0</v>
      </c>
      <c r="K21" s="25" t="n">
        <v>0</v>
      </c>
      <c r="L21" s="25" t="n">
        <v>0</v>
      </c>
      <c r="M21" s="25">
        <f>MAX(0, I21)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>
        <f>I22</f>
        <v/>
      </c>
      <c r="J22" s="24" t="n">
        <v>0</v>
      </c>
      <c r="K22" s="24" t="n">
        <v>0</v>
      </c>
      <c r="L22" s="24" t="n">
        <v>0</v>
      </c>
      <c r="M22" s="24">
        <f>MAX(0, I22)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>
        <f>I23</f>
        <v/>
      </c>
      <c r="J23" s="25" t="n">
        <v>0</v>
      </c>
      <c r="K23" s="25" t="n">
        <v>0</v>
      </c>
      <c r="L23" s="25" t="n">
        <v>0</v>
      </c>
      <c r="M23" s="25">
        <f>MAX(0, I23)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>
        <f>I24</f>
        <v/>
      </c>
      <c r="J24" s="24" t="n">
        <v>0</v>
      </c>
      <c r="K24" s="24" t="n">
        <v>0</v>
      </c>
      <c r="L24" s="24" t="n">
        <v>0</v>
      </c>
      <c r="M24" s="24">
        <f>MAX(0, I24)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>
        <f>I25</f>
        <v/>
      </c>
      <c r="J25" s="25" t="n">
        <v>0</v>
      </c>
      <c r="K25" s="25" t="n">
        <v>0</v>
      </c>
      <c r="L25" s="25" t="n">
        <v>0</v>
      </c>
      <c r="M25" s="25">
        <f>MAX(0, I25)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>
        <f>I26</f>
        <v/>
      </c>
      <c r="J26" s="24" t="n">
        <v>0</v>
      </c>
      <c r="K26" s="24" t="n">
        <v>0</v>
      </c>
      <c r="L26" s="24" t="n">
        <v>0</v>
      </c>
      <c r="M26" s="24">
        <f>MAX(0, I26)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>
        <f>I27</f>
        <v/>
      </c>
      <c r="J27" s="25" t="n">
        <v>0</v>
      </c>
      <c r="K27" s="25" t="n">
        <v>0</v>
      </c>
      <c r="L27" s="25" t="n">
        <v>0</v>
      </c>
      <c r="M27" s="25">
        <f>MAX(0, I27)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>
        <f>I28</f>
        <v/>
      </c>
      <c r="J28" s="24" t="n">
        <v>0</v>
      </c>
      <c r="K28" s="24" t="n">
        <v>0</v>
      </c>
      <c r="L28" s="24" t="n">
        <v>0</v>
      </c>
      <c r="M28" s="24">
        <f>MAX(0, I28)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>
        <f>I29</f>
        <v/>
      </c>
      <c r="J29" s="25" t="n">
        <v>0</v>
      </c>
      <c r="K29" s="25" t="n">
        <v>0</v>
      </c>
      <c r="L29" s="25" t="n">
        <v>0</v>
      </c>
      <c r="M29" s="25">
        <f>MAX(0, I29)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>
        <f>I30</f>
        <v/>
      </c>
      <c r="J30" s="24" t="n">
        <v>0</v>
      </c>
      <c r="K30" s="24" t="n">
        <v>0</v>
      </c>
      <c r="L30" s="24" t="n">
        <v>0</v>
      </c>
      <c r="M30" s="24">
        <f>MAX(0, I30)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>
        <f>I31</f>
        <v/>
      </c>
      <c r="J31" s="25" t="n">
        <v>0</v>
      </c>
      <c r="K31" s="25" t="n">
        <v>0</v>
      </c>
      <c r="L31" s="25" t="n">
        <v>0</v>
      </c>
      <c r="M31" s="25">
        <f>MAX(0, I31)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>
        <f>I32</f>
        <v/>
      </c>
      <c r="J32" s="24" t="n">
        <v>0</v>
      </c>
      <c r="K32" s="24" t="n">
        <v>0</v>
      </c>
      <c r="L32" s="24" t="n">
        <v>0</v>
      </c>
      <c r="M32" s="24">
        <f>MAX(0, I32)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>
        <f>I33</f>
        <v/>
      </c>
      <c r="J33" s="25" t="n">
        <v>0</v>
      </c>
      <c r="K33" s="25" t="n">
        <v>0</v>
      </c>
      <c r="L33" s="25" t="n">
        <v>0</v>
      </c>
      <c r="M33" s="25">
        <f>MAX(0, I33)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>
        <f>I34</f>
        <v/>
      </c>
      <c r="J34" s="24" t="n">
        <v>0</v>
      </c>
      <c r="K34" s="24" t="n">
        <v>0</v>
      </c>
      <c r="L34" s="24" t="n">
        <v>0</v>
      </c>
      <c r="M34" s="24">
        <f>MAX(0, I34)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>
        <f>I35</f>
        <v/>
      </c>
      <c r="J35" s="25" t="n">
        <v>0</v>
      </c>
      <c r="K35" s="25" t="n">
        <v>0</v>
      </c>
      <c r="L35" s="25" t="n">
        <v>0</v>
      </c>
      <c r="M35" s="25">
        <f>MAX(0, I35)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>
        <f>I36</f>
        <v/>
      </c>
      <c r="J36" s="24" t="n">
        <v>0</v>
      </c>
      <c r="K36" s="24" t="n">
        <v>0</v>
      </c>
      <c r="L36" s="24" t="n">
        <v>0</v>
      </c>
      <c r="M36" s="24">
        <f>MAX(0, I36)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>
        <f>I37</f>
        <v/>
      </c>
      <c r="J37" s="25" t="n">
        <v>0</v>
      </c>
      <c r="K37" s="25" t="n">
        <v>0</v>
      </c>
      <c r="L37" s="25" t="n">
        <v>0</v>
      </c>
      <c r="M37" s="25">
        <f>MAX(0, I37)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>
        <f>I38</f>
        <v/>
      </c>
      <c r="J38" s="24" t="n">
        <v>0</v>
      </c>
      <c r="K38" s="24" t="n">
        <v>0</v>
      </c>
      <c r="L38" s="24" t="n">
        <v>0</v>
      </c>
      <c r="M38" s="24">
        <f>MAX(0, I38)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>
        <f>I39</f>
        <v/>
      </c>
      <c r="J39" s="25" t="n">
        <v>0</v>
      </c>
      <c r="K39" s="25" t="n">
        <v>0</v>
      </c>
      <c r="L39" s="25" t="n">
        <v>0</v>
      </c>
      <c r="M39" s="25">
        <f>MAX(0, I39)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>
        <f>I40</f>
        <v/>
      </c>
      <c r="J40" s="24" t="n">
        <v>0</v>
      </c>
      <c r="K40" s="24" t="n">
        <v>0</v>
      </c>
      <c r="L40" s="24" t="n">
        <v>0</v>
      </c>
      <c r="M40" s="24">
        <f>MAX(0, I40)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>
        <f>I41</f>
        <v/>
      </c>
      <c r="J41" s="25" t="n">
        <v>0</v>
      </c>
      <c r="K41" s="25" t="n">
        <v>0</v>
      </c>
      <c r="L41" s="25" t="n">
        <v>0</v>
      </c>
      <c r="M41" s="25">
        <f>MAX(0, I41)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>
        <f>I42</f>
        <v/>
      </c>
      <c r="J42" s="24" t="n">
        <v>0</v>
      </c>
      <c r="K42" s="24" t="n">
        <v>0</v>
      </c>
      <c r="L42" s="24" t="n">
        <v>0</v>
      </c>
      <c r="M42" s="24">
        <f>MAX(0, I42)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>
        <f>I43</f>
        <v/>
      </c>
      <c r="J43" s="25" t="n">
        <v>0</v>
      </c>
      <c r="K43" s="25" t="n">
        <v>0</v>
      </c>
      <c r="L43" s="25" t="n">
        <v>0</v>
      </c>
      <c r="M43" s="25">
        <f>MAX(0, I43)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>
        <f>I44</f>
        <v/>
      </c>
      <c r="J44" s="24" t="n">
        <v>0</v>
      </c>
      <c r="K44" s="24" t="n">
        <v>0</v>
      </c>
      <c r="L44" s="24" t="n">
        <v>0</v>
      </c>
      <c r="M44" s="24">
        <f>MAX(0, I44)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>
        <f>I45</f>
        <v/>
      </c>
      <c r="J45" s="25" t="n">
        <v>0</v>
      </c>
      <c r="K45" s="25" t="n">
        <v>0</v>
      </c>
      <c r="L45" s="25" t="n">
        <v>0</v>
      </c>
      <c r="M45" s="25">
        <f>MAX(0, I45)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>
        <f>I46</f>
        <v/>
      </c>
      <c r="J46" s="24" t="n">
        <v>0</v>
      </c>
      <c r="K46" s="24" t="n">
        <v>0</v>
      </c>
      <c r="L46" s="24" t="n">
        <v>0</v>
      </c>
      <c r="M46" s="24">
        <f>MAX(0, I46)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>
        <f>I47</f>
        <v/>
      </c>
      <c r="J47" s="25" t="n">
        <v>0</v>
      </c>
      <c r="K47" s="25" t="n">
        <v>0</v>
      </c>
      <c r="L47" s="25" t="n">
        <v>0</v>
      </c>
      <c r="M47" s="25">
        <f>MAX(0, I47)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>
        <f>I48</f>
        <v/>
      </c>
      <c r="J48" s="24" t="n">
        <v>0</v>
      </c>
      <c r="K48" s="24" t="n">
        <v>0</v>
      </c>
      <c r="L48" s="24" t="n">
        <v>0</v>
      </c>
      <c r="M48" s="24">
        <f>MAX(0, I48)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>
        <f>I49</f>
        <v/>
      </c>
      <c r="J49" s="25" t="n">
        <v>0</v>
      </c>
      <c r="K49" s="25" t="n">
        <v>0</v>
      </c>
      <c r="L49" s="25" t="n">
        <v>0</v>
      </c>
      <c r="M49" s="25">
        <f>MAX(0, I49)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>
        <f>I50</f>
        <v/>
      </c>
      <c r="J50" s="24" t="n">
        <v>0</v>
      </c>
      <c r="K50" s="24" t="n">
        <v>0</v>
      </c>
      <c r="L50" s="24" t="n">
        <v>0</v>
      </c>
      <c r="M50" s="24">
        <f>MAX(0, I50)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>
        <f>I51</f>
        <v/>
      </c>
      <c r="J51" s="25" t="n">
        <v>0</v>
      </c>
      <c r="K51" s="25" t="n">
        <v>0</v>
      </c>
      <c r="L51" s="25" t="n">
        <v>0</v>
      </c>
      <c r="M51" s="25">
        <f>MAX(0, I51)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>
        <f>I52</f>
        <v/>
      </c>
      <c r="J52" s="24" t="n">
        <v>0</v>
      </c>
      <c r="K52" s="24" t="n">
        <v>0</v>
      </c>
      <c r="L52" s="24" t="n">
        <v>0</v>
      </c>
      <c r="M52" s="24">
        <f>MAX(0, I52)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>
        <f>I53</f>
        <v/>
      </c>
      <c r="J53" s="25" t="n">
        <v>0</v>
      </c>
      <c r="K53" s="25" t="n">
        <v>0</v>
      </c>
      <c r="L53" s="25" t="n">
        <v>0</v>
      </c>
      <c r="M53" s="25">
        <f>MAX(0, I53)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>
        <f>I54</f>
        <v/>
      </c>
      <c r="J54" s="24" t="n">
        <v>0</v>
      </c>
      <c r="K54" s="24" t="n">
        <v>0</v>
      </c>
      <c r="L54" s="24" t="n">
        <v>0</v>
      </c>
      <c r="M54" s="24">
        <f>MAX(0, I54)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>
        <f>I55</f>
        <v/>
      </c>
      <c r="J55" s="25" t="n">
        <v>0</v>
      </c>
      <c r="K55" s="25" t="n">
        <v>0</v>
      </c>
      <c r="L55" s="25" t="n">
        <v>0</v>
      </c>
      <c r="M55" s="25">
        <f>MAX(0, I55)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>
        <f>I56</f>
        <v/>
      </c>
      <c r="J56" s="24" t="n">
        <v>0</v>
      </c>
      <c r="K56" s="24" t="n">
        <v>0</v>
      </c>
      <c r="L56" s="24" t="n">
        <v>0</v>
      </c>
      <c r="M56" s="24">
        <f>MAX(0, I56)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>
        <f>I57</f>
        <v/>
      </c>
      <c r="J57" s="25" t="n">
        <v>0</v>
      </c>
      <c r="K57" s="25" t="n">
        <v>0</v>
      </c>
      <c r="L57" s="25" t="n">
        <v>0</v>
      </c>
      <c r="M57" s="25">
        <f>MAX(0, I57)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>
        <f>I58</f>
        <v/>
      </c>
      <c r="J58" s="24" t="n">
        <v>0</v>
      </c>
      <c r="K58" s="24" t="n">
        <v>0</v>
      </c>
      <c r="L58" s="24" t="n">
        <v>0</v>
      </c>
      <c r="M58" s="24">
        <f>MAX(0, I58)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>
        <f>I59</f>
        <v/>
      </c>
      <c r="J59" s="25" t="n">
        <v>0</v>
      </c>
      <c r="K59" s="25" t="n">
        <v>0</v>
      </c>
      <c r="L59" s="25" t="n">
        <v>0</v>
      </c>
      <c r="M59" s="25">
        <f>MAX(0, I59)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>
        <f>I60</f>
        <v/>
      </c>
      <c r="J60" s="24" t="n">
        <v>0</v>
      </c>
      <c r="K60" s="24" t="n">
        <v>0</v>
      </c>
      <c r="L60" s="24" t="n">
        <v>0</v>
      </c>
      <c r="M60" s="24">
        <f>MAX(0, I60)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>
        <f>I61</f>
        <v/>
      </c>
      <c r="J61" s="25" t="n">
        <v>0</v>
      </c>
      <c r="K61" s="25" t="n">
        <v>0</v>
      </c>
      <c r="L61" s="25" t="n">
        <v>0</v>
      </c>
      <c r="M61" s="25">
        <f>MAX(0, I61)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>
        <f>I62</f>
        <v/>
      </c>
      <c r="J62" s="24" t="n">
        <v>0</v>
      </c>
      <c r="K62" s="24" t="n">
        <v>0</v>
      </c>
      <c r="L62" s="24" t="n">
        <v>0</v>
      </c>
      <c r="M62" s="24">
        <f>MAX(0, I62)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>
        <f>I63</f>
        <v/>
      </c>
      <c r="J63" s="25" t="n">
        <v>0</v>
      </c>
      <c r="K63" s="25" t="n">
        <v>0</v>
      </c>
      <c r="L63" s="25" t="n">
        <v>0</v>
      </c>
      <c r="M63" s="25">
        <f>MAX(0, I63)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>
        <f>I64</f>
        <v/>
      </c>
      <c r="J64" s="24" t="n">
        <v>0</v>
      </c>
      <c r="K64" s="24" t="n">
        <v>0</v>
      </c>
      <c r="L64" s="24" t="n">
        <v>0</v>
      </c>
      <c r="M64" s="24">
        <f>MAX(0, I64)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>
        <f>I65</f>
        <v/>
      </c>
      <c r="J65" s="25" t="n">
        <v>0</v>
      </c>
      <c r="K65" s="25" t="n">
        <v>0</v>
      </c>
      <c r="L65" s="25" t="n">
        <v>0</v>
      </c>
      <c r="M65" s="25">
        <f>MAX(0, I65)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>
        <f>I66</f>
        <v/>
      </c>
      <c r="J66" s="24" t="n">
        <v>0</v>
      </c>
      <c r="K66" s="24" t="n">
        <v>0</v>
      </c>
      <c r="L66" s="24" t="n">
        <v>0</v>
      </c>
      <c r="M66" s="24">
        <f>MAX(0, I66)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>
        <f>I67</f>
        <v/>
      </c>
      <c r="J67" s="25" t="n">
        <v>0</v>
      </c>
      <c r="K67" s="25" t="n">
        <v>0</v>
      </c>
      <c r="L67" s="25" t="n">
        <v>0</v>
      </c>
      <c r="M67" s="25">
        <f>MAX(0, I67)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>
        <f>I68</f>
        <v/>
      </c>
      <c r="J68" s="24" t="n">
        <v>0</v>
      </c>
      <c r="K68" s="24" t="n">
        <v>0</v>
      </c>
      <c r="L68" s="24" t="n">
        <v>0</v>
      </c>
      <c r="M68" s="24">
        <f>MAX(0, I68)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>
        <f>I69</f>
        <v/>
      </c>
      <c r="J69" s="25" t="n">
        <v>0</v>
      </c>
      <c r="K69" s="25" t="n">
        <v>0</v>
      </c>
      <c r="L69" s="25" t="n">
        <v>0</v>
      </c>
      <c r="M69" s="25">
        <f>MAX(0, I69)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>
        <f>I70</f>
        <v/>
      </c>
      <c r="J70" s="24" t="n">
        <v>0</v>
      </c>
      <c r="K70" s="24" t="n">
        <v>0</v>
      </c>
      <c r="L70" s="24" t="n">
        <v>0</v>
      </c>
      <c r="M70" s="24">
        <f>MAX(0, I70)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>
        <f>I71</f>
        <v/>
      </c>
      <c r="J71" s="25" t="n">
        <v>0</v>
      </c>
      <c r="K71" s="25" t="n">
        <v>0</v>
      </c>
      <c r="L71" s="25" t="n">
        <v>0</v>
      </c>
      <c r="M71" s="25">
        <f>MAX(0, I71)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>
        <f>I72</f>
        <v/>
      </c>
      <c r="J72" s="24" t="n">
        <v>0</v>
      </c>
      <c r="K72" s="24" t="n">
        <v>0</v>
      </c>
      <c r="L72" s="24" t="n">
        <v>0</v>
      </c>
      <c r="M72" s="24">
        <f>MAX(0, I72)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>
        <f>I73</f>
        <v/>
      </c>
      <c r="J73" s="25" t="n">
        <v>0</v>
      </c>
      <c r="K73" s="25" t="n">
        <v>0</v>
      </c>
      <c r="L73" s="25" t="n">
        <v>0</v>
      </c>
      <c r="M73" s="25">
        <f>MAX(0, I73)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>
        <f>I74</f>
        <v/>
      </c>
      <c r="J74" s="24" t="n">
        <v>0</v>
      </c>
      <c r="K74" s="24" t="n">
        <v>0</v>
      </c>
      <c r="L74" s="24" t="n">
        <v>0</v>
      </c>
      <c r="M74" s="24">
        <f>MAX(0, I74)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>
        <f>I75</f>
        <v/>
      </c>
      <c r="J75" s="25" t="n">
        <v>0</v>
      </c>
      <c r="K75" s="25" t="n">
        <v>0</v>
      </c>
      <c r="L75" s="25" t="n">
        <v>0</v>
      </c>
      <c r="M75" s="25">
        <f>MAX(0, I75)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>
        <f>I76</f>
        <v/>
      </c>
      <c r="J76" s="24" t="n">
        <v>0</v>
      </c>
      <c r="K76" s="24" t="n">
        <v>0</v>
      </c>
      <c r="L76" s="24" t="n">
        <v>0</v>
      </c>
      <c r="M76" s="24">
        <f>MAX(0, I76)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>
        <f>I77</f>
        <v/>
      </c>
      <c r="J77" s="25" t="n">
        <v>0</v>
      </c>
      <c r="K77" s="25" t="n">
        <v>0</v>
      </c>
      <c r="L77" s="25" t="n">
        <v>0</v>
      </c>
      <c r="M77" s="25">
        <f>MAX(0, I77)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>
        <f>I78</f>
        <v/>
      </c>
      <c r="J78" s="24" t="n">
        <v>0</v>
      </c>
      <c r="K78" s="24" t="n">
        <v>0</v>
      </c>
      <c r="L78" s="24" t="n">
        <v>0</v>
      </c>
      <c r="M78" s="24">
        <f>MAX(0, I78)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>
        <f>I79</f>
        <v/>
      </c>
      <c r="J79" s="25" t="n">
        <v>0</v>
      </c>
      <c r="K79" s="25" t="n">
        <v>0</v>
      </c>
      <c r="L79" s="25" t="n">
        <v>0</v>
      </c>
      <c r="M79" s="25">
        <f>MAX(0, I79)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>
        <f>I80</f>
        <v/>
      </c>
      <c r="J80" s="24" t="n">
        <v>0</v>
      </c>
      <c r="K80" s="24" t="n">
        <v>0</v>
      </c>
      <c r="L80" s="24" t="n">
        <v>0</v>
      </c>
      <c r="M80" s="24">
        <f>MAX(0, I80)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>
        <f>I81</f>
        <v/>
      </c>
      <c r="J81" s="25" t="n">
        <v>0</v>
      </c>
      <c r="K81" s="25" t="n">
        <v>0</v>
      </c>
      <c r="L81" s="25" t="n">
        <v>0</v>
      </c>
      <c r="M81" s="25">
        <f>MAX(0, I81)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>
        <f>I82</f>
        <v/>
      </c>
      <c r="J82" s="24" t="n">
        <v>0</v>
      </c>
      <c r="K82" s="24" t="n">
        <v>0</v>
      </c>
      <c r="L82" s="24" t="n">
        <v>0</v>
      </c>
      <c r="M82" s="24">
        <f>MAX(0, I82)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>
        <f>I83</f>
        <v/>
      </c>
      <c r="J83" s="25" t="n">
        <v>0</v>
      </c>
      <c r="K83" s="25" t="n">
        <v>0</v>
      </c>
      <c r="L83" s="25" t="n">
        <v>0</v>
      </c>
      <c r="M83" s="25">
        <f>MAX(0, I83)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>
        <f>I84</f>
        <v/>
      </c>
      <c r="J84" s="24" t="n">
        <v>0</v>
      </c>
      <c r="K84" s="24" t="n">
        <v>0</v>
      </c>
      <c r="L84" s="24" t="n">
        <v>0</v>
      </c>
      <c r="M84" s="24">
        <f>MAX(0, I84)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>
        <f>I85</f>
        <v/>
      </c>
      <c r="J85" s="25" t="n">
        <v>0</v>
      </c>
      <c r="K85" s="25" t="n">
        <v>0</v>
      </c>
      <c r="L85" s="25" t="n">
        <v>0</v>
      </c>
      <c r="M85" s="25">
        <f>MAX(0, I85)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>
        <f>I86</f>
        <v/>
      </c>
      <c r="J86" s="24" t="n">
        <v>0</v>
      </c>
      <c r="K86" s="24" t="n">
        <v>0</v>
      </c>
      <c r="L86" s="24" t="n">
        <v>0</v>
      </c>
      <c r="M86" s="24">
        <f>MAX(0, I86)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>
        <f>I87</f>
        <v/>
      </c>
      <c r="J87" s="25" t="n">
        <v>0</v>
      </c>
      <c r="K87" s="25" t="n">
        <v>0</v>
      </c>
      <c r="L87" s="25" t="n">
        <v>0</v>
      </c>
      <c r="M87" s="25">
        <f>MAX(0, I87)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>
        <f>I88</f>
        <v/>
      </c>
      <c r="J88" s="24" t="n">
        <v>0</v>
      </c>
      <c r="K88" s="24" t="n">
        <v>0</v>
      </c>
      <c r="L88" s="24" t="n">
        <v>0</v>
      </c>
      <c r="M88" s="24">
        <f>MAX(0, I88)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>
        <f>I89</f>
        <v/>
      </c>
      <c r="J89" s="25" t="n">
        <v>0</v>
      </c>
      <c r="K89" s="25" t="n">
        <v>0</v>
      </c>
      <c r="L89" s="25" t="n">
        <v>0</v>
      </c>
      <c r="M89" s="25">
        <f>MAX(0, I89)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>
        <f>I90</f>
        <v/>
      </c>
      <c r="J90" s="24" t="n">
        <v>0</v>
      </c>
      <c r="K90" s="24" t="n">
        <v>0</v>
      </c>
      <c r="L90" s="24" t="n">
        <v>0</v>
      </c>
      <c r="M90" s="24">
        <f>MAX(0, I90)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>
        <f>I91</f>
        <v/>
      </c>
      <c r="J91" s="25" t="n">
        <v>0</v>
      </c>
      <c r="K91" s="25" t="n">
        <v>0</v>
      </c>
      <c r="L91" s="25" t="n">
        <v>0</v>
      </c>
      <c r="M91" s="25">
        <f>MAX(0, I91)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>
        <f>I92</f>
        <v/>
      </c>
      <c r="J92" s="24" t="n">
        <v>0</v>
      </c>
      <c r="K92" s="24" t="n">
        <v>0</v>
      </c>
      <c r="L92" s="24" t="n">
        <v>0</v>
      </c>
      <c r="M92" s="24">
        <f>MAX(0, I92)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>
        <f>I93</f>
        <v/>
      </c>
      <c r="J93" s="25" t="n">
        <v>0</v>
      </c>
      <c r="K93" s="25" t="n">
        <v>0</v>
      </c>
      <c r="L93" s="25" t="n">
        <v>0</v>
      </c>
      <c r="M93" s="25">
        <f>MAX(0, I93)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>
        <f>I94</f>
        <v/>
      </c>
      <c r="J94" s="24" t="n">
        <v>0</v>
      </c>
      <c r="K94" s="24" t="n">
        <v>0</v>
      </c>
      <c r="L94" s="24" t="n">
        <v>0</v>
      </c>
      <c r="M94" s="24">
        <f>MAX(0, I94)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>
        <f>I95</f>
        <v/>
      </c>
      <c r="J95" s="25" t="n">
        <v>0</v>
      </c>
      <c r="K95" s="25" t="n">
        <v>0</v>
      </c>
      <c r="L95" s="25" t="n">
        <v>0</v>
      </c>
      <c r="M95" s="25">
        <f>MAX(0, I95)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>
        <f>I96</f>
        <v/>
      </c>
      <c r="J96" s="24" t="n">
        <v>0</v>
      </c>
      <c r="K96" s="24" t="n">
        <v>0</v>
      </c>
      <c r="L96" s="24" t="n">
        <v>0</v>
      </c>
      <c r="M96" s="24">
        <f>MAX(0, I96)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>
        <f>I97</f>
        <v/>
      </c>
      <c r="J97" s="25" t="n">
        <v>0</v>
      </c>
      <c r="K97" s="25" t="n">
        <v>0</v>
      </c>
      <c r="L97" s="25" t="n">
        <v>0</v>
      </c>
      <c r="M97" s="25">
        <f>MAX(0, I97)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>
        <f>I98</f>
        <v/>
      </c>
      <c r="J98" s="24" t="n">
        <v>0</v>
      </c>
      <c r="K98" s="24" t="n">
        <v>0</v>
      </c>
      <c r="L98" s="24" t="n">
        <v>0</v>
      </c>
      <c r="M98" s="24">
        <f>MAX(0, I98)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>
        <f>I99</f>
        <v/>
      </c>
      <c r="J99" s="25" t="n">
        <v>0</v>
      </c>
      <c r="K99" s="25" t="n">
        <v>0</v>
      </c>
      <c r="L99" s="25" t="n">
        <v>0</v>
      </c>
      <c r="M99" s="25">
        <f>MAX(0, I99)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>
        <f>I100</f>
        <v/>
      </c>
      <c r="J100" s="24" t="n">
        <v>0</v>
      </c>
      <c r="K100" s="24" t="n">
        <v>0</v>
      </c>
      <c r="L100" s="24" t="n">
        <v>0</v>
      </c>
      <c r="M100" s="24">
        <f>MAX(0, I100)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>
        <f>I101</f>
        <v/>
      </c>
      <c r="J101" s="25" t="n">
        <v>0</v>
      </c>
      <c r="K101" s="25" t="n">
        <v>0</v>
      </c>
      <c r="L101" s="25" t="n">
        <v>0</v>
      </c>
      <c r="M101" s="25">
        <f>MAX(0, I101)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>
        <f>I102</f>
        <v/>
      </c>
      <c r="J102" s="24" t="n">
        <v>0</v>
      </c>
      <c r="K102" s="24" t="n">
        <v>0</v>
      </c>
      <c r="L102" s="24" t="n">
        <v>0</v>
      </c>
      <c r="M102" s="24">
        <f>MAX(0, I102)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>
        <f>I103</f>
        <v/>
      </c>
      <c r="J103" s="25" t="n">
        <v>0</v>
      </c>
      <c r="K103" s="25" t="n">
        <v>0</v>
      </c>
      <c r="L103" s="25" t="n">
        <v>0</v>
      </c>
      <c r="M103" s="25">
        <f>MAX(0, I103)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>
        <f>I104</f>
        <v/>
      </c>
      <c r="J104" s="24" t="n">
        <v>0</v>
      </c>
      <c r="K104" s="24" t="n">
        <v>0</v>
      </c>
      <c r="L104" s="24" t="n">
        <v>0</v>
      </c>
      <c r="M104" s="24">
        <f>MAX(0, I104)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>
        <f>I105</f>
        <v/>
      </c>
      <c r="J105" s="25" t="n">
        <v>0</v>
      </c>
      <c r="K105" s="25" t="n">
        <v>0</v>
      </c>
      <c r="L105" s="25" t="n">
        <v>0</v>
      </c>
      <c r="M105" s="25">
        <f>MAX(0, I105)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>
        <f>I106</f>
        <v/>
      </c>
      <c r="J106" s="24" t="n">
        <v>0</v>
      </c>
      <c r="K106" s="24" t="n">
        <v>0</v>
      </c>
      <c r="L106" s="24" t="n">
        <v>0</v>
      </c>
      <c r="M106" s="24">
        <f>MAX(0, I106)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>
        <f>I107</f>
        <v/>
      </c>
      <c r="J107" s="25" t="n">
        <v>0</v>
      </c>
      <c r="K107" s="25" t="n">
        <v>0</v>
      </c>
      <c r="L107" s="25" t="n">
        <v>0</v>
      </c>
      <c r="M107" s="25">
        <f>MAX(0, I107)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>
        <f>I108</f>
        <v/>
      </c>
      <c r="J108" s="24" t="n">
        <v>0</v>
      </c>
      <c r="K108" s="24" t="n">
        <v>0</v>
      </c>
      <c r="L108" s="24" t="n">
        <v>0</v>
      </c>
      <c r="M108" s="24">
        <f>MAX(0, I108)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>
        <f>I109</f>
        <v/>
      </c>
      <c r="J109" s="25" t="n">
        <v>0</v>
      </c>
      <c r="K109" s="25" t="n">
        <v>0</v>
      </c>
      <c r="L109" s="25" t="n">
        <v>0</v>
      </c>
      <c r="M109" s="25">
        <f>MAX(0, I109)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>
        <f>I110</f>
        <v/>
      </c>
      <c r="J110" s="24" t="n">
        <v>0</v>
      </c>
      <c r="K110" s="24" t="n">
        <v>0</v>
      </c>
      <c r="L110" s="24" t="n">
        <v>0</v>
      </c>
      <c r="M110" s="24">
        <f>MAX(0, I110)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>
        <f>I111</f>
        <v/>
      </c>
      <c r="J111" s="25" t="n">
        <v>0</v>
      </c>
      <c r="K111" s="25" t="n">
        <v>0</v>
      </c>
      <c r="L111" s="25" t="n">
        <v>0</v>
      </c>
      <c r="M111" s="25">
        <f>MAX(0, I111)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>
        <f>I112</f>
        <v/>
      </c>
      <c r="J112" s="24" t="n">
        <v>0</v>
      </c>
      <c r="K112" s="24" t="n">
        <v>0</v>
      </c>
      <c r="L112" s="24" t="n">
        <v>0</v>
      </c>
      <c r="M112" s="24">
        <f>MAX(0, I112)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>
        <f>I113</f>
        <v/>
      </c>
      <c r="J113" s="25" t="n">
        <v>0</v>
      </c>
      <c r="K113" s="25" t="n">
        <v>0</v>
      </c>
      <c r="L113" s="25" t="n">
        <v>0</v>
      </c>
      <c r="M113" s="25">
        <f>MAX(0, I113)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>
        <f>I114</f>
        <v/>
      </c>
      <c r="J114" s="24" t="n">
        <v>0</v>
      </c>
      <c r="K114" s="24" t="n">
        <v>0</v>
      </c>
      <c r="L114" s="24" t="n">
        <v>0</v>
      </c>
      <c r="M114" s="24">
        <f>MAX(0, I114)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>
        <f>I115</f>
        <v/>
      </c>
      <c r="J115" s="25" t="n">
        <v>0</v>
      </c>
      <c r="K115" s="25" t="n">
        <v>0</v>
      </c>
      <c r="L115" s="25" t="n">
        <v>0</v>
      </c>
      <c r="M115" s="25">
        <f>MAX(0, I115)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>
        <f>I116</f>
        <v/>
      </c>
      <c r="J116" s="24" t="n">
        <v>0</v>
      </c>
      <c r="K116" s="24" t="n">
        <v>0</v>
      </c>
      <c r="L116" s="24" t="n">
        <v>0</v>
      </c>
      <c r="M116" s="24">
        <f>MAX(0, I116)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>
        <f>I117</f>
        <v/>
      </c>
      <c r="J117" s="25" t="n">
        <v>0</v>
      </c>
      <c r="K117" s="25" t="n">
        <v>0</v>
      </c>
      <c r="L117" s="25" t="n">
        <v>0</v>
      </c>
      <c r="M117" s="25">
        <f>MAX(0, I117)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>
        <f>I118</f>
        <v/>
      </c>
      <c r="J118" s="24" t="n">
        <v>0</v>
      </c>
      <c r="K118" s="24" t="n">
        <v>0</v>
      </c>
      <c r="L118" s="24" t="n">
        <v>0</v>
      </c>
      <c r="M118" s="24">
        <f>MAX(0, I118)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>
        <f>I119</f>
        <v/>
      </c>
      <c r="J119" s="25" t="n">
        <v>0</v>
      </c>
      <c r="K119" s="25" t="n">
        <v>0</v>
      </c>
      <c r="L119" s="25" t="n">
        <v>0</v>
      </c>
      <c r="M119" s="25">
        <f>MAX(0, I119)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>
        <f>I120</f>
        <v/>
      </c>
      <c r="J120" s="24" t="n">
        <v>0</v>
      </c>
      <c r="K120" s="24" t="n">
        <v>0</v>
      </c>
      <c r="L120" s="24" t="n">
        <v>0</v>
      </c>
      <c r="M120" s="24">
        <f>MAX(0, I120)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>
        <f>I121</f>
        <v/>
      </c>
      <c r="J121" s="25" t="n">
        <v>0</v>
      </c>
      <c r="K121" s="25" t="n">
        <v>0</v>
      </c>
      <c r="L121" s="25" t="n">
        <v>0</v>
      </c>
      <c r="M121" s="25">
        <f>MAX(0, I121)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>
        <f>I122</f>
        <v/>
      </c>
      <c r="J122" s="24" t="n">
        <v>0</v>
      </c>
      <c r="K122" s="24" t="n">
        <v>0</v>
      </c>
      <c r="L122" s="24" t="n">
        <v>0</v>
      </c>
      <c r="M122" s="24">
        <f>MAX(0, I122)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>
        <f>I123</f>
        <v/>
      </c>
      <c r="J123" s="25" t="n">
        <v>0</v>
      </c>
      <c r="K123" s="25" t="n">
        <v>0</v>
      </c>
      <c r="L123" s="25" t="n">
        <v>0</v>
      </c>
      <c r="M123" s="25">
        <f>MAX(0, I123)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>
        <f>I124</f>
        <v/>
      </c>
      <c r="J124" s="24" t="n">
        <v>0</v>
      </c>
      <c r="K124" s="24" t="n">
        <v>0</v>
      </c>
      <c r="L124" s="24" t="n">
        <v>0</v>
      </c>
      <c r="M124" s="24">
        <f>MAX(0, I124)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>
        <f>I125</f>
        <v/>
      </c>
      <c r="J125" s="25" t="n">
        <v>0</v>
      </c>
      <c r="K125" s="25" t="n">
        <v>0</v>
      </c>
      <c r="L125" s="25" t="n">
        <v>0</v>
      </c>
      <c r="M125" s="25">
        <f>MAX(0, I125)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>
        <f>I126</f>
        <v/>
      </c>
      <c r="J126" s="24" t="n">
        <v>0</v>
      </c>
      <c r="K126" s="24" t="n">
        <v>0</v>
      </c>
      <c r="L126" s="24" t="n">
        <v>0</v>
      </c>
      <c r="M126" s="24">
        <f>MAX(0, I126)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>
        <f>I127</f>
        <v/>
      </c>
      <c r="J127" s="25" t="n">
        <v>0</v>
      </c>
      <c r="K127" s="25" t="n">
        <v>0</v>
      </c>
      <c r="L127" s="25" t="n">
        <v>0</v>
      </c>
      <c r="M127" s="25">
        <f>MAX(0, I127)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>
        <f>I128</f>
        <v/>
      </c>
      <c r="J128" s="24" t="n">
        <v>0</v>
      </c>
      <c r="K128" s="24" t="n">
        <v>0</v>
      </c>
      <c r="L128" s="24" t="n">
        <v>0</v>
      </c>
      <c r="M128" s="24">
        <f>MAX(0, I128)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>
        <f>I129</f>
        <v/>
      </c>
      <c r="J129" s="25" t="n">
        <v>0</v>
      </c>
      <c r="K129" s="25" t="n">
        <v>0</v>
      </c>
      <c r="L129" s="25" t="n">
        <v>0</v>
      </c>
      <c r="M129" s="25">
        <f>MAX(0, I129)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>
        <f>I130</f>
        <v/>
      </c>
      <c r="J130" s="24" t="n">
        <v>0</v>
      </c>
      <c r="K130" s="24" t="n">
        <v>0</v>
      </c>
      <c r="L130" s="24" t="n">
        <v>0</v>
      </c>
      <c r="M130" s="24">
        <f>MAX(0, I130)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>
        <f>I131</f>
        <v/>
      </c>
      <c r="J131" s="25" t="n">
        <v>0</v>
      </c>
      <c r="K131" s="25" t="n">
        <v>0</v>
      </c>
      <c r="L131" s="25" t="n">
        <v>0</v>
      </c>
      <c r="M131" s="25">
        <f>MAX(0, I131)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>
        <f>I132</f>
        <v/>
      </c>
      <c r="J132" s="24" t="n">
        <v>0</v>
      </c>
      <c r="K132" s="24" t="n">
        <v>0</v>
      </c>
      <c r="L132" s="24" t="n">
        <v>0</v>
      </c>
      <c r="M132" s="24">
        <f>MAX(0, I132)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>
        <f>I133</f>
        <v/>
      </c>
      <c r="J133" s="25" t="n">
        <v>0</v>
      </c>
      <c r="K133" s="25" t="n">
        <v>0</v>
      </c>
      <c r="L133" s="25" t="n">
        <v>0</v>
      </c>
      <c r="M133" s="25">
        <f>MAX(0, I133)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>
        <f>I134</f>
        <v/>
      </c>
      <c r="J134" s="24" t="n">
        <v>0</v>
      </c>
      <c r="K134" s="24" t="n">
        <v>0</v>
      </c>
      <c r="L134" s="24" t="n">
        <v>0</v>
      </c>
      <c r="M134" s="24">
        <f>MAX(0, I134)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>
        <f>I135</f>
        <v/>
      </c>
      <c r="J135" s="25" t="n">
        <v>0</v>
      </c>
      <c r="K135" s="25" t="n">
        <v>0</v>
      </c>
      <c r="L135" s="25" t="n">
        <v>0</v>
      </c>
      <c r="M135" s="25">
        <f>MAX(0, I135)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>
        <f>I136</f>
        <v/>
      </c>
      <c r="J136" s="24" t="n">
        <v>0</v>
      </c>
      <c r="K136" s="24" t="n">
        <v>0</v>
      </c>
      <c r="L136" s="24" t="n">
        <v>0</v>
      </c>
      <c r="M136" s="24">
        <f>MAX(0, I136)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>
        <f>I137</f>
        <v/>
      </c>
      <c r="J137" s="25" t="n">
        <v>0</v>
      </c>
      <c r="K137" s="25" t="n">
        <v>0</v>
      </c>
      <c r="L137" s="25" t="n">
        <v>0</v>
      </c>
      <c r="M137" s="25">
        <f>MAX(0, I137)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>
        <f>I138</f>
        <v/>
      </c>
      <c r="J138" s="24" t="n">
        <v>0</v>
      </c>
      <c r="K138" s="24" t="n">
        <v>0</v>
      </c>
      <c r="L138" s="24" t="n">
        <v>0</v>
      </c>
      <c r="M138" s="24">
        <f>MAX(0, I138)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>
        <f>I139</f>
        <v/>
      </c>
      <c r="J139" s="25" t="n">
        <v>0</v>
      </c>
      <c r="K139" s="25" t="n">
        <v>0</v>
      </c>
      <c r="L139" s="25" t="n">
        <v>0</v>
      </c>
      <c r="M139" s="25">
        <f>MAX(0, I139)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>
        <f>I140</f>
        <v/>
      </c>
      <c r="J140" s="24" t="n">
        <v>0</v>
      </c>
      <c r="K140" s="24" t="n">
        <v>0</v>
      </c>
      <c r="L140" s="24" t="n">
        <v>0</v>
      </c>
      <c r="M140" s="24">
        <f>MAX(0, I140)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>
        <f>I141</f>
        <v/>
      </c>
      <c r="J141" s="25" t="n">
        <v>0</v>
      </c>
      <c r="K141" s="25" t="n">
        <v>0</v>
      </c>
      <c r="L141" s="25" t="n">
        <v>0</v>
      </c>
      <c r="M141" s="25">
        <f>MAX(0, I141)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>
        <f>I142</f>
        <v/>
      </c>
      <c r="J142" s="24" t="n">
        <v>0</v>
      </c>
      <c r="K142" s="24" t="n">
        <v>0</v>
      </c>
      <c r="L142" s="24" t="n">
        <v>0</v>
      </c>
      <c r="M142" s="24">
        <f>MAX(0, I142)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>
        <f>I143</f>
        <v/>
      </c>
      <c r="J143" s="25" t="n">
        <v>0</v>
      </c>
      <c r="K143" s="25" t="n">
        <v>0</v>
      </c>
      <c r="L143" s="25" t="n">
        <v>0</v>
      </c>
      <c r="M143" s="25">
        <f>MAX(0, I143)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>
        <f>I144</f>
        <v/>
      </c>
      <c r="J144" s="24" t="n">
        <v>0</v>
      </c>
      <c r="K144" s="24" t="n">
        <v>0</v>
      </c>
      <c r="L144" s="24" t="n">
        <v>0</v>
      </c>
      <c r="M144" s="24">
        <f>MAX(0, I144)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>
        <f>I145</f>
        <v/>
      </c>
      <c r="J145" s="25" t="n">
        <v>0</v>
      </c>
      <c r="K145" s="25" t="n">
        <v>0</v>
      </c>
      <c r="L145" s="25" t="n">
        <v>0</v>
      </c>
      <c r="M145" s="25">
        <f>MAX(0, I145)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>
        <f>I146</f>
        <v/>
      </c>
      <c r="J146" s="24" t="n">
        <v>0</v>
      </c>
      <c r="K146" s="24" t="n">
        <v>0</v>
      </c>
      <c r="L146" s="24" t="n">
        <v>0</v>
      </c>
      <c r="M146" s="24">
        <f>MAX(0, I146)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>
        <f>I147</f>
        <v/>
      </c>
      <c r="J147" s="25" t="n">
        <v>0</v>
      </c>
      <c r="K147" s="25" t="n">
        <v>0</v>
      </c>
      <c r="L147" s="25" t="n">
        <v>0</v>
      </c>
      <c r="M147" s="25">
        <f>MAX(0, I147)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>
        <f>I148</f>
        <v/>
      </c>
      <c r="J148" s="24" t="n">
        <v>0</v>
      </c>
      <c r="K148" s="24" t="n">
        <v>0</v>
      </c>
      <c r="L148" s="24" t="n">
        <v>0</v>
      </c>
      <c r="M148" s="24">
        <f>MAX(0, I148)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>
        <f>I149</f>
        <v/>
      </c>
      <c r="J149" s="25" t="n">
        <v>0</v>
      </c>
      <c r="K149" s="25" t="n">
        <v>0</v>
      </c>
      <c r="L149" s="25" t="n">
        <v>0</v>
      </c>
      <c r="M149" s="25">
        <f>MAX(0, I149)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>
        <f>I150</f>
        <v/>
      </c>
      <c r="J150" s="24" t="n">
        <v>0</v>
      </c>
      <c r="K150" s="24" t="n">
        <v>0</v>
      </c>
      <c r="L150" s="24" t="n">
        <v>0</v>
      </c>
      <c r="M150" s="24">
        <f>MAX(0, I150)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>
        <f>I151</f>
        <v/>
      </c>
      <c r="J151" s="25" t="n">
        <v>0</v>
      </c>
      <c r="K151" s="25" t="n">
        <v>0</v>
      </c>
      <c r="L151" s="25" t="n">
        <v>0</v>
      </c>
      <c r="M151" s="25">
        <f>MAX(0, I151)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>
        <f>I152</f>
        <v/>
      </c>
      <c r="J152" s="24" t="n">
        <v>0</v>
      </c>
      <c r="K152" s="24" t="n">
        <v>0</v>
      </c>
      <c r="L152" s="24" t="n">
        <v>0</v>
      </c>
      <c r="M152" s="24">
        <f>MAX(0, I152)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>
        <f>I153</f>
        <v/>
      </c>
      <c r="J153" s="25" t="n">
        <v>0</v>
      </c>
      <c r="K153" s="25" t="n">
        <v>0</v>
      </c>
      <c r="L153" s="25" t="n">
        <v>0</v>
      </c>
      <c r="M153" s="25">
        <f>MAX(0, I153)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>
        <f>I154</f>
        <v/>
      </c>
      <c r="J154" s="24" t="n">
        <v>0</v>
      </c>
      <c r="K154" s="24" t="n">
        <v>0</v>
      </c>
      <c r="L154" s="24" t="n">
        <v>0</v>
      </c>
      <c r="M154" s="24">
        <f>MAX(0, I154)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>
        <f>I155</f>
        <v/>
      </c>
      <c r="J155" s="25" t="n">
        <v>0</v>
      </c>
      <c r="K155" s="25" t="n">
        <v>0</v>
      </c>
      <c r="L155" s="25" t="n">
        <v>0</v>
      </c>
      <c r="M155" s="25">
        <f>MAX(0, I155)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>
        <f>I156</f>
        <v/>
      </c>
      <c r="J156" s="24" t="n">
        <v>0</v>
      </c>
      <c r="K156" s="24" t="n">
        <v>0</v>
      </c>
      <c r="L156" s="24" t="n">
        <v>0</v>
      </c>
      <c r="M156" s="24">
        <f>MAX(0, I156)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>
        <f>I157</f>
        <v/>
      </c>
      <c r="J157" s="25" t="n">
        <v>0</v>
      </c>
      <c r="K157" s="25" t="n">
        <v>0</v>
      </c>
      <c r="L157" s="25" t="n">
        <v>0</v>
      </c>
      <c r="M157" s="25">
        <f>MAX(0, I157)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>
        <f>I158</f>
        <v/>
      </c>
      <c r="J158" s="24" t="n">
        <v>0</v>
      </c>
      <c r="K158" s="24" t="n">
        <v>0</v>
      </c>
      <c r="L158" s="24" t="n">
        <v>0</v>
      </c>
      <c r="M158" s="24">
        <f>MAX(0, I158)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>
        <f>I159</f>
        <v/>
      </c>
      <c r="J159" s="25" t="n">
        <v>0</v>
      </c>
      <c r="K159" s="25" t="n">
        <v>0</v>
      </c>
      <c r="L159" s="25" t="n">
        <v>0</v>
      </c>
      <c r="M159" s="25">
        <f>MAX(0, I159)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>
        <f>I160</f>
        <v/>
      </c>
      <c r="J160" s="24" t="n">
        <v>0</v>
      </c>
      <c r="K160" s="24" t="n">
        <v>0</v>
      </c>
      <c r="L160" s="24" t="n">
        <v>0</v>
      </c>
      <c r="M160" s="24">
        <f>MAX(0, I160)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>
        <f>I161</f>
        <v/>
      </c>
      <c r="J161" s="25" t="n">
        <v>0</v>
      </c>
      <c r="K161" s="25" t="n">
        <v>0</v>
      </c>
      <c r="L161" s="25" t="n">
        <v>0</v>
      </c>
      <c r="M161" s="25">
        <f>MAX(0, I161)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>
        <f>I162</f>
        <v/>
      </c>
      <c r="J162" s="24" t="n">
        <v>0</v>
      </c>
      <c r="K162" s="24" t="n">
        <v>0</v>
      </c>
      <c r="L162" s="24" t="n">
        <v>0</v>
      </c>
      <c r="M162" s="24">
        <f>MAX(0, I162)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>
        <f>I163</f>
        <v/>
      </c>
      <c r="J163" s="25" t="n">
        <v>0</v>
      </c>
      <c r="K163" s="25" t="n">
        <v>0</v>
      </c>
      <c r="L163" s="25" t="n">
        <v>0</v>
      </c>
      <c r="M163" s="25">
        <f>MAX(0, I163)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>
        <f>I164</f>
        <v/>
      </c>
      <c r="J164" s="24" t="n">
        <v>0</v>
      </c>
      <c r="K164" s="24" t="n">
        <v>0</v>
      </c>
      <c r="L164" s="24" t="n">
        <v>0</v>
      </c>
      <c r="M164" s="24">
        <f>MAX(0, I164)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>
        <f>I165</f>
        <v/>
      </c>
      <c r="J165" s="25" t="n">
        <v>0</v>
      </c>
      <c r="K165" s="25" t="n">
        <v>0</v>
      </c>
      <c r="L165" s="25" t="n">
        <v>0</v>
      </c>
      <c r="M165" s="25">
        <f>MAX(0, I165)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>
        <f>I166</f>
        <v/>
      </c>
      <c r="J166" s="24" t="n">
        <v>0</v>
      </c>
      <c r="K166" s="24" t="n">
        <v>0</v>
      </c>
      <c r="L166" s="24" t="n">
        <v>0</v>
      </c>
      <c r="M166" s="24">
        <f>MAX(0, I166)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>
        <f>I167</f>
        <v/>
      </c>
      <c r="J167" s="25" t="n">
        <v>0</v>
      </c>
      <c r="K167" s="25" t="n">
        <v>0</v>
      </c>
      <c r="L167" s="25" t="n">
        <v>0</v>
      </c>
      <c r="M167" s="25">
        <f>MAX(0, I167)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>
        <f>I168</f>
        <v/>
      </c>
      <c r="J168" s="24" t="n">
        <v>0</v>
      </c>
      <c r="K168" s="24" t="n">
        <v>0</v>
      </c>
      <c r="L168" s="24" t="n">
        <v>0</v>
      </c>
      <c r="M168" s="24">
        <f>MAX(0, I168)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>
        <f>I169</f>
        <v/>
      </c>
      <c r="J169" s="25" t="n">
        <v>0</v>
      </c>
      <c r="K169" s="25" t="n">
        <v>0</v>
      </c>
      <c r="L169" s="25" t="n">
        <v>0</v>
      </c>
      <c r="M169" s="25">
        <f>MAX(0, I169)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>
        <f>I170</f>
        <v/>
      </c>
      <c r="J170" s="24" t="n">
        <v>0</v>
      </c>
      <c r="K170" s="24" t="n">
        <v>0</v>
      </c>
      <c r="L170" s="24" t="n">
        <v>0</v>
      </c>
      <c r="M170" s="24">
        <f>MAX(0, I170)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>
        <f>I171</f>
        <v/>
      </c>
      <c r="J171" s="25" t="n">
        <v>0</v>
      </c>
      <c r="K171" s="25" t="n">
        <v>0</v>
      </c>
      <c r="L171" s="25" t="n">
        <v>0</v>
      </c>
      <c r="M171" s="25">
        <f>MAX(0, I171)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>
        <f>I172</f>
        <v/>
      </c>
      <c r="J172" s="24" t="n">
        <v>0</v>
      </c>
      <c r="K172" s="24" t="n">
        <v>0</v>
      </c>
      <c r="L172" s="24" t="n">
        <v>0</v>
      </c>
      <c r="M172" s="24">
        <f>MAX(0, I172)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>
        <f>I173</f>
        <v/>
      </c>
      <c r="J173" s="25" t="n">
        <v>0</v>
      </c>
      <c r="K173" s="25" t="n">
        <v>0</v>
      </c>
      <c r="L173" s="25" t="n">
        <v>0</v>
      </c>
      <c r="M173" s="25">
        <f>MAX(0, I173)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>
        <f>I174</f>
        <v/>
      </c>
      <c r="J174" s="24" t="n">
        <v>0</v>
      </c>
      <c r="K174" s="24" t="n">
        <v>0</v>
      </c>
      <c r="L174" s="24" t="n">
        <v>0</v>
      </c>
      <c r="M174" s="24">
        <f>MAX(0, I174)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>
        <f>I175</f>
        <v/>
      </c>
      <c r="J175" s="25" t="n">
        <v>0</v>
      </c>
      <c r="K175" s="25" t="n">
        <v>0</v>
      </c>
      <c r="L175" s="25" t="n">
        <v>0</v>
      </c>
      <c r="M175" s="25">
        <f>MAX(0, I175)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>
        <f>I176</f>
        <v/>
      </c>
      <c r="J176" s="24" t="n">
        <v>0</v>
      </c>
      <c r="K176" s="24" t="n">
        <v>0</v>
      </c>
      <c r="L176" s="24" t="n">
        <v>0</v>
      </c>
      <c r="M176" s="24">
        <f>MAX(0, I176)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>
        <f>I177</f>
        <v/>
      </c>
      <c r="J177" s="25" t="n">
        <v>0</v>
      </c>
      <c r="K177" s="25" t="n">
        <v>0</v>
      </c>
      <c r="L177" s="25" t="n">
        <v>0</v>
      </c>
      <c r="M177" s="25">
        <f>MAX(0, I177)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>
        <f>I178</f>
        <v/>
      </c>
      <c r="J178" s="24" t="n">
        <v>0</v>
      </c>
      <c r="K178" s="24" t="n">
        <v>0</v>
      </c>
      <c r="L178" s="24" t="n">
        <v>0</v>
      </c>
      <c r="M178" s="24">
        <f>MAX(0, I178)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>
        <f>I179</f>
        <v/>
      </c>
      <c r="J179" s="25" t="n">
        <v>0</v>
      </c>
      <c r="K179" s="25" t="n">
        <v>0</v>
      </c>
      <c r="L179" s="25" t="n">
        <v>0</v>
      </c>
      <c r="M179" s="25">
        <f>MAX(0, I179)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>
        <f>I180</f>
        <v/>
      </c>
      <c r="J180" s="24" t="n">
        <v>0</v>
      </c>
      <c r="K180" s="24" t="n">
        <v>0</v>
      </c>
      <c r="L180" s="24" t="n">
        <v>0</v>
      </c>
      <c r="M180" s="24">
        <f>MAX(0, I180)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>
        <f>I181</f>
        <v/>
      </c>
      <c r="J181" s="25" t="n">
        <v>0</v>
      </c>
      <c r="K181" s="25" t="n">
        <v>0</v>
      </c>
      <c r="L181" s="25" t="n">
        <v>0</v>
      </c>
      <c r="M181" s="25">
        <f>MAX(0, I181)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>
        <f>I182</f>
        <v/>
      </c>
      <c r="J182" s="24" t="n">
        <v>0</v>
      </c>
      <c r="K182" s="24" t="n">
        <v>0</v>
      </c>
      <c r="L182" s="24" t="n">
        <v>0</v>
      </c>
      <c r="M182" s="24">
        <f>MAX(0, I182)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>
        <f>I183</f>
        <v/>
      </c>
      <c r="J183" s="25" t="n">
        <v>0</v>
      </c>
      <c r="K183" s="25" t="n">
        <v>0</v>
      </c>
      <c r="L183" s="25" t="n">
        <v>0</v>
      </c>
      <c r="M183" s="25">
        <f>MAX(0, I183)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>
        <f>I184</f>
        <v/>
      </c>
      <c r="J184" s="24" t="n">
        <v>0</v>
      </c>
      <c r="K184" s="24" t="n">
        <v>0</v>
      </c>
      <c r="L184" s="24" t="n">
        <v>0</v>
      </c>
      <c r="M184" s="24">
        <f>MAX(0, I184)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>
        <f>I185</f>
        <v/>
      </c>
      <c r="J185" s="25" t="n">
        <v>0</v>
      </c>
      <c r="K185" s="25" t="n">
        <v>0</v>
      </c>
      <c r="L185" s="25" t="n">
        <v>0</v>
      </c>
      <c r="M185" s="25">
        <f>MAX(0, I185)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>
        <f>I186</f>
        <v/>
      </c>
      <c r="J186" s="24" t="n">
        <v>0</v>
      </c>
      <c r="K186" s="24" t="n">
        <v>0</v>
      </c>
      <c r="L186" s="24" t="n">
        <v>0</v>
      </c>
      <c r="M186" s="24">
        <f>MAX(0, I186)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>
        <f>I187</f>
        <v/>
      </c>
      <c r="J187" s="25" t="n">
        <v>0</v>
      </c>
      <c r="K187" s="25" t="n">
        <v>0</v>
      </c>
      <c r="L187" s="25" t="n">
        <v>0</v>
      </c>
      <c r="M187" s="25">
        <f>MAX(0, I187)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>
        <f>I188</f>
        <v/>
      </c>
      <c r="J188" s="24" t="n">
        <v>0</v>
      </c>
      <c r="K188" s="24" t="n">
        <v>0</v>
      </c>
      <c r="L188" s="24" t="n">
        <v>0</v>
      </c>
      <c r="M188" s="24">
        <f>MAX(0, I188)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>
        <f>I189</f>
        <v/>
      </c>
      <c r="J189" s="25" t="n">
        <v>0</v>
      </c>
      <c r="K189" s="25" t="n">
        <v>0</v>
      </c>
      <c r="L189" s="25" t="n">
        <v>0</v>
      </c>
      <c r="M189" s="25">
        <f>MAX(0, I189)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>
        <f>I190</f>
        <v/>
      </c>
      <c r="J190" s="24" t="n">
        <v>0</v>
      </c>
      <c r="K190" s="24" t="n">
        <v>0</v>
      </c>
      <c r="L190" s="24" t="n">
        <v>0</v>
      </c>
      <c r="M190" s="24">
        <f>MAX(0, I190)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>
        <f>I191</f>
        <v/>
      </c>
      <c r="J191" s="25" t="n">
        <v>0</v>
      </c>
      <c r="K191" s="25" t="n">
        <v>0</v>
      </c>
      <c r="L191" s="25" t="n">
        <v>0</v>
      </c>
      <c r="M191" s="25">
        <f>MAX(0, I191)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>
        <f>I192</f>
        <v/>
      </c>
      <c r="J192" s="24" t="n">
        <v>0</v>
      </c>
      <c r="K192" s="24" t="n">
        <v>0</v>
      </c>
      <c r="L192" s="24" t="n">
        <v>0</v>
      </c>
      <c r="M192" s="24">
        <f>MAX(0, I192)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>
        <f>I193</f>
        <v/>
      </c>
      <c r="J193" s="25" t="n">
        <v>0</v>
      </c>
      <c r="K193" s="25" t="n">
        <v>0</v>
      </c>
      <c r="L193" s="25" t="n">
        <v>0</v>
      </c>
      <c r="M193" s="25">
        <f>MAX(0, I193)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>
        <f>I194</f>
        <v/>
      </c>
      <c r="J194" s="24" t="n">
        <v>0</v>
      </c>
      <c r="K194" s="24" t="n">
        <v>0</v>
      </c>
      <c r="L194" s="24" t="n">
        <v>0</v>
      </c>
      <c r="M194" s="24">
        <f>MAX(0, I194)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>
        <f>I195</f>
        <v/>
      </c>
      <c r="J195" s="25" t="n">
        <v>0</v>
      </c>
      <c r="K195" s="25" t="n">
        <v>0</v>
      </c>
      <c r="L195" s="25" t="n">
        <v>0</v>
      </c>
      <c r="M195" s="25">
        <f>MAX(0, I195)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>
        <f>I196</f>
        <v/>
      </c>
      <c r="J196" s="24" t="n">
        <v>0</v>
      </c>
      <c r="K196" s="24" t="n">
        <v>0</v>
      </c>
      <c r="L196" s="24" t="n">
        <v>0</v>
      </c>
      <c r="M196" s="24">
        <f>MAX(0, I196)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>
        <f>I197</f>
        <v/>
      </c>
      <c r="J197" s="25" t="n">
        <v>0</v>
      </c>
      <c r="K197" s="25" t="n">
        <v>0</v>
      </c>
      <c r="L197" s="25" t="n">
        <v>0</v>
      </c>
      <c r="M197" s="25">
        <f>MAX(0, I197)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>
        <f>I198</f>
        <v/>
      </c>
      <c r="J198" s="24" t="n">
        <v>0</v>
      </c>
      <c r="K198" s="24" t="n">
        <v>0</v>
      </c>
      <c r="L198" s="24" t="n">
        <v>0</v>
      </c>
      <c r="M198" s="24">
        <f>MAX(0, I198)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>
        <f>I199</f>
        <v/>
      </c>
      <c r="J199" s="25" t="n">
        <v>0</v>
      </c>
      <c r="K199" s="25" t="n">
        <v>0</v>
      </c>
      <c r="L199" s="25" t="n">
        <v>0</v>
      </c>
      <c r="M199" s="25">
        <f>MAX(0, I199)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>
        <f>I200</f>
        <v/>
      </c>
      <c r="J200" s="24" t="n">
        <v>0</v>
      </c>
      <c r="K200" s="24" t="n">
        <v>0</v>
      </c>
      <c r="L200" s="24" t="n">
        <v>0</v>
      </c>
      <c r="M200" s="24">
        <f>MAX(0, I200)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>
        <f>I201</f>
        <v/>
      </c>
      <c r="J201" s="25" t="n">
        <v>0</v>
      </c>
      <c r="K201" s="25" t="n">
        <v>0</v>
      </c>
      <c r="L201" s="25" t="n">
        <v>0</v>
      </c>
      <c r="M201" s="25">
        <f>MAX(0, I201)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>
        <f>I202</f>
        <v/>
      </c>
      <c r="J202" s="24" t="n">
        <v>0</v>
      </c>
      <c r="K202" s="24" t="n">
        <v>0</v>
      </c>
      <c r="L202" s="24" t="n">
        <v>0</v>
      </c>
      <c r="M202" s="24">
        <f>MAX(0, I202)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>
        <f>I203</f>
        <v/>
      </c>
      <c r="J203" s="25" t="n">
        <v>0</v>
      </c>
      <c r="K203" s="25" t="n">
        <v>0</v>
      </c>
      <c r="L203" s="25" t="n">
        <v>0</v>
      </c>
      <c r="M203" s="25">
        <f>MAX(0, I203)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>
        <f>I204</f>
        <v/>
      </c>
      <c r="J204" s="24" t="n">
        <v>0</v>
      </c>
      <c r="K204" s="24" t="n">
        <v>0</v>
      </c>
      <c r="L204" s="24" t="n">
        <v>0</v>
      </c>
      <c r="M204" s="24">
        <f>MAX(0, I204)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>
        <f>I205</f>
        <v/>
      </c>
      <c r="J205" s="25" t="n">
        <v>0</v>
      </c>
      <c r="K205" s="25" t="n">
        <v>0</v>
      </c>
      <c r="L205" s="25" t="n">
        <v>0</v>
      </c>
      <c r="M205" s="25">
        <f>MAX(0, I205)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>
        <f>I206</f>
        <v/>
      </c>
      <c r="J206" s="24" t="n">
        <v>0</v>
      </c>
      <c r="K206" s="24" t="n">
        <v>0</v>
      </c>
      <c r="L206" s="24" t="n">
        <v>0</v>
      </c>
      <c r="M206" s="24">
        <f>MAX(0, I206)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>
        <f>I207</f>
        <v/>
      </c>
      <c r="J207" s="25" t="n">
        <v>0</v>
      </c>
      <c r="K207" s="25" t="n">
        <v>0</v>
      </c>
      <c r="L207" s="25" t="n">
        <v>0</v>
      </c>
      <c r="M207" s="25">
        <f>MAX(0, I207)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>
        <f>I208</f>
        <v/>
      </c>
      <c r="J208" s="24" t="n">
        <v>0</v>
      </c>
      <c r="K208" s="24" t="n">
        <v>0</v>
      </c>
      <c r="L208" s="24" t="n">
        <v>0</v>
      </c>
      <c r="M208" s="24">
        <f>MAX(0, I208)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>
        <f>I209</f>
        <v/>
      </c>
      <c r="J209" s="25" t="n">
        <v>0</v>
      </c>
      <c r="K209" s="25" t="n">
        <v>0</v>
      </c>
      <c r="L209" s="25" t="n">
        <v>0</v>
      </c>
      <c r="M209" s="25">
        <f>MAX(0, I209)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>
        <f>I210</f>
        <v/>
      </c>
      <c r="J210" s="24" t="n">
        <v>0</v>
      </c>
      <c r="K210" s="24" t="n">
        <v>0</v>
      </c>
      <c r="L210" s="24" t="n">
        <v>0</v>
      </c>
      <c r="M210" s="24">
        <f>MAX(0, I210)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>
        <f>I211</f>
        <v/>
      </c>
      <c r="J211" s="25" t="n">
        <v>0</v>
      </c>
      <c r="K211" s="25" t="n">
        <v>0</v>
      </c>
      <c r="L211" s="25" t="n">
        <v>0</v>
      </c>
      <c r="M211" s="25">
        <f>MAX(0, I211)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>
        <f>I212</f>
        <v/>
      </c>
      <c r="J212" s="24" t="n">
        <v>0</v>
      </c>
      <c r="K212" s="24" t="n">
        <v>0</v>
      </c>
      <c r="L212" s="24" t="n">
        <v>0</v>
      </c>
      <c r="M212" s="24">
        <f>MAX(0, I212)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>
        <f>I213</f>
        <v/>
      </c>
      <c r="J213" s="25" t="n">
        <v>0</v>
      </c>
      <c r="K213" s="25" t="n">
        <v>0</v>
      </c>
      <c r="L213" s="25" t="n">
        <v>0</v>
      </c>
      <c r="M213" s="25">
        <f>MAX(0, I213)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>
        <f>I214</f>
        <v/>
      </c>
      <c r="J214" s="24" t="n">
        <v>0</v>
      </c>
      <c r="K214" s="24" t="n">
        <v>0</v>
      </c>
      <c r="L214" s="24" t="n">
        <v>0</v>
      </c>
      <c r="M214" s="24">
        <f>MAX(0, I214)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>
        <f>I215</f>
        <v/>
      </c>
      <c r="J215" s="25" t="n">
        <v>0</v>
      </c>
      <c r="K215" s="25" t="n">
        <v>0</v>
      </c>
      <c r="L215" s="25" t="n">
        <v>0</v>
      </c>
      <c r="M215" s="25">
        <f>MAX(0, I215)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>
        <f>I216</f>
        <v/>
      </c>
      <c r="J216" s="24" t="n">
        <v>0</v>
      </c>
      <c r="K216" s="24" t="n">
        <v>0</v>
      </c>
      <c r="L216" s="24" t="n">
        <v>0</v>
      </c>
      <c r="M216" s="24">
        <f>MAX(0, I216)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>
        <f>I217</f>
        <v/>
      </c>
      <c r="J217" s="25" t="n">
        <v>0</v>
      </c>
      <c r="K217" s="25" t="n">
        <v>0</v>
      </c>
      <c r="L217" s="25" t="n">
        <v>0</v>
      </c>
      <c r="M217" s="25">
        <f>MAX(0, I217)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>
        <f>I218</f>
        <v/>
      </c>
      <c r="J218" s="24" t="n">
        <v>0</v>
      </c>
      <c r="K218" s="24" t="n">
        <v>0</v>
      </c>
      <c r="L218" s="24" t="n">
        <v>0</v>
      </c>
      <c r="M218" s="24">
        <f>MAX(0, I218)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>
        <f>I219</f>
        <v/>
      </c>
      <c r="J219" s="25" t="n">
        <v>0</v>
      </c>
      <c r="K219" s="25" t="n">
        <v>0</v>
      </c>
      <c r="L219" s="25" t="n">
        <v>0</v>
      </c>
      <c r="M219" s="25">
        <f>MAX(0, I219)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>
        <f>I220</f>
        <v/>
      </c>
      <c r="J220" s="24" t="n">
        <v>0</v>
      </c>
      <c r="K220" s="24" t="n">
        <v>0</v>
      </c>
      <c r="L220" s="24" t="n">
        <v>0</v>
      </c>
      <c r="M220" s="24">
        <f>MAX(0, I220)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>
        <f>I221</f>
        <v/>
      </c>
      <c r="J221" s="25" t="n">
        <v>0</v>
      </c>
      <c r="K221" s="25" t="n">
        <v>0</v>
      </c>
      <c r="L221" s="25" t="n">
        <v>0</v>
      </c>
      <c r="M221" s="25">
        <f>MAX(0, I221)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>
        <f>I222</f>
        <v/>
      </c>
      <c r="J222" s="24" t="n">
        <v>0</v>
      </c>
      <c r="K222" s="24" t="n">
        <v>0</v>
      </c>
      <c r="L222" s="24" t="n">
        <v>0</v>
      </c>
      <c r="M222" s="24">
        <f>MAX(0, I222)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>
        <f>I223</f>
        <v/>
      </c>
      <c r="J223" s="25" t="n">
        <v>0</v>
      </c>
      <c r="K223" s="25" t="n">
        <v>0</v>
      </c>
      <c r="L223" s="25" t="n">
        <v>0</v>
      </c>
      <c r="M223" s="25">
        <f>MAX(0, I223)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>
        <f>I224</f>
        <v/>
      </c>
      <c r="J224" s="24" t="n">
        <v>0</v>
      </c>
      <c r="K224" s="24" t="n">
        <v>0</v>
      </c>
      <c r="L224" s="24" t="n">
        <v>0</v>
      </c>
      <c r="M224" s="24">
        <f>MAX(0, I224)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>
        <f>I225</f>
        <v/>
      </c>
      <c r="J225" s="25" t="n">
        <v>0</v>
      </c>
      <c r="K225" s="25" t="n">
        <v>0</v>
      </c>
      <c r="L225" s="25" t="n">
        <v>0</v>
      </c>
      <c r="M225" s="25">
        <f>MAX(0, I225)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>
        <f>I226</f>
        <v/>
      </c>
      <c r="J226" s="24" t="n">
        <v>0</v>
      </c>
      <c r="K226" s="24" t="n">
        <v>0</v>
      </c>
      <c r="L226" s="24" t="n">
        <v>0</v>
      </c>
      <c r="M226" s="24">
        <f>MAX(0, I226)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>
        <f>I227</f>
        <v/>
      </c>
      <c r="J227" s="25" t="n">
        <v>0</v>
      </c>
      <c r="K227" s="25" t="n">
        <v>0</v>
      </c>
      <c r="L227" s="25" t="n">
        <v>0</v>
      </c>
      <c r="M227" s="25">
        <f>MAX(0, I227)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>
        <f>I228</f>
        <v/>
      </c>
      <c r="J228" s="24" t="n">
        <v>0</v>
      </c>
      <c r="K228" s="24" t="n">
        <v>0</v>
      </c>
      <c r="L228" s="24" t="n">
        <v>0</v>
      </c>
      <c r="M228" s="24">
        <f>MAX(0, I228)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>
        <f>I229</f>
        <v/>
      </c>
      <c r="J229" s="25" t="n">
        <v>0</v>
      </c>
      <c r="K229" s="25" t="n">
        <v>0</v>
      </c>
      <c r="L229" s="25" t="n">
        <v>0</v>
      </c>
      <c r="M229" s="25">
        <f>MAX(0, I229)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>
        <f>I230</f>
        <v/>
      </c>
      <c r="J230" s="24" t="n">
        <v>0</v>
      </c>
      <c r="K230" s="24" t="n">
        <v>0</v>
      </c>
      <c r="L230" s="24" t="n">
        <v>0</v>
      </c>
      <c r="M230" s="24">
        <f>MAX(0, I230)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>
        <f>I231</f>
        <v/>
      </c>
      <c r="J231" s="25" t="n">
        <v>0</v>
      </c>
      <c r="K231" s="25" t="n">
        <v>0</v>
      </c>
      <c r="L231" s="25" t="n">
        <v>0</v>
      </c>
      <c r="M231" s="25">
        <f>MAX(0, I231)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>
        <f>I232</f>
        <v/>
      </c>
      <c r="J232" s="24" t="n">
        <v>0</v>
      </c>
      <c r="K232" s="24" t="n">
        <v>0</v>
      </c>
      <c r="L232" s="24" t="n">
        <v>0</v>
      </c>
      <c r="M232" s="24">
        <f>MAX(0, I232)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>
        <f>I233</f>
        <v/>
      </c>
      <c r="J233" s="25" t="n">
        <v>0</v>
      </c>
      <c r="K233" s="25" t="n">
        <v>0</v>
      </c>
      <c r="L233" s="25" t="n">
        <v>0</v>
      </c>
      <c r="M233" s="25">
        <f>MAX(0, I233)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>
        <f>I234</f>
        <v/>
      </c>
      <c r="J234" s="24" t="n">
        <v>0</v>
      </c>
      <c r="K234" s="24" t="n">
        <v>0</v>
      </c>
      <c r="L234" s="24" t="n">
        <v>0</v>
      </c>
      <c r="M234" s="24">
        <f>MAX(0, I234)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>
        <f>I235</f>
        <v/>
      </c>
      <c r="J235" s="25" t="n">
        <v>0</v>
      </c>
      <c r="K235" s="25" t="n">
        <v>0</v>
      </c>
      <c r="L235" s="25" t="n">
        <v>0</v>
      </c>
      <c r="M235" s="25">
        <f>MAX(0, I235)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>
        <f>I236</f>
        <v/>
      </c>
      <c r="J236" s="24" t="n">
        <v>0</v>
      </c>
      <c r="K236" s="24" t="n">
        <v>0</v>
      </c>
      <c r="L236" s="24" t="n">
        <v>0</v>
      </c>
      <c r="M236" s="24">
        <f>MAX(0, I236)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>
        <f>I237</f>
        <v/>
      </c>
      <c r="J237" s="25" t="n">
        <v>0</v>
      </c>
      <c r="K237" s="25" t="n">
        <v>0</v>
      </c>
      <c r="L237" s="25" t="n">
        <v>0</v>
      </c>
      <c r="M237" s="25">
        <f>MAX(0, I237)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>
        <f>I238</f>
        <v/>
      </c>
      <c r="J238" s="24" t="n">
        <v>0</v>
      </c>
      <c r="K238" s="24" t="n">
        <v>0</v>
      </c>
      <c r="L238" s="24" t="n">
        <v>0</v>
      </c>
      <c r="M238" s="24">
        <f>MAX(0, I238)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>
        <f>I239</f>
        <v/>
      </c>
      <c r="J239" s="25" t="n">
        <v>0</v>
      </c>
      <c r="K239" s="25" t="n">
        <v>0</v>
      </c>
      <c r="L239" s="25" t="n">
        <v>0</v>
      </c>
      <c r="M239" s="25">
        <f>MAX(0, I239)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>
        <f>I240</f>
        <v/>
      </c>
      <c r="J240" s="24" t="n">
        <v>0</v>
      </c>
      <c r="K240" s="24" t="n">
        <v>0</v>
      </c>
      <c r="L240" s="24" t="n">
        <v>0</v>
      </c>
      <c r="M240" s="24">
        <f>MAX(0, I240)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>
        <f>I241</f>
        <v/>
      </c>
      <c r="J241" s="25" t="n">
        <v>0</v>
      </c>
      <c r="K241" s="25" t="n">
        <v>0</v>
      </c>
      <c r="L241" s="25" t="n">
        <v>0</v>
      </c>
      <c r="M241" s="25">
        <f>MAX(0, I241)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>
        <f>I242</f>
        <v/>
      </c>
      <c r="J242" s="24" t="n">
        <v>0</v>
      </c>
      <c r="K242" s="24" t="n">
        <v>0</v>
      </c>
      <c r="L242" s="24" t="n">
        <v>0</v>
      </c>
      <c r="M242" s="24">
        <f>MAX(0, I242)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>
        <f>I243</f>
        <v/>
      </c>
      <c r="J243" s="25" t="n">
        <v>0</v>
      </c>
      <c r="K243" s="25" t="n">
        <v>0</v>
      </c>
      <c r="L243" s="25" t="n">
        <v>0</v>
      </c>
      <c r="M243" s="25">
        <f>MAX(0, I243)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>
        <f>I244</f>
        <v/>
      </c>
      <c r="J244" s="24" t="n">
        <v>0</v>
      </c>
      <c r="K244" s="24" t="n">
        <v>0</v>
      </c>
      <c r="L244" s="24" t="n">
        <v>0</v>
      </c>
      <c r="M244" s="24">
        <f>MAX(0, I244)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>
        <f>I245</f>
        <v/>
      </c>
      <c r="J245" s="25" t="n">
        <v>0</v>
      </c>
      <c r="K245" s="25" t="n">
        <v>0</v>
      </c>
      <c r="L245" s="25" t="n">
        <v>0</v>
      </c>
      <c r="M245" s="25">
        <f>MAX(0, I245)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>
        <f>I246</f>
        <v/>
      </c>
      <c r="J246" s="24" t="n">
        <v>0</v>
      </c>
      <c r="K246" s="24" t="n">
        <v>0</v>
      </c>
      <c r="L246" s="24" t="n">
        <v>0</v>
      </c>
      <c r="M246" s="24">
        <f>MAX(0, I246)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>
        <f>I247</f>
        <v/>
      </c>
      <c r="J247" s="25" t="n">
        <v>0</v>
      </c>
      <c r="K247" s="25" t="n">
        <v>0</v>
      </c>
      <c r="L247" s="25" t="n">
        <v>0</v>
      </c>
      <c r="M247" s="25">
        <f>MAX(0, I247)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>
        <f>I248</f>
        <v/>
      </c>
      <c r="J248" s="24" t="n">
        <v>0</v>
      </c>
      <c r="K248" s="24" t="n">
        <v>0</v>
      </c>
      <c r="L248" s="24" t="n">
        <v>0</v>
      </c>
      <c r="M248" s="24">
        <f>MAX(0, I248)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>
        <f>I249</f>
        <v/>
      </c>
      <c r="J249" s="25" t="n">
        <v>0</v>
      </c>
      <c r="K249" s="25" t="n">
        <v>0</v>
      </c>
      <c r="L249" s="25" t="n">
        <v>0</v>
      </c>
      <c r="M249" s="25">
        <f>MAX(0, I249)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>
        <f>I250</f>
        <v/>
      </c>
      <c r="J250" s="24" t="n">
        <v>0</v>
      </c>
      <c r="K250" s="24" t="n">
        <v>0</v>
      </c>
      <c r="L250" s="24" t="n">
        <v>0</v>
      </c>
      <c r="M250" s="24">
        <f>MAX(0, I250)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>
        <f>I251</f>
        <v/>
      </c>
      <c r="J251" s="25" t="n">
        <v>0</v>
      </c>
      <c r="K251" s="25" t="n">
        <v>0</v>
      </c>
      <c r="L251" s="25" t="n">
        <v>0</v>
      </c>
      <c r="M251" s="25">
        <f>MAX(0, I251)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>
        <f>I252</f>
        <v/>
      </c>
      <c r="J252" s="24" t="n">
        <v>0</v>
      </c>
      <c r="K252" s="24" t="n">
        <v>0</v>
      </c>
      <c r="L252" s="24" t="n">
        <v>0</v>
      </c>
      <c r="M252" s="24">
        <f>MAX(0, I252)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>
        <f>I253</f>
        <v/>
      </c>
      <c r="J253" s="25" t="n">
        <v>0</v>
      </c>
      <c r="K253" s="25" t="n">
        <v>0</v>
      </c>
      <c r="L253" s="25" t="n">
        <v>0</v>
      </c>
      <c r="M253" s="25">
        <f>MAX(0, I253)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>
        <f>I254</f>
        <v/>
      </c>
      <c r="J254" s="24" t="n">
        <v>0</v>
      </c>
      <c r="K254" s="24" t="n">
        <v>0</v>
      </c>
      <c r="L254" s="24" t="n">
        <v>0</v>
      </c>
      <c r="M254" s="24">
        <f>MAX(0, I254)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>
        <f>I255</f>
        <v/>
      </c>
      <c r="J255" s="25" t="n">
        <v>0</v>
      </c>
      <c r="K255" s="25" t="n">
        <v>0</v>
      </c>
      <c r="L255" s="25" t="n">
        <v>0</v>
      </c>
      <c r="M255" s="25">
        <f>MAX(0, I255)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>
        <f>I256</f>
        <v/>
      </c>
      <c r="J256" s="24" t="n">
        <v>0</v>
      </c>
      <c r="K256" s="24" t="n">
        <v>0</v>
      </c>
      <c r="L256" s="24" t="n">
        <v>0</v>
      </c>
      <c r="M256" s="24">
        <f>MAX(0, I256)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>
        <f>I257</f>
        <v/>
      </c>
      <c r="J257" s="25" t="n">
        <v>0</v>
      </c>
      <c r="K257" s="25" t="n">
        <v>0</v>
      </c>
      <c r="L257" s="25" t="n">
        <v>0</v>
      </c>
      <c r="M257" s="25">
        <f>MAX(0, I257)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>
        <f>I258</f>
        <v/>
      </c>
      <c r="J258" s="24" t="n">
        <v>0</v>
      </c>
      <c r="K258" s="24" t="n">
        <v>0</v>
      </c>
      <c r="L258" s="24" t="n">
        <v>0</v>
      </c>
      <c r="M258" s="24">
        <f>MAX(0, I258)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>
        <f>I259</f>
        <v/>
      </c>
      <c r="J259" s="25" t="n">
        <v>0</v>
      </c>
      <c r="K259" s="25" t="n">
        <v>0</v>
      </c>
      <c r="L259" s="25" t="n">
        <v>0</v>
      </c>
      <c r="M259" s="25">
        <f>MAX(0, I259)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>
        <f>I260</f>
        <v/>
      </c>
      <c r="J260" s="24" t="n">
        <v>0</v>
      </c>
      <c r="K260" s="24" t="n">
        <v>0</v>
      </c>
      <c r="L260" s="24" t="n">
        <v>0</v>
      </c>
      <c r="M260" s="24">
        <f>MAX(0, I260)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>
        <f>I261</f>
        <v/>
      </c>
      <c r="J261" s="25" t="n">
        <v>0</v>
      </c>
      <c r="K261" s="25" t="n">
        <v>0</v>
      </c>
      <c r="L261" s="25" t="n">
        <v>0</v>
      </c>
      <c r="M261" s="25">
        <f>MAX(0, I261)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>
        <f>I262</f>
        <v/>
      </c>
      <c r="J262" s="24" t="n">
        <v>0</v>
      </c>
      <c r="K262" s="24" t="n">
        <v>0</v>
      </c>
      <c r="L262" s="24" t="n">
        <v>0</v>
      </c>
      <c r="M262" s="24">
        <f>MAX(0, I262)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>
        <f>I263</f>
        <v/>
      </c>
      <c r="J263" s="25" t="n">
        <v>0</v>
      </c>
      <c r="K263" s="25" t="n">
        <v>0</v>
      </c>
      <c r="L263" s="25" t="n">
        <v>0</v>
      </c>
      <c r="M263" s="25">
        <f>MAX(0, I263)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>
        <f>I264</f>
        <v/>
      </c>
      <c r="J264" s="24" t="n">
        <v>0</v>
      </c>
      <c r="K264" s="24" t="n">
        <v>0</v>
      </c>
      <c r="L264" s="24" t="n">
        <v>0</v>
      </c>
      <c r="M264" s="24">
        <f>MAX(0, I264)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>
        <f>I265</f>
        <v/>
      </c>
      <c r="J265" s="25" t="n">
        <v>0</v>
      </c>
      <c r="K265" s="25" t="n">
        <v>0</v>
      </c>
      <c r="L265" s="25" t="n">
        <v>0</v>
      </c>
      <c r="M265" s="25">
        <f>MAX(0, I265)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>
        <f>I266</f>
        <v/>
      </c>
      <c r="J266" s="24" t="n">
        <v>0</v>
      </c>
      <c r="K266" s="24" t="n">
        <v>0</v>
      </c>
      <c r="L266" s="24" t="n">
        <v>0</v>
      </c>
      <c r="M266" s="24">
        <f>MAX(0, I266)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>
        <f>I267</f>
        <v/>
      </c>
      <c r="J267" s="25" t="n">
        <v>0</v>
      </c>
      <c r="K267" s="25" t="n">
        <v>0</v>
      </c>
      <c r="L267" s="25" t="n">
        <v>0</v>
      </c>
      <c r="M267" s="25">
        <f>MAX(0, I267)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>
        <f>I268</f>
        <v/>
      </c>
      <c r="J268" s="24" t="n">
        <v>0</v>
      </c>
      <c r="K268" s="24" t="n">
        <v>0</v>
      </c>
      <c r="L268" s="24" t="n">
        <v>0</v>
      </c>
      <c r="M268" s="24">
        <f>MAX(0, I268)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>
        <f>I269</f>
        <v/>
      </c>
      <c r="J269" s="25" t="n">
        <v>0</v>
      </c>
      <c r="K269" s="25" t="n">
        <v>0</v>
      </c>
      <c r="L269" s="25" t="n">
        <v>0</v>
      </c>
      <c r="M269" s="25">
        <f>MAX(0, I269)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>
        <f>I270</f>
        <v/>
      </c>
      <c r="J270" s="24" t="n">
        <v>0</v>
      </c>
      <c r="K270" s="24" t="n">
        <v>0</v>
      </c>
      <c r="L270" s="24" t="n">
        <v>0</v>
      </c>
      <c r="M270" s="24">
        <f>MAX(0, I270)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>
        <f>I271</f>
        <v/>
      </c>
      <c r="J271" s="25" t="n">
        <v>0</v>
      </c>
      <c r="K271" s="25" t="n">
        <v>0</v>
      </c>
      <c r="L271" s="25" t="n">
        <v>0</v>
      </c>
      <c r="M271" s="25">
        <f>MAX(0, I271)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>
        <f>I272</f>
        <v/>
      </c>
      <c r="J272" s="24" t="n">
        <v>0</v>
      </c>
      <c r="K272" s="24" t="n">
        <v>0</v>
      </c>
      <c r="L272" s="24" t="n">
        <v>0</v>
      </c>
      <c r="M272" s="24">
        <f>MAX(0, I272)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>
        <f>I273</f>
        <v/>
      </c>
      <c r="J273" s="25" t="n">
        <v>0</v>
      </c>
      <c r="K273" s="25" t="n">
        <v>0</v>
      </c>
      <c r="L273" s="25" t="n">
        <v>0</v>
      </c>
      <c r="M273" s="25">
        <f>MAX(0, I273)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>
        <f>I274</f>
        <v/>
      </c>
      <c r="J274" s="24" t="n">
        <v>0</v>
      </c>
      <c r="K274" s="24" t="n">
        <v>0</v>
      </c>
      <c r="L274" s="24" t="n">
        <v>0</v>
      </c>
      <c r="M274" s="24">
        <f>MAX(0, I274)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>
        <f>I275</f>
        <v/>
      </c>
      <c r="J275" s="25" t="n">
        <v>0</v>
      </c>
      <c r="K275" s="25" t="n">
        <v>0</v>
      </c>
      <c r="L275" s="25" t="n">
        <v>0</v>
      </c>
      <c r="M275" s="25">
        <f>MAX(0, I275)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>
        <f>I276</f>
        <v/>
      </c>
      <c r="J276" s="24" t="n">
        <v>0</v>
      </c>
      <c r="K276" s="24" t="n">
        <v>0</v>
      </c>
      <c r="L276" s="24" t="n">
        <v>0</v>
      </c>
      <c r="M276" s="24">
        <f>MAX(0, I276)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>
        <f>I277</f>
        <v/>
      </c>
      <c r="J277" s="25" t="n">
        <v>0</v>
      </c>
      <c r="K277" s="25" t="n">
        <v>0</v>
      </c>
      <c r="L277" s="25" t="n">
        <v>0</v>
      </c>
      <c r="M277" s="25">
        <f>MAX(0, I277)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>
        <f>I278</f>
        <v/>
      </c>
      <c r="J278" s="24" t="n">
        <v>0</v>
      </c>
      <c r="K278" s="24" t="n">
        <v>0</v>
      </c>
      <c r="L278" s="24" t="n">
        <v>0</v>
      </c>
      <c r="M278" s="24">
        <f>MAX(0, I278)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>
        <f>I279</f>
        <v/>
      </c>
      <c r="J279" s="25" t="n">
        <v>0</v>
      </c>
      <c r="K279" s="25" t="n">
        <v>0</v>
      </c>
      <c r="L279" s="25" t="n">
        <v>0</v>
      </c>
      <c r="M279" s="25">
        <f>MAX(0, I279)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>
        <f>I280</f>
        <v/>
      </c>
      <c r="J280" s="24" t="n">
        <v>0</v>
      </c>
      <c r="K280" s="24" t="n">
        <v>0</v>
      </c>
      <c r="L280" s="24" t="n">
        <v>0</v>
      </c>
      <c r="M280" s="24">
        <f>MAX(0, I280)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>
        <f>I281</f>
        <v/>
      </c>
      <c r="J281" s="25" t="n">
        <v>0</v>
      </c>
      <c r="K281" s="25" t="n">
        <v>0</v>
      </c>
      <c r="L281" s="25" t="n">
        <v>0</v>
      </c>
      <c r="M281" s="25">
        <f>MAX(0, I281)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>
        <f>I282</f>
        <v/>
      </c>
      <c r="J282" s="24" t="n">
        <v>0</v>
      </c>
      <c r="K282" s="24" t="n">
        <v>0</v>
      </c>
      <c r="L282" s="24" t="n">
        <v>0</v>
      </c>
      <c r="M282" s="24">
        <f>MAX(0, I282)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>
        <f>I283</f>
        <v/>
      </c>
      <c r="J283" s="25" t="n">
        <v>0</v>
      </c>
      <c r="K283" s="25" t="n">
        <v>0</v>
      </c>
      <c r="L283" s="25" t="n">
        <v>0</v>
      </c>
      <c r="M283" s="25">
        <f>MAX(0, I283)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>
        <f>I284</f>
        <v/>
      </c>
      <c r="J284" s="24" t="n">
        <v>0</v>
      </c>
      <c r="K284" s="24" t="n">
        <v>0</v>
      </c>
      <c r="L284" s="24" t="n">
        <v>0</v>
      </c>
      <c r="M284" s="24">
        <f>MAX(0, I284)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>
        <f>I285</f>
        <v/>
      </c>
      <c r="J285" s="25" t="n">
        <v>0</v>
      </c>
      <c r="K285" s="25" t="n">
        <v>0</v>
      </c>
      <c r="L285" s="25" t="n">
        <v>0</v>
      </c>
      <c r="M285" s="25">
        <f>MAX(0, I285)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>
        <f>I286</f>
        <v/>
      </c>
      <c r="J286" s="24" t="n">
        <v>0</v>
      </c>
      <c r="K286" s="24" t="n">
        <v>0</v>
      </c>
      <c r="L286" s="24" t="n">
        <v>0</v>
      </c>
      <c r="M286" s="24">
        <f>MAX(0, I286)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>
        <f>I287</f>
        <v/>
      </c>
      <c r="J287" s="25" t="n">
        <v>0</v>
      </c>
      <c r="K287" s="25" t="n">
        <v>0</v>
      </c>
      <c r="L287" s="25" t="n">
        <v>0</v>
      </c>
      <c r="M287" s="25">
        <f>MAX(0, I287)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>
        <f>I288</f>
        <v/>
      </c>
      <c r="J288" s="24" t="n">
        <v>0</v>
      </c>
      <c r="K288" s="24" t="n">
        <v>0</v>
      </c>
      <c r="L288" s="24" t="n">
        <v>0</v>
      </c>
      <c r="M288" s="24">
        <f>MAX(0, I288)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>
        <f>I289</f>
        <v/>
      </c>
      <c r="J289" s="25" t="n">
        <v>0</v>
      </c>
      <c r="K289" s="25" t="n">
        <v>0</v>
      </c>
      <c r="L289" s="25" t="n">
        <v>0</v>
      </c>
      <c r="M289" s="25">
        <f>MAX(0, I289)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>
        <f>I290</f>
        <v/>
      </c>
      <c r="J290" s="24" t="n">
        <v>0</v>
      </c>
      <c r="K290" s="24" t="n">
        <v>0</v>
      </c>
      <c r="L290" s="24" t="n">
        <v>0</v>
      </c>
      <c r="M290" s="24">
        <f>MAX(0, I290)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>
        <f>I291</f>
        <v/>
      </c>
      <c r="J291" s="25" t="n">
        <v>0</v>
      </c>
      <c r="K291" s="25" t="n">
        <v>0</v>
      </c>
      <c r="L291" s="25" t="n">
        <v>0</v>
      </c>
      <c r="M291" s="25">
        <f>MAX(0, I291)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>
        <f>I292</f>
        <v/>
      </c>
      <c r="J292" s="24" t="n">
        <v>0</v>
      </c>
      <c r="K292" s="24" t="n">
        <v>0</v>
      </c>
      <c r="L292" s="24" t="n">
        <v>0</v>
      </c>
      <c r="M292" s="24">
        <f>MAX(0, I292)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>
        <f>I293</f>
        <v/>
      </c>
      <c r="J293" s="25" t="n">
        <v>0</v>
      </c>
      <c r="K293" s="25" t="n">
        <v>0</v>
      </c>
      <c r="L293" s="25" t="n">
        <v>0</v>
      </c>
      <c r="M293" s="25">
        <f>MAX(0, I293)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>
        <f>I294</f>
        <v/>
      </c>
      <c r="J294" s="24" t="n">
        <v>0</v>
      </c>
      <c r="K294" s="24" t="n">
        <v>0</v>
      </c>
      <c r="L294" s="24" t="n">
        <v>0</v>
      </c>
      <c r="M294" s="24">
        <f>MAX(0, I294)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>
        <f>I295</f>
        <v/>
      </c>
      <c r="J295" s="25" t="n">
        <v>0</v>
      </c>
      <c r="K295" s="25" t="n">
        <v>0</v>
      </c>
      <c r="L295" s="25" t="n">
        <v>0</v>
      </c>
      <c r="M295" s="25">
        <f>MAX(0, I295)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>
        <f>I296</f>
        <v/>
      </c>
      <c r="J296" s="24" t="n">
        <v>0</v>
      </c>
      <c r="K296" s="24" t="n">
        <v>0</v>
      </c>
      <c r="L296" s="24" t="n">
        <v>0</v>
      </c>
      <c r="M296" s="24">
        <f>MAX(0, I296)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>
        <f>I297</f>
        <v/>
      </c>
      <c r="J297" s="25" t="n">
        <v>0</v>
      </c>
      <c r="K297" s="25" t="n">
        <v>0</v>
      </c>
      <c r="L297" s="25" t="n">
        <v>0</v>
      </c>
      <c r="M297" s="25">
        <f>MAX(0, I297)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>
        <f>I298</f>
        <v/>
      </c>
      <c r="J298" s="24" t="n">
        <v>0</v>
      </c>
      <c r="K298" s="24" t="n">
        <v>0</v>
      </c>
      <c r="L298" s="24" t="n">
        <v>0</v>
      </c>
      <c r="M298" s="24">
        <f>MAX(0, I298)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>
        <f>I299</f>
        <v/>
      </c>
      <c r="J299" s="25" t="n">
        <v>0</v>
      </c>
      <c r="K299" s="25" t="n">
        <v>0</v>
      </c>
      <c r="L299" s="25" t="n">
        <v>0</v>
      </c>
      <c r="M299" s="25">
        <f>MAX(0, I299)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>
        <f>I300</f>
        <v/>
      </c>
      <c r="J300" s="24" t="n">
        <v>0</v>
      </c>
      <c r="K300" s="24" t="n">
        <v>0</v>
      </c>
      <c r="L300" s="24" t="n">
        <v>0</v>
      </c>
      <c r="M300" s="24">
        <f>MAX(0, I300)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>
        <f>I301</f>
        <v/>
      </c>
      <c r="J301" s="25" t="n">
        <v>0</v>
      </c>
      <c r="K301" s="25" t="n">
        <v>0</v>
      </c>
      <c r="L301" s="25" t="n">
        <v>0</v>
      </c>
      <c r="M301" s="25">
        <f>MAX(0, I301)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>
        <f>I302</f>
        <v/>
      </c>
      <c r="J302" s="24" t="n">
        <v>0</v>
      </c>
      <c r="K302" s="24" t="n">
        <v>0</v>
      </c>
      <c r="L302" s="24" t="n">
        <v>0</v>
      </c>
      <c r="M302" s="24">
        <f>MAX(0, I302)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>
        <f>I303</f>
        <v/>
      </c>
      <c r="J303" s="25" t="n">
        <v>0</v>
      </c>
      <c r="K303" s="25" t="n">
        <v>0</v>
      </c>
      <c r="L303" s="25" t="n">
        <v>0</v>
      </c>
      <c r="M303" s="25">
        <f>MAX(0, I303)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>
        <f>I304</f>
        <v/>
      </c>
      <c r="J304" s="24" t="n">
        <v>0</v>
      </c>
      <c r="K304" s="24" t="n">
        <v>0</v>
      </c>
      <c r="L304" s="24" t="n">
        <v>0</v>
      </c>
      <c r="M304" s="24">
        <f>MAX(0, I304)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>
        <f>I305</f>
        <v/>
      </c>
      <c r="J305" s="25" t="n">
        <v>0</v>
      </c>
      <c r="K305" s="25" t="n">
        <v>0</v>
      </c>
      <c r="L305" s="25" t="n">
        <v>0</v>
      </c>
      <c r="M305" s="25">
        <f>MAX(0, I305)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>
        <f>I306</f>
        <v/>
      </c>
      <c r="J306" s="24" t="n">
        <v>0</v>
      </c>
      <c r="K306" s="24" t="n">
        <v>0</v>
      </c>
      <c r="L306" s="24" t="n">
        <v>0</v>
      </c>
      <c r="M306" s="24">
        <f>MAX(0, I306)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>
        <f>I307</f>
        <v/>
      </c>
      <c r="J307" s="25" t="n">
        <v>0</v>
      </c>
      <c r="K307" s="25" t="n">
        <v>0</v>
      </c>
      <c r="L307" s="25" t="n">
        <v>0</v>
      </c>
      <c r="M307" s="25">
        <f>MAX(0, I307)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>
        <f>I308</f>
        <v/>
      </c>
      <c r="J308" s="24" t="n">
        <v>0</v>
      </c>
      <c r="K308" s="24" t="n">
        <v>0</v>
      </c>
      <c r="L308" s="24" t="n">
        <v>0</v>
      </c>
      <c r="M308" s="24">
        <f>MAX(0, I308)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>
        <f>I309</f>
        <v/>
      </c>
      <c r="J309" s="25" t="n">
        <v>0</v>
      </c>
      <c r="K309" s="25" t="n">
        <v>0</v>
      </c>
      <c r="L309" s="25" t="n">
        <v>0</v>
      </c>
      <c r="M309" s="25">
        <f>MAX(0, I309)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>
        <f>I310</f>
        <v/>
      </c>
      <c r="J310" s="24" t="n">
        <v>0</v>
      </c>
      <c r="K310" s="24" t="n">
        <v>0</v>
      </c>
      <c r="L310" s="24" t="n">
        <v>0</v>
      </c>
      <c r="M310" s="24">
        <f>MAX(0, I310)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>
        <f>I311</f>
        <v/>
      </c>
      <c r="J311" s="25" t="n">
        <v>0</v>
      </c>
      <c r="K311" s="25" t="n">
        <v>0</v>
      </c>
      <c r="L311" s="25" t="n">
        <v>0</v>
      </c>
      <c r="M311" s="25">
        <f>MAX(0, I311)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>
        <f>I312</f>
        <v/>
      </c>
      <c r="J312" s="24" t="n">
        <v>0</v>
      </c>
      <c r="K312" s="24" t="n">
        <v>0</v>
      </c>
      <c r="L312" s="24" t="n">
        <v>0</v>
      </c>
      <c r="M312" s="24">
        <f>MAX(0, I312)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>
        <f>I313</f>
        <v/>
      </c>
      <c r="J313" s="25" t="n">
        <v>0</v>
      </c>
      <c r="K313" s="25" t="n">
        <v>0</v>
      </c>
      <c r="L313" s="25" t="n">
        <v>0</v>
      </c>
      <c r="M313" s="25">
        <f>MAX(0, I313)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>
        <f>I314</f>
        <v/>
      </c>
      <c r="J314" s="24" t="n">
        <v>0</v>
      </c>
      <c r="K314" s="24" t="n">
        <v>0</v>
      </c>
      <c r="L314" s="24" t="n">
        <v>0</v>
      </c>
      <c r="M314" s="24">
        <f>MAX(0, I314)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>
        <f>I315</f>
        <v/>
      </c>
      <c r="J315" s="25" t="n">
        <v>0</v>
      </c>
      <c r="K315" s="25" t="n">
        <v>0</v>
      </c>
      <c r="L315" s="25" t="n">
        <v>0</v>
      </c>
      <c r="M315" s="25">
        <f>MAX(0, I315)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>
        <f>I316</f>
        <v/>
      </c>
      <c r="J316" s="24" t="n">
        <v>0</v>
      </c>
      <c r="K316" s="24" t="n">
        <v>0</v>
      </c>
      <c r="L316" s="24" t="n">
        <v>0</v>
      </c>
      <c r="M316" s="24">
        <f>MAX(0, I316)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>
        <f>I317</f>
        <v/>
      </c>
      <c r="J317" s="25" t="n">
        <v>0</v>
      </c>
      <c r="K317" s="25" t="n">
        <v>0</v>
      </c>
      <c r="L317" s="25" t="n">
        <v>0</v>
      </c>
      <c r="M317" s="25">
        <f>MAX(0, I317)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>
        <f>I318</f>
        <v/>
      </c>
      <c r="J318" s="24" t="n">
        <v>0</v>
      </c>
      <c r="K318" s="24" t="n">
        <v>0</v>
      </c>
      <c r="L318" s="24" t="n">
        <v>0</v>
      </c>
      <c r="M318" s="24">
        <f>MAX(0, I318)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>
        <f>I319</f>
        <v/>
      </c>
      <c r="J319" s="25" t="n">
        <v>0</v>
      </c>
      <c r="K319" s="25" t="n">
        <v>0</v>
      </c>
      <c r="L319" s="25" t="n">
        <v>0</v>
      </c>
      <c r="M319" s="25">
        <f>MAX(0, I319)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>
        <f>I320</f>
        <v/>
      </c>
      <c r="J320" s="24" t="n">
        <v>0</v>
      </c>
      <c r="K320" s="24" t="n">
        <v>0</v>
      </c>
      <c r="L320" s="24" t="n">
        <v>0</v>
      </c>
      <c r="M320" s="24">
        <f>MAX(0, I320)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>
        <f>I321</f>
        <v/>
      </c>
      <c r="J321" s="25" t="n">
        <v>0</v>
      </c>
      <c r="K321" s="25" t="n">
        <v>0</v>
      </c>
      <c r="L321" s="25" t="n">
        <v>0</v>
      </c>
      <c r="M321" s="25">
        <f>MAX(0, I321)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>
        <f>I322</f>
        <v/>
      </c>
      <c r="J322" s="24" t="n">
        <v>0</v>
      </c>
      <c r="K322" s="24" t="n">
        <v>0</v>
      </c>
      <c r="L322" s="24" t="n">
        <v>0</v>
      </c>
      <c r="M322" s="24">
        <f>MAX(0, I322)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>
        <f>I323</f>
        <v/>
      </c>
      <c r="J323" s="25" t="n">
        <v>0</v>
      </c>
      <c r="K323" s="25" t="n">
        <v>0</v>
      </c>
      <c r="L323" s="25" t="n">
        <v>0</v>
      </c>
      <c r="M323" s="25">
        <f>MAX(0, I323)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>
        <f>I324</f>
        <v/>
      </c>
      <c r="J324" s="24" t="n">
        <v>0</v>
      </c>
      <c r="K324" s="24" t="n">
        <v>0</v>
      </c>
      <c r="L324" s="24" t="n">
        <v>0</v>
      </c>
      <c r="M324" s="24">
        <f>MAX(0, I324)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>
        <f>I325</f>
        <v/>
      </c>
      <c r="J325" s="25" t="n">
        <v>0</v>
      </c>
      <c r="K325" s="25" t="n">
        <v>0</v>
      </c>
      <c r="L325" s="25" t="n">
        <v>0</v>
      </c>
      <c r="M325" s="25">
        <f>MAX(0, I325)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>
        <f>I326</f>
        <v/>
      </c>
      <c r="J326" s="24" t="n">
        <v>0</v>
      </c>
      <c r="K326" s="24" t="n">
        <v>0</v>
      </c>
      <c r="L326" s="24" t="n">
        <v>0</v>
      </c>
      <c r="M326" s="24">
        <f>MAX(0, I326)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>
        <f>I327</f>
        <v/>
      </c>
      <c r="J327" s="25" t="n">
        <v>0</v>
      </c>
      <c r="K327" s="25" t="n">
        <v>0</v>
      </c>
      <c r="L327" s="25" t="n">
        <v>0</v>
      </c>
      <c r="M327" s="25">
        <f>MAX(0, I327)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>
        <f>I328</f>
        <v/>
      </c>
      <c r="J328" s="24" t="n">
        <v>0</v>
      </c>
      <c r="K328" s="24" t="n">
        <v>0</v>
      </c>
      <c r="L328" s="24" t="n">
        <v>0</v>
      </c>
      <c r="M328" s="24">
        <f>MAX(0, I328)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>
        <f>I329</f>
        <v/>
      </c>
      <c r="J329" s="25" t="n">
        <v>0</v>
      </c>
      <c r="K329" s="25" t="n">
        <v>0</v>
      </c>
      <c r="L329" s="25" t="n">
        <v>0</v>
      </c>
      <c r="M329" s="25">
        <f>MAX(0, I329)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>
        <f>I330</f>
        <v/>
      </c>
      <c r="J330" s="24" t="n">
        <v>0</v>
      </c>
      <c r="K330" s="24" t="n">
        <v>0</v>
      </c>
      <c r="L330" s="24" t="n">
        <v>0</v>
      </c>
      <c r="M330" s="24">
        <f>MAX(0, I330)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>
        <f>I331</f>
        <v/>
      </c>
      <c r="J331" s="25" t="n">
        <v>0</v>
      </c>
      <c r="K331" s="25" t="n">
        <v>0</v>
      </c>
      <c r="L331" s="25" t="n">
        <v>0</v>
      </c>
      <c r="M331" s="25">
        <f>MAX(0, I331)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>
        <f>I332</f>
        <v/>
      </c>
      <c r="J332" s="24" t="n">
        <v>0</v>
      </c>
      <c r="K332" s="24" t="n">
        <v>0</v>
      </c>
      <c r="L332" s="24" t="n">
        <v>0</v>
      </c>
      <c r="M332" s="24">
        <f>MAX(0, I332)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>
        <f>I333</f>
        <v/>
      </c>
      <c r="J333" s="25" t="n">
        <v>0</v>
      </c>
      <c r="K333" s="25" t="n">
        <v>0</v>
      </c>
      <c r="L333" s="25" t="n">
        <v>0</v>
      </c>
      <c r="M333" s="25">
        <f>MAX(0, I333)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>
        <f>I334</f>
        <v/>
      </c>
      <c r="J334" s="24" t="n">
        <v>0</v>
      </c>
      <c r="K334" s="24" t="n">
        <v>0</v>
      </c>
      <c r="L334" s="24" t="n">
        <v>0</v>
      </c>
      <c r="M334" s="24">
        <f>MAX(0, I334)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>
        <f>I335</f>
        <v/>
      </c>
      <c r="J335" s="25" t="n">
        <v>0</v>
      </c>
      <c r="K335" s="25" t="n">
        <v>0</v>
      </c>
      <c r="L335" s="25" t="n">
        <v>0</v>
      </c>
      <c r="M335" s="25">
        <f>MAX(0, I335)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>
        <f>I336</f>
        <v/>
      </c>
      <c r="J336" s="24" t="n">
        <v>0</v>
      </c>
      <c r="K336" s="24" t="n">
        <v>0</v>
      </c>
      <c r="L336" s="24" t="n">
        <v>0</v>
      </c>
      <c r="M336" s="24">
        <f>MAX(0, I336)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>
        <f>I337</f>
        <v/>
      </c>
      <c r="J337" s="25" t="n">
        <v>0</v>
      </c>
      <c r="K337" s="25" t="n">
        <v>0</v>
      </c>
      <c r="L337" s="25" t="n">
        <v>0</v>
      </c>
      <c r="M337" s="25">
        <f>MAX(0, I337)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>
        <f>I338</f>
        <v/>
      </c>
      <c r="J338" s="24" t="n">
        <v>0</v>
      </c>
      <c r="K338" s="24" t="n">
        <v>0</v>
      </c>
      <c r="L338" s="24" t="n">
        <v>0</v>
      </c>
      <c r="M338" s="24">
        <f>MAX(0, I338)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>
        <f>I339</f>
        <v/>
      </c>
      <c r="J339" s="25" t="n">
        <v>0</v>
      </c>
      <c r="K339" s="25" t="n">
        <v>0</v>
      </c>
      <c r="L339" s="25" t="n">
        <v>0</v>
      </c>
      <c r="M339" s="25">
        <f>MAX(0, I339)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>
        <f>I340</f>
        <v/>
      </c>
      <c r="J340" s="24" t="n">
        <v>0</v>
      </c>
      <c r="K340" s="24" t="n">
        <v>0</v>
      </c>
      <c r="L340" s="24" t="n">
        <v>0</v>
      </c>
      <c r="M340" s="24">
        <f>MAX(0, I340)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>
        <f>I341</f>
        <v/>
      </c>
      <c r="J341" s="25" t="n">
        <v>0</v>
      </c>
      <c r="K341" s="25" t="n">
        <v>0</v>
      </c>
      <c r="L341" s="25" t="n">
        <v>0</v>
      </c>
      <c r="M341" s="25">
        <f>MAX(0, I341)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>
        <f>I342</f>
        <v/>
      </c>
      <c r="J342" s="24" t="n">
        <v>0</v>
      </c>
      <c r="K342" s="24" t="n">
        <v>0</v>
      </c>
      <c r="L342" s="24" t="n">
        <v>0</v>
      </c>
      <c r="M342" s="24">
        <f>MAX(0, I342)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>
        <f>I343</f>
        <v/>
      </c>
      <c r="J343" s="25" t="n">
        <v>0</v>
      </c>
      <c r="K343" s="25" t="n">
        <v>0</v>
      </c>
      <c r="L343" s="25" t="n">
        <v>0</v>
      </c>
      <c r="M343" s="25">
        <f>MAX(0, I343)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>
        <f>I344</f>
        <v/>
      </c>
      <c r="J344" s="24" t="n">
        <v>0</v>
      </c>
      <c r="K344" s="24" t="n">
        <v>0</v>
      </c>
      <c r="L344" s="24" t="n">
        <v>0</v>
      </c>
      <c r="M344" s="24">
        <f>MAX(0, I344)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>
        <f>I345</f>
        <v/>
      </c>
      <c r="J345" s="25" t="n">
        <v>0</v>
      </c>
      <c r="K345" s="25" t="n">
        <v>0</v>
      </c>
      <c r="L345" s="25" t="n">
        <v>0</v>
      </c>
      <c r="M345" s="25">
        <f>MAX(0, I345)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>
        <f>I346</f>
        <v/>
      </c>
      <c r="J346" s="24" t="n">
        <v>0</v>
      </c>
      <c r="K346" s="24" t="n">
        <v>0</v>
      </c>
      <c r="L346" s="24" t="n">
        <v>0</v>
      </c>
      <c r="M346" s="24">
        <f>MAX(0, I346)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>
        <f>I347</f>
        <v/>
      </c>
      <c r="J347" s="25" t="n">
        <v>0</v>
      </c>
      <c r="K347" s="25" t="n">
        <v>0</v>
      </c>
      <c r="L347" s="25" t="n">
        <v>0</v>
      </c>
      <c r="M347" s="25">
        <f>MAX(0, I347)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>
        <f>I348</f>
        <v/>
      </c>
      <c r="J348" s="24" t="n">
        <v>0</v>
      </c>
      <c r="K348" s="24" t="n">
        <v>0</v>
      </c>
      <c r="L348" s="24" t="n">
        <v>0</v>
      </c>
      <c r="M348" s="24">
        <f>MAX(0, I348)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>
        <f>I349</f>
        <v/>
      </c>
      <c r="J349" s="25" t="n">
        <v>0</v>
      </c>
      <c r="K349" s="25" t="n">
        <v>0</v>
      </c>
      <c r="L349" s="25" t="n">
        <v>0</v>
      </c>
      <c r="M349" s="25">
        <f>MAX(0, I349)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>
        <f>I350</f>
        <v/>
      </c>
      <c r="J350" s="24" t="n">
        <v>0</v>
      </c>
      <c r="K350" s="24" t="n">
        <v>0</v>
      </c>
      <c r="L350" s="24" t="n">
        <v>0</v>
      </c>
      <c r="M350" s="24">
        <f>MAX(0, I350)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>
        <f>I351</f>
        <v/>
      </c>
      <c r="J351" s="25" t="n">
        <v>0</v>
      </c>
      <c r="K351" s="25" t="n">
        <v>0</v>
      </c>
      <c r="L351" s="25" t="n">
        <v>0</v>
      </c>
      <c r="M351" s="25">
        <f>MAX(0, I351)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>
        <f>I352</f>
        <v/>
      </c>
      <c r="J352" s="24" t="n">
        <v>0</v>
      </c>
      <c r="K352" s="24" t="n">
        <v>0</v>
      </c>
      <c r="L352" s="24" t="n">
        <v>0</v>
      </c>
      <c r="M352" s="24">
        <f>MAX(0, I352)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>
        <f>I353</f>
        <v/>
      </c>
      <c r="J353" s="25" t="n">
        <v>0</v>
      </c>
      <c r="K353" s="25" t="n">
        <v>0</v>
      </c>
      <c r="L353" s="25" t="n">
        <v>0</v>
      </c>
      <c r="M353" s="25">
        <f>MAX(0, I353)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>
        <f>I354</f>
        <v/>
      </c>
      <c r="J354" s="24" t="n">
        <v>0</v>
      </c>
      <c r="K354" s="24" t="n">
        <v>0</v>
      </c>
      <c r="L354" s="24" t="n">
        <v>0</v>
      </c>
      <c r="M354" s="24">
        <f>MAX(0, I354)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>
        <f>I355</f>
        <v/>
      </c>
      <c r="J355" s="25" t="n">
        <v>0</v>
      </c>
      <c r="K355" s="25" t="n">
        <v>0</v>
      </c>
      <c r="L355" s="25" t="n">
        <v>0</v>
      </c>
      <c r="M355" s="25">
        <f>MAX(0, I355)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>
        <f>I356</f>
        <v/>
      </c>
      <c r="J356" s="24" t="n">
        <v>0</v>
      </c>
      <c r="K356" s="24" t="n">
        <v>0</v>
      </c>
      <c r="L356" s="24" t="n">
        <v>0</v>
      </c>
      <c r="M356" s="24">
        <f>MAX(0, I356)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>
        <f>I357</f>
        <v/>
      </c>
      <c r="J357" s="25" t="n">
        <v>0</v>
      </c>
      <c r="K357" s="25" t="n">
        <v>0</v>
      </c>
      <c r="L357" s="25" t="n">
        <v>0</v>
      </c>
      <c r="M357" s="25">
        <f>MAX(0, I357)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>
        <f>I358</f>
        <v/>
      </c>
      <c r="J358" s="24" t="n">
        <v>0</v>
      </c>
      <c r="K358" s="24" t="n">
        <v>0</v>
      </c>
      <c r="L358" s="24" t="n">
        <v>0</v>
      </c>
      <c r="M358" s="24">
        <f>MAX(0, I358)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>
        <f>I359</f>
        <v/>
      </c>
      <c r="J359" s="25" t="n">
        <v>0</v>
      </c>
      <c r="K359" s="25" t="n">
        <v>0</v>
      </c>
      <c r="L359" s="25" t="n">
        <v>0</v>
      </c>
      <c r="M359" s="25">
        <f>MAX(0, I359)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>
        <f>I360</f>
        <v/>
      </c>
      <c r="J360" s="24" t="n">
        <v>0</v>
      </c>
      <c r="K360" s="24" t="n">
        <v>0</v>
      </c>
      <c r="L360" s="24" t="n">
        <v>0</v>
      </c>
      <c r="M360" s="24">
        <f>MAX(0, I360)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>
        <f>I361</f>
        <v/>
      </c>
      <c r="J361" s="25" t="n">
        <v>0</v>
      </c>
      <c r="K361" s="25" t="n">
        <v>0</v>
      </c>
      <c r="L361" s="25" t="n">
        <v>0</v>
      </c>
      <c r="M361" s="25">
        <f>MAX(0, I361)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>
        <f>I362</f>
        <v/>
      </c>
      <c r="J362" s="24" t="n">
        <v>0</v>
      </c>
      <c r="K362" s="24" t="n">
        <v>0</v>
      </c>
      <c r="L362" s="24" t="n">
        <v>0</v>
      </c>
      <c r="M362" s="24">
        <f>MAX(0, I362)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>
        <f>I363</f>
        <v/>
      </c>
      <c r="J363" s="25" t="n">
        <v>0</v>
      </c>
      <c r="K363" s="25" t="n">
        <v>0</v>
      </c>
      <c r="L363" s="25" t="n">
        <v>0</v>
      </c>
      <c r="M363" s="25">
        <f>MAX(0, I363)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>
        <f>I364</f>
        <v/>
      </c>
      <c r="J364" s="24" t="n">
        <v>0</v>
      </c>
      <c r="K364" s="24" t="n">
        <v>0</v>
      </c>
      <c r="L364" s="24" t="n">
        <v>0</v>
      </c>
      <c r="M364" s="24">
        <f>MAX(0, I364)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>
        <f>I365</f>
        <v/>
      </c>
      <c r="J365" s="25" t="n">
        <v>0</v>
      </c>
      <c r="K365" s="25" t="n">
        <v>0</v>
      </c>
      <c r="L365" s="25" t="n">
        <v>0</v>
      </c>
      <c r="M365" s="25">
        <f>MAX(0, I365)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>
        <f>I366</f>
        <v/>
      </c>
      <c r="J366" s="24" t="n">
        <v>0</v>
      </c>
      <c r="K366" s="24" t="n">
        <v>0</v>
      </c>
      <c r="L366" s="24" t="n">
        <v>0</v>
      </c>
      <c r="M366" s="24">
        <f>MAX(0, I366)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>
        <f>I367</f>
        <v/>
      </c>
      <c r="J367" s="25" t="n">
        <v>0</v>
      </c>
      <c r="K367" s="25" t="n">
        <v>0</v>
      </c>
      <c r="L367" s="25" t="n">
        <v>0</v>
      </c>
      <c r="M367" s="25">
        <f>MAX(0, I367)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>
        <f>I368</f>
        <v/>
      </c>
      <c r="J368" s="24" t="n">
        <v>0</v>
      </c>
      <c r="K368" s="24" t="n">
        <v>0</v>
      </c>
      <c r="L368" s="24" t="n">
        <v>0</v>
      </c>
      <c r="M368" s="24">
        <f>MAX(0, I368)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>
        <f>I369</f>
        <v/>
      </c>
      <c r="J369" s="25" t="n">
        <v>0</v>
      </c>
      <c r="K369" s="25" t="n">
        <v>0</v>
      </c>
      <c r="L369" s="25" t="n">
        <v>0</v>
      </c>
      <c r="M369" s="25">
        <f>MAX(0, I369)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>
        <f>I370</f>
        <v/>
      </c>
      <c r="J370" s="24" t="n">
        <v>0</v>
      </c>
      <c r="K370" s="24" t="n">
        <v>0</v>
      </c>
      <c r="L370" s="24" t="n">
        <v>0</v>
      </c>
      <c r="M370" s="24">
        <f>MAX(0, I370)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>
        <f>I371</f>
        <v/>
      </c>
      <c r="J371" s="25" t="n">
        <v>0</v>
      </c>
      <c r="K371" s="25" t="n">
        <v>0</v>
      </c>
      <c r="L371" s="25" t="n">
        <v>0</v>
      </c>
      <c r="M371" s="25">
        <f>MAX(0, I371)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>
        <f>I372</f>
        <v/>
      </c>
      <c r="J372" s="24" t="n">
        <v>0</v>
      </c>
      <c r="K372" s="24" t="n">
        <v>0</v>
      </c>
      <c r="L372" s="24" t="n">
        <v>0</v>
      </c>
      <c r="M372" s="24">
        <f>MAX(0, I372)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>
        <f>I373</f>
        <v/>
      </c>
      <c r="J373" s="25" t="n">
        <v>0</v>
      </c>
      <c r="K373" s="25" t="n">
        <v>0</v>
      </c>
      <c r="L373" s="25" t="n">
        <v>0</v>
      </c>
      <c r="M373" s="25">
        <f>MAX(0, I373)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>
        <f>I374</f>
        <v/>
      </c>
      <c r="J374" s="24" t="n">
        <v>0</v>
      </c>
      <c r="K374" s="24" t="n">
        <v>0</v>
      </c>
      <c r="L374" s="24" t="n">
        <v>0</v>
      </c>
      <c r="M374" s="24">
        <f>MAX(0, I374)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>
        <f>I375</f>
        <v/>
      </c>
      <c r="J375" s="25" t="n">
        <v>0</v>
      </c>
      <c r="K375" s="25" t="n">
        <v>0</v>
      </c>
      <c r="L375" s="25" t="n">
        <v>0</v>
      </c>
      <c r="M375" s="25">
        <f>MAX(0, I375)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>
        <f>I376</f>
        <v/>
      </c>
      <c r="J376" s="24" t="n">
        <v>0</v>
      </c>
      <c r="K376" s="24" t="n">
        <v>0</v>
      </c>
      <c r="L376" s="24" t="n">
        <v>0</v>
      </c>
      <c r="M376" s="24">
        <f>MAX(0, I376)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>
        <f>I377</f>
        <v/>
      </c>
      <c r="J377" s="25" t="n">
        <v>0</v>
      </c>
      <c r="K377" s="25" t="n">
        <v>0</v>
      </c>
      <c r="L377" s="25" t="n">
        <v>0</v>
      </c>
      <c r="M377" s="25">
        <f>MAX(0, I377)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>
        <f>I378</f>
        <v/>
      </c>
      <c r="J378" s="24" t="n">
        <v>0</v>
      </c>
      <c r="K378" s="24" t="n">
        <v>0</v>
      </c>
      <c r="L378" s="24" t="n">
        <v>0</v>
      </c>
      <c r="M378" s="24">
        <f>MAX(0, I378)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>
        <f>I379</f>
        <v/>
      </c>
      <c r="J379" s="25" t="n">
        <v>0</v>
      </c>
      <c r="K379" s="25" t="n">
        <v>0</v>
      </c>
      <c r="L379" s="25" t="n">
        <v>0</v>
      </c>
      <c r="M379" s="25">
        <f>MAX(0, I379)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>
        <f>I380</f>
        <v/>
      </c>
      <c r="J380" s="24" t="n">
        <v>0</v>
      </c>
      <c r="K380" s="24" t="n">
        <v>0</v>
      </c>
      <c r="L380" s="24" t="n">
        <v>0</v>
      </c>
      <c r="M380" s="24">
        <f>MAX(0, I380)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>
        <f>I381</f>
        <v/>
      </c>
      <c r="J381" s="25" t="n">
        <v>0</v>
      </c>
      <c r="K381" s="25" t="n">
        <v>0</v>
      </c>
      <c r="L381" s="25" t="n">
        <v>0</v>
      </c>
      <c r="M381" s="25">
        <f>MAX(0, I381)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>
        <f>I382</f>
        <v/>
      </c>
      <c r="J382" s="24" t="n">
        <v>0</v>
      </c>
      <c r="K382" s="24" t="n">
        <v>0</v>
      </c>
      <c r="L382" s="24" t="n">
        <v>0</v>
      </c>
      <c r="M382" s="24">
        <f>MAX(0, I382)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>
        <f>I383</f>
        <v/>
      </c>
      <c r="J383" s="25" t="n">
        <v>0</v>
      </c>
      <c r="K383" s="25" t="n">
        <v>0</v>
      </c>
      <c r="L383" s="25" t="n">
        <v>0</v>
      </c>
      <c r="M383" s="25">
        <f>MAX(0, I383)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>
        <f>I384</f>
        <v/>
      </c>
      <c r="J384" s="24" t="n">
        <v>0</v>
      </c>
      <c r="K384" s="24" t="n">
        <v>0</v>
      </c>
      <c r="L384" s="24" t="n">
        <v>0</v>
      </c>
      <c r="M384" s="24">
        <f>MAX(0, I384)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>
        <f>I385</f>
        <v/>
      </c>
      <c r="J385" s="25" t="n">
        <v>0</v>
      </c>
      <c r="K385" s="25" t="n">
        <v>0</v>
      </c>
      <c r="L385" s="25" t="n">
        <v>0</v>
      </c>
      <c r="M385" s="25">
        <f>MAX(0, I385)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>
        <f>I386</f>
        <v/>
      </c>
      <c r="J386" s="24" t="n">
        <v>0</v>
      </c>
      <c r="K386" s="24" t="n">
        <v>0</v>
      </c>
      <c r="L386" s="24" t="n">
        <v>0</v>
      </c>
      <c r="M386" s="24">
        <f>MAX(0, I386)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>
        <f>I387</f>
        <v/>
      </c>
      <c r="J387" s="25" t="n">
        <v>0</v>
      </c>
      <c r="K387" s="25" t="n">
        <v>0</v>
      </c>
      <c r="L387" s="25" t="n">
        <v>0</v>
      </c>
      <c r="M387" s="25">
        <f>MAX(0, I387)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>
        <f>I388</f>
        <v/>
      </c>
      <c r="J388" s="24" t="n">
        <v>0</v>
      </c>
      <c r="K388" s="24" t="n">
        <v>0</v>
      </c>
      <c r="L388" s="24" t="n">
        <v>0</v>
      </c>
      <c r="M388" s="24">
        <f>MAX(0, I388)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>
        <f>I389</f>
        <v/>
      </c>
      <c r="J389" s="25" t="n">
        <v>0</v>
      </c>
      <c r="K389" s="25" t="n">
        <v>0</v>
      </c>
      <c r="L389" s="25" t="n">
        <v>0</v>
      </c>
      <c r="M389" s="25">
        <f>MAX(0, I389)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>
        <f>I390</f>
        <v/>
      </c>
      <c r="J390" s="24" t="n">
        <v>0</v>
      </c>
      <c r="K390" s="24" t="n">
        <v>0</v>
      </c>
      <c r="L390" s="24" t="n">
        <v>0</v>
      </c>
      <c r="M390" s="24">
        <f>MAX(0, I390)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>
        <f>I391</f>
        <v/>
      </c>
      <c r="J391" s="25" t="n">
        <v>0</v>
      </c>
      <c r="K391" s="25" t="n">
        <v>0</v>
      </c>
      <c r="L391" s="25" t="n">
        <v>0</v>
      </c>
      <c r="M391" s="25">
        <f>MAX(0, I391)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>
        <f>I392</f>
        <v/>
      </c>
      <c r="J392" s="24" t="n">
        <v>0</v>
      </c>
      <c r="K392" s="24" t="n">
        <v>0</v>
      </c>
      <c r="L392" s="24" t="n">
        <v>0</v>
      </c>
      <c r="M392" s="24">
        <f>MAX(0, I392)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>
        <f>I393</f>
        <v/>
      </c>
      <c r="J393" s="25" t="n">
        <v>0</v>
      </c>
      <c r="K393" s="25" t="n">
        <v>0</v>
      </c>
      <c r="L393" s="25" t="n">
        <v>0</v>
      </c>
      <c r="M393" s="25">
        <f>MAX(0, I393)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>
        <f>I394</f>
        <v/>
      </c>
      <c r="J394" s="24" t="n">
        <v>0</v>
      </c>
      <c r="K394" s="24" t="n">
        <v>0</v>
      </c>
      <c r="L394" s="24" t="n">
        <v>0</v>
      </c>
      <c r="M394" s="24">
        <f>MAX(0, I394)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>
        <f>I395</f>
        <v/>
      </c>
      <c r="J395" s="25" t="n">
        <v>0</v>
      </c>
      <c r="K395" s="25" t="n">
        <v>0</v>
      </c>
      <c r="L395" s="25" t="n">
        <v>0</v>
      </c>
      <c r="M395" s="25">
        <f>MAX(0, I395)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>
        <f>I396</f>
        <v/>
      </c>
      <c r="J396" s="24" t="n">
        <v>0</v>
      </c>
      <c r="K396" s="24" t="n">
        <v>0</v>
      </c>
      <c r="L396" s="24" t="n">
        <v>0</v>
      </c>
      <c r="M396" s="24">
        <f>MAX(0, I396)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>
        <f>I397</f>
        <v/>
      </c>
      <c r="J397" s="25" t="n">
        <v>0</v>
      </c>
      <c r="K397" s="25" t="n">
        <v>0</v>
      </c>
      <c r="L397" s="25" t="n">
        <v>0</v>
      </c>
      <c r="M397" s="25">
        <f>MAX(0, I397)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>
        <f>I398</f>
        <v/>
      </c>
      <c r="J398" s="24" t="n">
        <v>0</v>
      </c>
      <c r="K398" s="24" t="n">
        <v>0</v>
      </c>
      <c r="L398" s="24" t="n">
        <v>0</v>
      </c>
      <c r="M398" s="24">
        <f>MAX(0, I398)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>
        <f>I399</f>
        <v/>
      </c>
      <c r="J399" s="25" t="n">
        <v>0</v>
      </c>
      <c r="K399" s="25" t="n">
        <v>0</v>
      </c>
      <c r="L399" s="25" t="n">
        <v>0</v>
      </c>
      <c r="M399" s="25">
        <f>MAX(0, I399)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>
        <f>I400</f>
        <v/>
      </c>
      <c r="J400" s="24" t="n">
        <v>0</v>
      </c>
      <c r="K400" s="24" t="n">
        <v>0</v>
      </c>
      <c r="L400" s="24" t="n">
        <v>0</v>
      </c>
      <c r="M400" s="24">
        <f>MAX(0, I400)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>
        <f>I401</f>
        <v/>
      </c>
      <c r="J401" s="25" t="n">
        <v>0</v>
      </c>
      <c r="K401" s="25" t="n">
        <v>0</v>
      </c>
      <c r="L401" s="25" t="n">
        <v>0</v>
      </c>
      <c r="M401" s="25">
        <f>MAX(0, I401)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>
        <f>I402</f>
        <v/>
      </c>
      <c r="J402" s="24" t="n">
        <v>0</v>
      </c>
      <c r="K402" s="24" t="n">
        <v>0</v>
      </c>
      <c r="L402" s="24" t="n">
        <v>0</v>
      </c>
      <c r="M402" s="24">
        <f>MAX(0, I402)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>
        <f>I403</f>
        <v/>
      </c>
      <c r="J403" s="25" t="n">
        <v>0</v>
      </c>
      <c r="K403" s="25" t="n">
        <v>0</v>
      </c>
      <c r="L403" s="25" t="n">
        <v>0</v>
      </c>
      <c r="M403" s="25">
        <f>MAX(0, I403)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>
        <f>I404</f>
        <v/>
      </c>
      <c r="J404" s="24" t="n">
        <v>0</v>
      </c>
      <c r="K404" s="24" t="n">
        <v>0</v>
      </c>
      <c r="L404" s="24" t="n">
        <v>0</v>
      </c>
      <c r="M404" s="24">
        <f>MAX(0, I404)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>
        <f>I405</f>
        <v/>
      </c>
      <c r="J405" s="25" t="n">
        <v>0</v>
      </c>
      <c r="K405" s="25" t="n">
        <v>0</v>
      </c>
      <c r="L405" s="25" t="n">
        <v>0</v>
      </c>
      <c r="M405" s="25">
        <f>MAX(0, I405)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>
        <f>I406</f>
        <v/>
      </c>
      <c r="J406" s="24" t="n">
        <v>0</v>
      </c>
      <c r="K406" s="24" t="n">
        <v>0</v>
      </c>
      <c r="L406" s="24" t="n">
        <v>0</v>
      </c>
      <c r="M406" s="24">
        <f>MAX(0, I406)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>
        <f>I407</f>
        <v/>
      </c>
      <c r="J407" s="25" t="n">
        <v>0</v>
      </c>
      <c r="K407" s="25" t="n">
        <v>0</v>
      </c>
      <c r="L407" s="25" t="n">
        <v>0</v>
      </c>
      <c r="M407" s="25">
        <f>MAX(0, I407)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>
        <f>I408</f>
        <v/>
      </c>
      <c r="J408" s="24" t="n">
        <v>0</v>
      </c>
      <c r="K408" s="24" t="n">
        <v>0</v>
      </c>
      <c r="L408" s="24" t="n">
        <v>0</v>
      </c>
      <c r="M408" s="24">
        <f>MAX(0, I408)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>
        <f>I409</f>
        <v/>
      </c>
      <c r="J409" s="25" t="n">
        <v>0</v>
      </c>
      <c r="K409" s="25" t="n">
        <v>0</v>
      </c>
      <c r="L409" s="25" t="n">
        <v>0</v>
      </c>
      <c r="M409" s="25">
        <f>MAX(0, I409)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>
        <f>I410</f>
        <v/>
      </c>
      <c r="J410" s="24" t="n">
        <v>0</v>
      </c>
      <c r="K410" s="24" t="n">
        <v>0</v>
      </c>
      <c r="L410" s="24" t="n">
        <v>0</v>
      </c>
      <c r="M410" s="24">
        <f>MAX(0, I410)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>
        <f>I411</f>
        <v/>
      </c>
      <c r="J411" s="25" t="n">
        <v>0</v>
      </c>
      <c r="K411" s="25" t="n">
        <v>0</v>
      </c>
      <c r="L411" s="25" t="n">
        <v>0</v>
      </c>
      <c r="M411" s="25">
        <f>MAX(0, I411)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>
        <f>I412</f>
        <v/>
      </c>
      <c r="J412" s="24" t="n">
        <v>0</v>
      </c>
      <c r="K412" s="24" t="n">
        <v>0</v>
      </c>
      <c r="L412" s="24" t="n">
        <v>0</v>
      </c>
      <c r="M412" s="24">
        <f>MAX(0, I412)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>
        <f>I413</f>
        <v/>
      </c>
      <c r="J413" s="25" t="n">
        <v>0</v>
      </c>
      <c r="K413" s="25" t="n">
        <v>0</v>
      </c>
      <c r="L413" s="25" t="n">
        <v>0</v>
      </c>
      <c r="M413" s="25">
        <f>MAX(0, I413)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>
        <f>I414</f>
        <v/>
      </c>
      <c r="J414" s="24" t="n">
        <v>0</v>
      </c>
      <c r="K414" s="24" t="n">
        <v>0</v>
      </c>
      <c r="L414" s="24" t="n">
        <v>0</v>
      </c>
      <c r="M414" s="24">
        <f>MAX(0, I414)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>
        <f>I415</f>
        <v/>
      </c>
      <c r="J415" s="25" t="n">
        <v>0</v>
      </c>
      <c r="K415" s="25" t="n">
        <v>0</v>
      </c>
      <c r="L415" s="25" t="n">
        <v>0</v>
      </c>
      <c r="M415" s="25">
        <f>MAX(0, I415)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>
        <f>I416</f>
        <v/>
      </c>
      <c r="J416" s="24" t="n">
        <v>0</v>
      </c>
      <c r="K416" s="24" t="n">
        <v>0</v>
      </c>
      <c r="L416" s="24" t="n">
        <v>0</v>
      </c>
      <c r="M416" s="24">
        <f>MAX(0, I416)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>
        <f>I417</f>
        <v/>
      </c>
      <c r="J417" s="25" t="n">
        <v>0</v>
      </c>
      <c r="K417" s="25" t="n">
        <v>0</v>
      </c>
      <c r="L417" s="25" t="n">
        <v>0</v>
      </c>
      <c r="M417" s="25">
        <f>MAX(0, I417)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>
        <f>I418</f>
        <v/>
      </c>
      <c r="J418" s="24" t="n">
        <v>0</v>
      </c>
      <c r="K418" s="24" t="n">
        <v>0</v>
      </c>
      <c r="L418" s="24" t="n">
        <v>0</v>
      </c>
      <c r="M418" s="24">
        <f>MAX(0, I418)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>
        <f>I419</f>
        <v/>
      </c>
      <c r="J419" s="25" t="n">
        <v>0</v>
      </c>
      <c r="K419" s="25" t="n">
        <v>0</v>
      </c>
      <c r="L419" s="25" t="n">
        <v>0</v>
      </c>
      <c r="M419" s="25">
        <f>MAX(0, I419)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>
        <f>I420</f>
        <v/>
      </c>
      <c r="J420" s="24" t="n">
        <v>0</v>
      </c>
      <c r="K420" s="24" t="n">
        <v>0</v>
      </c>
      <c r="L420" s="24" t="n">
        <v>0</v>
      </c>
      <c r="M420" s="24">
        <f>MAX(0, I420)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>
        <f>I421</f>
        <v/>
      </c>
      <c r="J421" s="25" t="n">
        <v>0</v>
      </c>
      <c r="K421" s="25" t="n">
        <v>0</v>
      </c>
      <c r="L421" s="25" t="n">
        <v>0</v>
      </c>
      <c r="M421" s="25">
        <f>MAX(0, I421)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>
        <f>I422</f>
        <v/>
      </c>
      <c r="J422" s="24" t="n">
        <v>0</v>
      </c>
      <c r="K422" s="24" t="n">
        <v>0</v>
      </c>
      <c r="L422" s="24" t="n">
        <v>0</v>
      </c>
      <c r="M422" s="24">
        <f>MAX(0, I422)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>
        <f>I423</f>
        <v/>
      </c>
      <c r="J423" s="25" t="n">
        <v>0</v>
      </c>
      <c r="K423" s="25" t="n">
        <v>0</v>
      </c>
      <c r="L423" s="25" t="n">
        <v>0</v>
      </c>
      <c r="M423" s="25">
        <f>MAX(0, I423)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>
        <f>I424</f>
        <v/>
      </c>
      <c r="J424" s="24" t="n">
        <v>0</v>
      </c>
      <c r="K424" s="24" t="n">
        <v>0</v>
      </c>
      <c r="L424" s="24" t="n">
        <v>0</v>
      </c>
      <c r="M424" s="24">
        <f>MAX(0, I424)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>
        <f>I425</f>
        <v/>
      </c>
      <c r="J425" s="25" t="n">
        <v>0</v>
      </c>
      <c r="K425" s="25" t="n">
        <v>0</v>
      </c>
      <c r="L425" s="25" t="n">
        <v>0</v>
      </c>
      <c r="M425" s="25">
        <f>MAX(0, I425)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>
        <f>I426</f>
        <v/>
      </c>
      <c r="J426" s="24" t="n">
        <v>0</v>
      </c>
      <c r="K426" s="24" t="n">
        <v>0</v>
      </c>
      <c r="L426" s="24" t="n">
        <v>0</v>
      </c>
      <c r="M426" s="24">
        <f>MAX(0, I426)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>
        <f>I427</f>
        <v/>
      </c>
      <c r="J427" s="25" t="n">
        <v>0</v>
      </c>
      <c r="K427" s="25" t="n">
        <v>0</v>
      </c>
      <c r="L427" s="25" t="n">
        <v>0</v>
      </c>
      <c r="M427" s="25">
        <f>MAX(0, I427)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>
        <f>I428</f>
        <v/>
      </c>
      <c r="J428" s="24" t="n">
        <v>0</v>
      </c>
      <c r="K428" s="24" t="n">
        <v>0</v>
      </c>
      <c r="L428" s="24" t="n">
        <v>0</v>
      </c>
      <c r="M428" s="24">
        <f>MAX(0, I428)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>
        <f>I429</f>
        <v/>
      </c>
      <c r="J429" s="25" t="n">
        <v>0</v>
      </c>
      <c r="K429" s="25" t="n">
        <v>0</v>
      </c>
      <c r="L429" s="25" t="n">
        <v>0</v>
      </c>
      <c r="M429" s="25">
        <f>MAX(0, I429)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>
        <f>I430</f>
        <v/>
      </c>
      <c r="J430" s="24" t="n">
        <v>0</v>
      </c>
      <c r="K430" s="24" t="n">
        <v>0</v>
      </c>
      <c r="L430" s="24" t="n">
        <v>0</v>
      </c>
      <c r="M430" s="24">
        <f>MAX(0, I430)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>
        <f>I431</f>
        <v/>
      </c>
      <c r="J431" s="25" t="n">
        <v>0</v>
      </c>
      <c r="K431" s="25" t="n">
        <v>0</v>
      </c>
      <c r="L431" s="25" t="n">
        <v>0</v>
      </c>
      <c r="M431" s="25">
        <f>MAX(0, I431)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>
        <f>I432</f>
        <v/>
      </c>
      <c r="J432" s="24" t="n">
        <v>0</v>
      </c>
      <c r="K432" s="24" t="n">
        <v>0</v>
      </c>
      <c r="L432" s="24" t="n">
        <v>0</v>
      </c>
      <c r="M432" s="24">
        <f>MAX(0, I432)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>
        <f>I433</f>
        <v/>
      </c>
      <c r="J433" s="25" t="n">
        <v>0</v>
      </c>
      <c r="K433" s="25" t="n">
        <v>0</v>
      </c>
      <c r="L433" s="25" t="n">
        <v>0</v>
      </c>
      <c r="M433" s="25">
        <f>MAX(0, I433)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>
        <f>I434</f>
        <v/>
      </c>
      <c r="J434" s="24" t="n">
        <v>0</v>
      </c>
      <c r="K434" s="24" t="n">
        <v>0</v>
      </c>
      <c r="L434" s="24" t="n">
        <v>0</v>
      </c>
      <c r="M434" s="24">
        <f>MAX(0, I434)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>
        <f>I435</f>
        <v/>
      </c>
      <c r="J435" s="25" t="n">
        <v>0</v>
      </c>
      <c r="K435" s="25" t="n">
        <v>0</v>
      </c>
      <c r="L435" s="25" t="n">
        <v>0</v>
      </c>
      <c r="M435" s="25">
        <f>MAX(0, I435)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>
        <f>I436</f>
        <v/>
      </c>
      <c r="J436" s="24" t="n">
        <v>0</v>
      </c>
      <c r="K436" s="24" t="n">
        <v>0</v>
      </c>
      <c r="L436" s="24" t="n">
        <v>0</v>
      </c>
      <c r="M436" s="24">
        <f>MAX(0, I436)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>
        <f>I437</f>
        <v/>
      </c>
      <c r="J437" s="25" t="n">
        <v>0</v>
      </c>
      <c r="K437" s="25" t="n">
        <v>0</v>
      </c>
      <c r="L437" s="25" t="n">
        <v>0</v>
      </c>
      <c r="M437" s="25">
        <f>MAX(0, I437)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>
        <f>I438</f>
        <v/>
      </c>
      <c r="J438" s="24" t="n">
        <v>0</v>
      </c>
      <c r="K438" s="24" t="n">
        <v>0</v>
      </c>
      <c r="L438" s="24" t="n">
        <v>0</v>
      </c>
      <c r="M438" s="24">
        <f>MAX(0, I438)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>
        <f>I439</f>
        <v/>
      </c>
      <c r="J439" s="25" t="n">
        <v>0</v>
      </c>
      <c r="K439" s="25" t="n">
        <v>0</v>
      </c>
      <c r="L439" s="25" t="n">
        <v>0</v>
      </c>
      <c r="M439" s="25">
        <f>MAX(0, I439)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>
        <f>I440</f>
        <v/>
      </c>
      <c r="J440" s="24" t="n">
        <v>0</v>
      </c>
      <c r="K440" s="24" t="n">
        <v>0</v>
      </c>
      <c r="L440" s="24" t="n">
        <v>0</v>
      </c>
      <c r="M440" s="24">
        <f>MAX(0, I440)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>
        <f>I441</f>
        <v/>
      </c>
      <c r="J441" s="25" t="n">
        <v>0</v>
      </c>
      <c r="K441" s="25" t="n">
        <v>0</v>
      </c>
      <c r="L441" s="25" t="n">
        <v>0</v>
      </c>
      <c r="M441" s="25">
        <f>MAX(0, I441)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>
        <f>I442</f>
        <v/>
      </c>
      <c r="J442" s="24" t="n">
        <v>0</v>
      </c>
      <c r="K442" s="24" t="n">
        <v>0</v>
      </c>
      <c r="L442" s="24" t="n">
        <v>0</v>
      </c>
      <c r="M442" s="24">
        <f>MAX(0, I442)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>
        <f>I443</f>
        <v/>
      </c>
      <c r="J443" s="25" t="n">
        <v>0</v>
      </c>
      <c r="K443" s="25" t="n">
        <v>0</v>
      </c>
      <c r="L443" s="25" t="n">
        <v>0</v>
      </c>
      <c r="M443" s="25">
        <f>MAX(0, I443)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>
        <f>I444</f>
        <v/>
      </c>
      <c r="J444" s="24" t="n">
        <v>0</v>
      </c>
      <c r="K444" s="24" t="n">
        <v>0</v>
      </c>
      <c r="L444" s="24" t="n">
        <v>0</v>
      </c>
      <c r="M444" s="24">
        <f>MAX(0, I444)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>
        <f>I445</f>
        <v/>
      </c>
      <c r="J445" s="25" t="n">
        <v>0</v>
      </c>
      <c r="K445" s="25" t="n">
        <v>0</v>
      </c>
      <c r="L445" s="25" t="n">
        <v>0</v>
      </c>
      <c r="M445" s="25">
        <f>MAX(0, I445)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>
        <f>I446</f>
        <v/>
      </c>
      <c r="J446" s="24" t="n">
        <v>0</v>
      </c>
      <c r="K446" s="24" t="n">
        <v>0</v>
      </c>
      <c r="L446" s="24" t="n">
        <v>0</v>
      </c>
      <c r="M446" s="24">
        <f>MAX(0, I446)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>
        <f>I447</f>
        <v/>
      </c>
      <c r="J447" s="25" t="n">
        <v>0</v>
      </c>
      <c r="K447" s="25" t="n">
        <v>0</v>
      </c>
      <c r="L447" s="25" t="n">
        <v>0</v>
      </c>
      <c r="M447" s="25">
        <f>MAX(0, I447)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>
        <f>I448</f>
        <v/>
      </c>
      <c r="J448" s="24" t="n">
        <v>0</v>
      </c>
      <c r="K448" s="24" t="n">
        <v>0</v>
      </c>
      <c r="L448" s="24" t="n">
        <v>0</v>
      </c>
      <c r="M448" s="24">
        <f>MAX(0, I448)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>
        <f>I449</f>
        <v/>
      </c>
      <c r="J449" s="25" t="n">
        <v>0</v>
      </c>
      <c r="K449" s="25" t="n">
        <v>0</v>
      </c>
      <c r="L449" s="25" t="n">
        <v>0</v>
      </c>
      <c r="M449" s="25">
        <f>MAX(0, I449)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>
        <f>I450</f>
        <v/>
      </c>
      <c r="J450" s="24" t="n">
        <v>0</v>
      </c>
      <c r="K450" s="24" t="n">
        <v>0</v>
      </c>
      <c r="L450" s="24" t="n">
        <v>0</v>
      </c>
      <c r="M450" s="24">
        <f>MAX(0, I450)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>
        <f>I451</f>
        <v/>
      </c>
      <c r="J451" s="25" t="n">
        <v>0</v>
      </c>
      <c r="K451" s="25" t="n">
        <v>0</v>
      </c>
      <c r="L451" s="25" t="n">
        <v>0</v>
      </c>
      <c r="M451" s="25">
        <f>MAX(0, I451)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>
        <f>I452</f>
        <v/>
      </c>
      <c r="J452" s="24" t="n">
        <v>0</v>
      </c>
      <c r="K452" s="24" t="n">
        <v>0</v>
      </c>
      <c r="L452" s="24" t="n">
        <v>0</v>
      </c>
      <c r="M452" s="24">
        <f>MAX(0, I452)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>
        <f>I453</f>
        <v/>
      </c>
      <c r="J453" s="25" t="n">
        <v>0</v>
      </c>
      <c r="K453" s="25" t="n">
        <v>0</v>
      </c>
      <c r="L453" s="25" t="n">
        <v>0</v>
      </c>
      <c r="M453" s="25">
        <f>MAX(0, I453)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>
        <f>I454</f>
        <v/>
      </c>
      <c r="J454" s="24" t="n">
        <v>0</v>
      </c>
      <c r="K454" s="24" t="n">
        <v>0</v>
      </c>
      <c r="L454" s="24" t="n">
        <v>0</v>
      </c>
      <c r="M454" s="24">
        <f>MAX(0, I454)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>
        <f>I455</f>
        <v/>
      </c>
      <c r="J455" s="25" t="n">
        <v>0</v>
      </c>
      <c r="K455" s="25" t="n">
        <v>0</v>
      </c>
      <c r="L455" s="25" t="n">
        <v>0</v>
      </c>
      <c r="M455" s="25">
        <f>MAX(0, I455)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>
        <f>I456</f>
        <v/>
      </c>
      <c r="J456" s="24" t="n">
        <v>0</v>
      </c>
      <c r="K456" s="24" t="n">
        <v>0</v>
      </c>
      <c r="L456" s="24" t="n">
        <v>0</v>
      </c>
      <c r="M456" s="24">
        <f>MAX(0, I456)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>
        <f>I457</f>
        <v/>
      </c>
      <c r="J457" s="25" t="n">
        <v>0</v>
      </c>
      <c r="K457" s="25" t="n">
        <v>0</v>
      </c>
      <c r="L457" s="25" t="n">
        <v>0</v>
      </c>
      <c r="M457" s="25">
        <f>MAX(0, I457)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>
        <f>I458</f>
        <v/>
      </c>
      <c r="J458" s="24" t="n">
        <v>0</v>
      </c>
      <c r="K458" s="24" t="n">
        <v>0</v>
      </c>
      <c r="L458" s="24" t="n">
        <v>0</v>
      </c>
      <c r="M458" s="24">
        <f>MAX(0, I458)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>
        <f>I459</f>
        <v/>
      </c>
      <c r="J459" s="25" t="n">
        <v>0</v>
      </c>
      <c r="K459" s="25" t="n">
        <v>0</v>
      </c>
      <c r="L459" s="25" t="n">
        <v>0</v>
      </c>
      <c r="M459" s="25">
        <f>MAX(0, I459)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>
        <f>I460</f>
        <v/>
      </c>
      <c r="J460" s="24" t="n">
        <v>0</v>
      </c>
      <c r="K460" s="24" t="n">
        <v>0</v>
      </c>
      <c r="L460" s="24" t="n">
        <v>0</v>
      </c>
      <c r="M460" s="24">
        <f>MAX(0, I460)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>
        <f>I461</f>
        <v/>
      </c>
      <c r="J461" s="25" t="n">
        <v>0</v>
      </c>
      <c r="K461" s="25" t="n">
        <v>0</v>
      </c>
      <c r="L461" s="25" t="n">
        <v>0</v>
      </c>
      <c r="M461" s="25">
        <f>MAX(0, I461)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>
        <f>I462</f>
        <v/>
      </c>
      <c r="J462" s="24" t="n">
        <v>0</v>
      </c>
      <c r="K462" s="24" t="n">
        <v>0</v>
      </c>
      <c r="L462" s="24" t="n">
        <v>0</v>
      </c>
      <c r="M462" s="24">
        <f>MAX(0, I462)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>
        <f>I463</f>
        <v/>
      </c>
      <c r="J463" s="25" t="n">
        <v>0</v>
      </c>
      <c r="K463" s="25" t="n">
        <v>0</v>
      </c>
      <c r="L463" s="25" t="n">
        <v>0</v>
      </c>
      <c r="M463" s="25">
        <f>MAX(0, I463)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>
        <f>I464</f>
        <v/>
      </c>
      <c r="J464" s="24" t="n">
        <v>0</v>
      </c>
      <c r="K464" s="24" t="n">
        <v>0</v>
      </c>
      <c r="L464" s="24" t="n">
        <v>0</v>
      </c>
      <c r="M464" s="24">
        <f>MAX(0, I464)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>
        <f>I465</f>
        <v/>
      </c>
      <c r="J465" s="25" t="n">
        <v>0</v>
      </c>
      <c r="K465" s="25" t="n">
        <v>0</v>
      </c>
      <c r="L465" s="25" t="n">
        <v>0</v>
      </c>
      <c r="M465" s="25">
        <f>MAX(0, I465)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>
        <f>I466</f>
        <v/>
      </c>
      <c r="J466" s="24" t="n">
        <v>0</v>
      </c>
      <c r="K466" s="24" t="n">
        <v>0</v>
      </c>
      <c r="L466" s="24" t="n">
        <v>0</v>
      </c>
      <c r="M466" s="24">
        <f>MAX(0, I466)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>
        <f>I467</f>
        <v/>
      </c>
      <c r="J467" s="25" t="n">
        <v>0</v>
      </c>
      <c r="K467" s="25" t="n">
        <v>0</v>
      </c>
      <c r="L467" s="25" t="n">
        <v>0</v>
      </c>
      <c r="M467" s="25">
        <f>MAX(0, I467)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>
        <f>I468</f>
        <v/>
      </c>
      <c r="J468" s="24" t="n">
        <v>0</v>
      </c>
      <c r="K468" s="24" t="n">
        <v>0</v>
      </c>
      <c r="L468" s="24" t="n">
        <v>0</v>
      </c>
      <c r="M468" s="24">
        <f>MAX(0, I468)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>
        <f>I469</f>
        <v/>
      </c>
      <c r="J469" s="25" t="n">
        <v>0</v>
      </c>
      <c r="K469" s="25" t="n">
        <v>0</v>
      </c>
      <c r="L469" s="25" t="n">
        <v>0</v>
      </c>
      <c r="M469" s="25">
        <f>MAX(0, I469)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>
        <f>I470</f>
        <v/>
      </c>
      <c r="J470" s="24" t="n">
        <v>0</v>
      </c>
      <c r="K470" s="24" t="n">
        <v>0</v>
      </c>
      <c r="L470" s="24" t="n">
        <v>0</v>
      </c>
      <c r="M470" s="24">
        <f>MAX(0, I470)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>
        <f>I471</f>
        <v/>
      </c>
      <c r="J471" s="25" t="n">
        <v>0</v>
      </c>
      <c r="K471" s="25" t="n">
        <v>0</v>
      </c>
      <c r="L471" s="25" t="n">
        <v>0</v>
      </c>
      <c r="M471" s="25">
        <f>MAX(0, I471)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>
        <f>I472</f>
        <v/>
      </c>
      <c r="J472" s="24" t="n">
        <v>0</v>
      </c>
      <c r="K472" s="24" t="n">
        <v>0</v>
      </c>
      <c r="L472" s="24" t="n">
        <v>0</v>
      </c>
      <c r="M472" s="24">
        <f>MAX(0, I472)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>
        <f>I473</f>
        <v/>
      </c>
      <c r="J473" s="25" t="n">
        <v>0</v>
      </c>
      <c r="K473" s="25" t="n">
        <v>0</v>
      </c>
      <c r="L473" s="25" t="n">
        <v>0</v>
      </c>
      <c r="M473" s="25">
        <f>MAX(0, I473)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>
        <f>I474</f>
        <v/>
      </c>
      <c r="J474" s="24" t="n">
        <v>0</v>
      </c>
      <c r="K474" s="24" t="n">
        <v>0</v>
      </c>
      <c r="L474" s="24" t="n">
        <v>0</v>
      </c>
      <c r="M474" s="24">
        <f>MAX(0, I474)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>
        <f>I475</f>
        <v/>
      </c>
      <c r="J475" s="25" t="n">
        <v>0</v>
      </c>
      <c r="K475" s="25" t="n">
        <v>0</v>
      </c>
      <c r="L475" s="25" t="n">
        <v>0</v>
      </c>
      <c r="M475" s="25">
        <f>MAX(0, I475)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>
        <f>I476</f>
        <v/>
      </c>
      <c r="J476" s="24" t="n">
        <v>0</v>
      </c>
      <c r="K476" s="24" t="n">
        <v>0</v>
      </c>
      <c r="L476" s="24" t="n">
        <v>0</v>
      </c>
      <c r="M476" s="24">
        <f>MAX(0, I476)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>
        <f>I477</f>
        <v/>
      </c>
      <c r="J477" s="25" t="n">
        <v>0</v>
      </c>
      <c r="K477" s="25" t="n">
        <v>0</v>
      </c>
      <c r="L477" s="25" t="n">
        <v>0</v>
      </c>
      <c r="M477" s="25">
        <f>MAX(0, I477)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>
        <f>I478</f>
        <v/>
      </c>
      <c r="J478" s="24" t="n">
        <v>0</v>
      </c>
      <c r="K478" s="24" t="n">
        <v>0</v>
      </c>
      <c r="L478" s="24" t="n">
        <v>0</v>
      </c>
      <c r="M478" s="24">
        <f>MAX(0, I478)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>
        <f>I479</f>
        <v/>
      </c>
      <c r="J479" s="25" t="n">
        <v>0</v>
      </c>
      <c r="K479" s="25" t="n">
        <v>0</v>
      </c>
      <c r="L479" s="25" t="n">
        <v>0</v>
      </c>
      <c r="M479" s="25">
        <f>MAX(0, I479)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>
        <f>I480</f>
        <v/>
      </c>
      <c r="J480" s="24" t="n">
        <v>0</v>
      </c>
      <c r="K480" s="24" t="n">
        <v>0</v>
      </c>
      <c r="L480" s="24" t="n">
        <v>0</v>
      </c>
      <c r="M480" s="24">
        <f>MAX(0, I480)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>
        <f>I481</f>
        <v/>
      </c>
      <c r="J481" s="25" t="n">
        <v>0</v>
      </c>
      <c r="K481" s="25" t="n">
        <v>0</v>
      </c>
      <c r="L481" s="25" t="n">
        <v>0</v>
      </c>
      <c r="M481" s="25">
        <f>MAX(0, I481)</f>
        <v/>
      </c>
    </row>
  </sheetData>
  <autoFilter ref="A1:M1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0" customWidth="1" min="3" max="3"/>
    <col width="40" customWidth="1" min="4" max="4"/>
    <col width="55" customWidth="1" min="5" max="5"/>
    <col width="30" customWidth="1" min="6" max="6"/>
  </cols>
  <sheetData>
    <row r="1" ht="28" customHeight="1">
      <c r="A1" s="28" t="inlineStr">
        <is>
          <t>Sheet</t>
        </is>
      </c>
      <c r="B1" s="28" t="inlineStr">
        <is>
          <t>Column</t>
        </is>
      </c>
      <c r="C1" s="28" t="inlineStr">
        <is>
          <t>Formula (first row)</t>
        </is>
      </c>
      <c r="D1" s="28" t="inlineStr">
        <is>
          <t>Recurrent formula (row 2+)</t>
        </is>
      </c>
      <c r="E1" s="28" t="inlineStr">
        <is>
          <t>Description</t>
        </is>
      </c>
      <c r="F1" s="28" t="inlineStr">
        <is>
          <t>Source</t>
        </is>
      </c>
    </row>
    <row r="2">
      <c r="A2" s="29" t="inlineStr">
        <is>
          <t>02_Mortality</t>
        </is>
      </c>
      <c r="B2" s="29" t="inlineStr">
        <is>
          <t>q_monthly</t>
        </is>
      </c>
      <c r="C2" s="29">
        <f>1 - (1 - [q_annual])^(1/12)</f>
        <v/>
      </c>
      <c r="D2" s="29" t="inlineStr"/>
      <c r="E2" s="29" t="inlineStr">
        <is>
          <t>Monthly UDD mortality rate: 1-(1-q_annual)^(1/12)</t>
        </is>
      </c>
      <c r="F2" s="29" t="inlineStr">
        <is>
          <t>decrements/mortality.py</t>
        </is>
      </c>
    </row>
    <row r="3">
      <c r="A3" s="30" t="inlineStr">
        <is>
          <t>03_Lapse</t>
        </is>
      </c>
      <c r="B3" s="30" t="inlineStr">
        <is>
          <t>q_lapse_monthly</t>
        </is>
      </c>
      <c r="C3" s="30">
        <f>1 - (1 - [q_lapse_annual])^(1/12)</f>
        <v/>
      </c>
      <c r="D3" s="30" t="inlineStr"/>
      <c r="E3" s="30" t="inlineStr">
        <is>
          <t>Monthly lapse rate: 1-(1-q_annual)^(1/12)</t>
        </is>
      </c>
      <c r="F3" s="30" t="inlineStr">
        <is>
          <t>decrements/lapse.py</t>
        </is>
      </c>
    </row>
    <row r="4">
      <c r="A4" s="29" t="inlineStr">
        <is>
          <t>04_Lives</t>
        </is>
      </c>
      <c r="B4" s="29" t="inlineStr">
        <is>
          <t>lives_bop</t>
        </is>
      </c>
      <c r="C4" s="29">
        <f>1</f>
        <v/>
      </c>
      <c r="D4" s="29">
        <f>[prev:lives_eop]</f>
        <v/>
      </c>
      <c r="E4" s="29" t="inlineStr">
        <is>
          <t>Lives at BOP: seed=1.0; lives_bop[t]=lives_eop[t-1]</t>
        </is>
      </c>
      <c r="F4" s="29" t="inlineStr">
        <is>
          <t>decrements/lives.py</t>
        </is>
      </c>
    </row>
    <row r="5">
      <c r="A5" s="30" t="inlineStr">
        <is>
          <t>04_Lives</t>
        </is>
      </c>
      <c r="B5" s="30" t="inlineStr">
        <is>
          <t>lives_eop</t>
        </is>
      </c>
      <c r="C5" s="30">
        <f>[lives_bop] * (1 - [q_mort_monthly]) * (1 - [q_lapse_monthly])</f>
        <v/>
      </c>
      <c r="D5" s="30" t="inlineStr"/>
      <c r="E5" s="30" t="inlineStr">
        <is>
          <t>Lives at EOP: BOP × (1-q_mort) × (1-q_lapse)</t>
        </is>
      </c>
      <c r="F5" s="30" t="inlineStr">
        <is>
          <t>decrements/lives.py</t>
        </is>
      </c>
    </row>
    <row r="6">
      <c r="A6" s="29" t="inlineStr">
        <is>
          <t>05_Interest_Rates</t>
        </is>
      </c>
      <c r="B6" s="29" t="inlineStr">
        <is>
          <t>disc_factor</t>
        </is>
      </c>
      <c r="C6" s="29">
        <f>1 / (1 + [i_monthly])</f>
        <v/>
      </c>
      <c r="D6" s="29">
        <f>[prev:disc_factor] / (1 + [i_monthly])</f>
        <v/>
      </c>
      <c r="E6" s="29" t="inlineStr">
        <is>
          <t>Running discount factor: df[t]=df[t-1]/(1+i_monthly[t]); seed=1.0</t>
        </is>
      </c>
      <c r="F6" s="29" t="inlineStr">
        <is>
          <t>cashflows/interest.py</t>
        </is>
      </c>
    </row>
    <row r="7">
      <c r="A7" s="30" t="inlineStr">
        <is>
          <t>05_Interest_Rates</t>
        </is>
      </c>
      <c r="B7" s="30" t="inlineStr">
        <is>
          <t>disc_factor_shock</t>
        </is>
      </c>
      <c r="C7" s="30">
        <f>1 / (1 + [i_monthly_shock])</f>
        <v/>
      </c>
      <c r="D7" s="30">
        <f>[prev:disc_factor_shock] / (1 + [i_monthly_shock])</f>
        <v/>
      </c>
      <c r="E7" s="30" t="inlineStr">
        <is>
          <t>Running discount factor for shocked (+100bps) rates</t>
        </is>
      </c>
      <c r="F7" s="30" t="inlineStr">
        <is>
          <t>cashflows/interest.py</t>
        </is>
      </c>
    </row>
    <row r="8">
      <c r="A8" s="29" t="inlineStr">
        <is>
          <t>05_Interest_Rates</t>
        </is>
      </c>
      <c r="B8" s="29" t="inlineStr">
        <is>
          <t>i_aey</t>
        </is>
      </c>
      <c r="C8" s="29">
        <f>(1 + [i_bey_pct] / 100 / 2)^2 - 1</f>
        <v/>
      </c>
      <c r="D8" s="29" t="inlineStr"/>
      <c r="E8" s="29" t="inlineStr">
        <is>
          <t>Annual Effective Yield: (1+BEY/2)^2-1  (semi-annual BEY conversion)</t>
        </is>
      </c>
      <c r="F8" s="29" t="inlineStr">
        <is>
          <t>cashflows/interest.py</t>
        </is>
      </c>
    </row>
    <row r="9">
      <c r="A9" s="30" t="inlineStr">
        <is>
          <t>05_Interest_Rates</t>
        </is>
      </c>
      <c r="B9" s="30" t="inlineStr">
        <is>
          <t>i_aey_shock</t>
        </is>
      </c>
      <c r="C9" s="30">
        <f>[i_aey] + 0.01</f>
        <v/>
      </c>
      <c r="D9" s="30" t="inlineStr"/>
      <c r="E9" s="30" t="inlineStr">
        <is>
          <t>Shocked AEY = AEY + 100bps (VM21PA Standard Scenario)</t>
        </is>
      </c>
      <c r="F9" s="30" t="inlineStr">
        <is>
          <t>cashflows/interest.py</t>
        </is>
      </c>
    </row>
    <row r="10">
      <c r="A10" s="29" t="inlineStr">
        <is>
          <t>05_Interest_Rates</t>
        </is>
      </c>
      <c r="B10" s="29" t="inlineStr">
        <is>
          <t>i_monthly</t>
        </is>
      </c>
      <c r="C10" s="29">
        <f>(1 + [i_aey])^(1/12) - 1</f>
        <v/>
      </c>
      <c r="D10" s="29" t="inlineStr"/>
      <c r="E10" s="29" t="inlineStr">
        <is>
          <t>Monthly effective rate: (1+AEY)^(1/12)-1</t>
        </is>
      </c>
      <c r="F10" s="29" t="inlineStr">
        <is>
          <t>cashflows/interest.py</t>
        </is>
      </c>
    </row>
    <row r="11">
      <c r="A11" s="30" t="inlineStr">
        <is>
          <t>05_Interest_Rates</t>
        </is>
      </c>
      <c r="B11" s="30" t="inlineStr">
        <is>
          <t>i_monthly_shock</t>
        </is>
      </c>
      <c r="C11" s="30">
        <f>(1 + [i_aey_shock])^(1/12) - 1</f>
        <v/>
      </c>
      <c r="D11" s="30" t="inlineStr"/>
      <c r="E11" s="30" t="inlineStr">
        <is>
          <t>Monthly effective rate for +100bps shocked scenario</t>
        </is>
      </c>
      <c r="F11" s="30" t="inlineStr">
        <is>
          <t>cashflows/interest.py</t>
        </is>
      </c>
    </row>
    <row r="12">
      <c r="A12" s="29" t="inlineStr">
        <is>
          <t>06_Fund_Mechanics</t>
        </is>
      </c>
      <c r="B12" s="29" t="inlineStr">
        <is>
          <t>growth_f1</t>
        </is>
      </c>
      <c r="C12" s="29">
        <f>(1 + ([eq_growth_f1] + [eq_income_f1]) / 100)^(1/12) - 1</f>
        <v/>
      </c>
      <c r="D12" s="29" t="inlineStr"/>
      <c r="E12" s="29" t="inlineStr">
        <is>
          <t>Fund 1 monthly growth factor: (1+r_annual)^(1/12)-1</t>
        </is>
      </c>
      <c r="F12" s="29" t="inlineStr">
        <is>
          <t>cashflows/fund_mechanics.py</t>
        </is>
      </c>
    </row>
    <row r="13">
      <c r="A13" s="30" t="inlineStr">
        <is>
          <t>06_Fund_Mechanics</t>
        </is>
      </c>
      <c r="B13" s="30" t="inlineStr">
        <is>
          <t>growth_f2</t>
        </is>
      </c>
      <c r="C13" s="30">
        <f>(1 + ([eq_growth_f2] + [eq_income_f2]) / 100)^(1/12) - 1</f>
        <v/>
      </c>
      <c r="D13" s="30" t="inlineStr"/>
      <c r="E13" s="30" t="inlineStr">
        <is>
          <t>Fund 2 monthly growth factor: (1+r_annual)^(1/12)-1</t>
        </is>
      </c>
      <c r="F13" s="30" t="inlineStr">
        <is>
          <t>cashflows/fund_mechanics.py</t>
        </is>
      </c>
    </row>
    <row r="14">
      <c r="A14" s="29" t="inlineStr">
        <is>
          <t>06_Fund_Mechanics</t>
        </is>
      </c>
      <c r="B14" s="29" t="inlineStr">
        <is>
          <t>growth_f3</t>
        </is>
      </c>
      <c r="C14" s="29">
        <f>(1 + ([eq_growth_f3] + [eq_income_f3]) / 100)^(1/12) - 1</f>
        <v/>
      </c>
      <c r="D14" s="29" t="inlineStr"/>
      <c r="E14" s="29" t="inlineStr">
        <is>
          <t>Fund 3 monthly growth factor: (1+r_annual)^(1/12)-1</t>
        </is>
      </c>
      <c r="F14" s="29" t="inlineStr">
        <is>
          <t>cashflows/fund_mechanics.py</t>
        </is>
      </c>
    </row>
    <row r="15">
      <c r="A15" s="30" t="inlineStr">
        <is>
          <t>06_Fund_Mechanics</t>
        </is>
      </c>
      <c r="B15" s="30" t="inlineStr">
        <is>
          <t>growth_f4</t>
        </is>
      </c>
      <c r="C15" s="30">
        <f>(1 + ([eq_growth_f4] + [eq_income_f4]) / 100)^(1/12) - 1</f>
        <v/>
      </c>
      <c r="D15" s="30" t="inlineStr"/>
      <c r="E15" s="30" t="inlineStr">
        <is>
          <t>Fund 4 monthly growth factor: (1+r_annual)^(1/12)-1</t>
        </is>
      </c>
      <c r="F15" s="30" t="inlineStr">
        <is>
          <t>cashflows/fund_mechanics.py</t>
        </is>
      </c>
    </row>
    <row r="16">
      <c r="A16" s="29" t="inlineStr">
        <is>
          <t>06_Fund_Mechanics</t>
        </is>
      </c>
      <c r="B16" s="29" t="inlineStr">
        <is>
          <t>growth_f5</t>
        </is>
      </c>
      <c r="C16" s="29">
        <f>(1 + ([eq_growth_f5] + [eq_income_f5]) / 100)^(1/12) - 1</f>
        <v/>
      </c>
      <c r="D16" s="29" t="inlineStr"/>
      <c r="E16" s="29" t="inlineStr">
        <is>
          <t>Fund 5 monthly growth factor: (1+r_annual)^(1/12)-1</t>
        </is>
      </c>
      <c r="F16" s="29" t="inlineStr">
        <is>
          <t>cashflows/fund_mechanics.py</t>
        </is>
      </c>
    </row>
    <row r="17">
      <c r="A17" s="30" t="inlineStr">
        <is>
          <t>06_Fund_Mechanics</t>
        </is>
      </c>
      <c r="B17" s="30" t="inlineStr">
        <is>
          <t>growth_f6</t>
        </is>
      </c>
      <c r="C17" s="30">
        <f>(1 + ([eq_growth_f6] + [eq_income_f6]) / 100)^(1/12) - 1</f>
        <v/>
      </c>
      <c r="D17" s="30" t="inlineStr"/>
      <c r="E17" s="30" t="inlineStr">
        <is>
          <t>Fund 6 monthly growth factor: (1+r_annual)^(1/12)-1</t>
        </is>
      </c>
      <c r="F17" s="30" t="inlineStr">
        <is>
          <t>cashflows/fund_mechanics.py</t>
        </is>
      </c>
    </row>
    <row r="18">
      <c r="A18" s="29" t="inlineStr">
        <is>
          <t>09_Cashflow_Engine</t>
        </is>
      </c>
      <c r="B18" s="29" t="inlineStr">
        <is>
          <t>av_at_cme_sa</t>
        </is>
      </c>
      <c r="C18" s="29">
        <f>([av_bop_sa] - [me_sa]) - [imf_sa] + [growth_sa]</f>
        <v/>
      </c>
      <c r="D18" s="29" t="inlineStr"/>
      <c r="E18" s="29" t="inlineStr">
        <is>
          <t>AV at charge-moment-end: (BOP-ME) - IMF + Growth</t>
        </is>
      </c>
      <c r="F18" s="29" t="inlineStr">
        <is>
          <t>cashflows/cashflow_engine.py</t>
        </is>
      </c>
    </row>
    <row r="19">
      <c r="A19" s="30" t="inlineStr">
        <is>
          <t>09_Cashflow_Engine</t>
        </is>
      </c>
      <c r="B19" s="30" t="inlineStr">
        <is>
          <t>av_bop_total</t>
        </is>
      </c>
      <c r="C19" s="30">
        <f>[av_bop_sa]</f>
        <v/>
      </c>
      <c r="D19" s="30" t="inlineStr"/>
      <c r="E19" s="30" t="inlineStr">
        <is>
          <t>Total BOP AV = SA AV (fixed account = 0 for this policy)</t>
        </is>
      </c>
      <c r="F19" s="30" t="inlineStr">
        <is>
          <t>cashflows/cashflow_engine.py</t>
        </is>
      </c>
    </row>
    <row r="20">
      <c r="A20" s="29" t="inlineStr">
        <is>
          <t>09_Cashflow_Engine</t>
        </is>
      </c>
      <c r="B20" s="29" t="inlineStr">
        <is>
          <t>av_eop_sa</t>
        </is>
      </c>
      <c r="C20" s="29">
        <f>MAX(0, [av_at_cme_sa] - [gib_charge] - [i4l_charge] - [withdrawal])</f>
        <v/>
      </c>
      <c r="D20" s="29" t="inlineStr"/>
      <c r="E20" s="29" t="inlineStr">
        <is>
          <t>AV at EOP: MAX(0, at-CME - GIB - i4L - withdrawal)</t>
        </is>
      </c>
      <c r="F20" s="29" t="inlineStr">
        <is>
          <t>cashflows/cashflow_engine.py</t>
        </is>
      </c>
    </row>
    <row r="21">
      <c r="A21" s="30" t="inlineStr">
        <is>
          <t>09_Cashflow_Engine</t>
        </is>
      </c>
      <c r="B21" s="30" t="inlineStr">
        <is>
          <t>av_eop_total</t>
        </is>
      </c>
      <c r="C21" s="30">
        <f>[av_eop_sa]</f>
        <v/>
      </c>
      <c r="D21" s="30" t="inlineStr"/>
      <c r="E21" s="30" t="inlineStr">
        <is>
          <t>Total EOP AV = SA AV (fixed account = 0 for this policy)</t>
        </is>
      </c>
      <c r="F21" s="30" t="inlineStr">
        <is>
          <t>cashflows/cashflow_engine.py</t>
        </is>
      </c>
    </row>
    <row r="22">
      <c r="A22" s="29" t="inlineStr">
        <is>
          <t>09_Cashflow_Engine</t>
        </is>
      </c>
      <c r="B22" s="29" t="inlineStr">
        <is>
          <t>gib_charge</t>
        </is>
      </c>
      <c r="C22" s="29">
        <f>[av_at_cme_sa] * (0.00400000 / 12) * 1.0</f>
        <v/>
      </c>
      <c r="D22" s="29" t="inlineStr"/>
      <c r="E22" s="29" t="inlineStr">
        <is>
          <t>GIB net charge = at-CME_AV × gib_net_rate/12  (gib_net_rate=0.004000)</t>
        </is>
      </c>
      <c r="F22" s="29" t="inlineStr">
        <is>
          <t>cashflows/cashflow_engine.py</t>
        </is>
      </c>
    </row>
    <row r="23">
      <c r="A23" s="30" t="inlineStr">
        <is>
          <t>09_Cashflow_Engine</t>
        </is>
      </c>
      <c r="B23" s="30" t="inlineStr">
        <is>
          <t>i4l_charge</t>
        </is>
      </c>
      <c r="C23" s="30">
        <f>[av_at_cme_sa] * (0.00500000 / 12) * 1.0</f>
        <v/>
      </c>
      <c r="D23" s="30" t="inlineStr"/>
      <c r="E23" s="30" t="inlineStr">
        <is>
          <t>i4L charge = at-CME_AV × i4l_ap_rate/12  (i4l_ap_rate=0.005000)</t>
        </is>
      </c>
      <c r="F23" s="30" t="inlineStr">
        <is>
          <t>cashflows/cashflow_engine.py</t>
        </is>
      </c>
    </row>
    <row r="24">
      <c r="A24" s="29" t="inlineStr">
        <is>
          <t>09_Cashflow_Engine</t>
        </is>
      </c>
      <c r="B24" s="29" t="inlineStr">
        <is>
          <t>imf_sa</t>
        </is>
      </c>
      <c r="C24" s="29">
        <f>([av_bop_sa] - [me_sa]) * (0.00664805 / 12) * 1.0</f>
        <v/>
      </c>
      <c r="D24" s="29" t="inlineStr"/>
      <c r="E24" s="29" t="inlineStr">
        <is>
          <t>IMF charge = (BOP-ME) × imf_rate/12 × suppressor  (imf_rate=0.006648, suppressor=1.0)</t>
        </is>
      </c>
      <c r="F24" s="29" t="inlineStr">
        <is>
          <t>cashflows/cashflow_engine.py</t>
        </is>
      </c>
    </row>
    <row r="25">
      <c r="A25" s="30" t="inlineStr">
        <is>
          <t>09_Cashflow_Engine</t>
        </is>
      </c>
      <c r="B25" s="30" t="inlineStr">
        <is>
          <t>me_sa</t>
        </is>
      </c>
      <c r="C25" s="30">
        <f>[av_bop_sa] * (0.01000000 / 12)</f>
        <v/>
      </c>
      <c r="D25" s="30" t="inlineStr"/>
      <c r="E25" s="30" t="inlineStr">
        <is>
          <t>M&amp;E charge = BOP_AV × me_rate/12  (me_rate=0.010000)</t>
        </is>
      </c>
      <c r="F25" s="30" t="inlineStr">
        <is>
          <t>cashflows/cashflow_engine.py</t>
        </is>
      </c>
    </row>
    <row r="26">
      <c r="A26" s="29" t="inlineStr">
        <is>
          <t>09_Cashflow_Engine</t>
        </is>
      </c>
      <c r="B26" s="29" t="inlineStr">
        <is>
          <t>monthly_payment</t>
        </is>
      </c>
      <c r="C26" s="29">
        <f>[current_payment] / 12</f>
        <v/>
      </c>
      <c r="D26" s="29" t="inlineStr"/>
      <c r="E26" s="29" t="inlineStr">
        <is>
          <t>Monthly guaranteed income payment = annual_payment / 12</t>
        </is>
      </c>
      <c r="F26" s="29" t="inlineStr">
        <is>
          <t>cashflows/cashflow_engine.py</t>
        </is>
      </c>
    </row>
    <row r="27">
      <c r="A27" s="30" t="inlineStr">
        <is>
          <t>09_Cashflow_Engine</t>
        </is>
      </c>
      <c r="B27" s="30" t="inlineStr">
        <is>
          <t>withdrawal</t>
        </is>
      </c>
      <c r="C27" s="30">
        <f>[monthly_payment]</f>
        <v/>
      </c>
      <c r="D27" s="30" t="inlineStr"/>
      <c r="E27" s="30" t="inlineStr">
        <is>
          <t>Guaranteed income withdrawal = monthly_payment</t>
        </is>
      </c>
      <c r="F27" s="30" t="inlineStr">
        <is>
          <t>cashflows/cashflow_engine.py</t>
        </is>
      </c>
    </row>
    <row r="28">
      <c r="A28" s="29" t="inlineStr">
        <is>
          <t>10_Dec_Cashflows</t>
        </is>
      </c>
      <c r="B28" s="29" t="inlineStr">
        <is>
          <t>av_at_cme_sa</t>
        </is>
      </c>
      <c r="C28" s="29">
        <f>[av_at_cme_sa] * [lives_eop]</f>
        <v/>
      </c>
      <c r="D28" s="29" t="inlineStr"/>
      <c r="E28" s="29" t="inlineStr">
        <is>
          <t>Decremented: per-unit av_at_cme_sa × lives_eop</t>
        </is>
      </c>
      <c r="F28" s="29" t="inlineStr">
        <is>
          <t>reserve/decremented_cf.py</t>
        </is>
      </c>
    </row>
    <row r="29">
      <c r="A29" s="30" t="inlineStr">
        <is>
          <t>10_Dec_Cashflows</t>
        </is>
      </c>
      <c r="B29" s="30" t="inlineStr">
        <is>
          <t>av_bop_sa</t>
        </is>
      </c>
      <c r="C29" s="30">
        <f>[av_bop_sa] * [lives_eop]</f>
        <v/>
      </c>
      <c r="D29" s="30" t="inlineStr"/>
      <c r="E29" s="30" t="inlineStr">
        <is>
          <t>Decremented: per-unit av_bop_sa × lives_eop</t>
        </is>
      </c>
      <c r="F29" s="30" t="inlineStr">
        <is>
          <t>reserve/decremented_cf.py</t>
        </is>
      </c>
    </row>
    <row r="30">
      <c r="A30" s="29" t="inlineStr">
        <is>
          <t>10_Dec_Cashflows</t>
        </is>
      </c>
      <c r="B30" s="29" t="inlineStr">
        <is>
          <t>av_bop_total</t>
        </is>
      </c>
      <c r="C30" s="29">
        <f>[av_bop_total] * [lives_eop]</f>
        <v/>
      </c>
      <c r="D30" s="29" t="inlineStr"/>
      <c r="E30" s="29" t="inlineStr">
        <is>
          <t>Decremented: per-unit av_bop_total × lives_eop</t>
        </is>
      </c>
      <c r="F30" s="29" t="inlineStr">
        <is>
          <t>reserve/decremented_cf.py</t>
        </is>
      </c>
    </row>
    <row r="31">
      <c r="A31" s="30" t="inlineStr">
        <is>
          <t>10_Dec_Cashflows</t>
        </is>
      </c>
      <c r="B31" s="30" t="inlineStr">
        <is>
          <t>av_eop_f1</t>
        </is>
      </c>
      <c r="C31" s="30">
        <f>[av_eop_f1] * [lives_eop]</f>
        <v/>
      </c>
      <c r="D31" s="30" t="inlineStr"/>
      <c r="E31" s="30" t="inlineStr">
        <is>
          <t>Decremented: per-unit av_eop_f1 × lives_eop</t>
        </is>
      </c>
      <c r="F31" s="30" t="inlineStr">
        <is>
          <t>reserve/decremented_cf.py</t>
        </is>
      </c>
    </row>
    <row r="32">
      <c r="A32" s="29" t="inlineStr">
        <is>
          <t>10_Dec_Cashflows</t>
        </is>
      </c>
      <c r="B32" s="29" t="inlineStr">
        <is>
          <t>av_eop_f2</t>
        </is>
      </c>
      <c r="C32" s="29">
        <f>[av_eop_f2] * [lives_eop]</f>
        <v/>
      </c>
      <c r="D32" s="29" t="inlineStr"/>
      <c r="E32" s="29" t="inlineStr">
        <is>
          <t>Decremented: per-unit av_eop_f2 × lives_eop</t>
        </is>
      </c>
      <c r="F32" s="29" t="inlineStr">
        <is>
          <t>reserve/decremented_cf.py</t>
        </is>
      </c>
    </row>
    <row r="33">
      <c r="A33" s="30" t="inlineStr">
        <is>
          <t>10_Dec_Cashflows</t>
        </is>
      </c>
      <c r="B33" s="30" t="inlineStr">
        <is>
          <t>av_eop_f3</t>
        </is>
      </c>
      <c r="C33" s="30">
        <f>[av_eop_f3] * [lives_eop]</f>
        <v/>
      </c>
      <c r="D33" s="30" t="inlineStr"/>
      <c r="E33" s="30" t="inlineStr">
        <is>
          <t>Decremented: per-unit av_eop_f3 × lives_eop</t>
        </is>
      </c>
      <c r="F33" s="30" t="inlineStr">
        <is>
          <t>reserve/decremented_cf.py</t>
        </is>
      </c>
    </row>
    <row r="34">
      <c r="A34" s="29" t="inlineStr">
        <is>
          <t>10_Dec_Cashflows</t>
        </is>
      </c>
      <c r="B34" s="29" t="inlineStr">
        <is>
          <t>av_eop_f4</t>
        </is>
      </c>
      <c r="C34" s="29">
        <f>[av_eop_f4] * [lives_eop]</f>
        <v/>
      </c>
      <c r="D34" s="29" t="inlineStr"/>
      <c r="E34" s="29" t="inlineStr">
        <is>
          <t>Decremented: per-unit av_eop_f4 × lives_eop</t>
        </is>
      </c>
      <c r="F34" s="29" t="inlineStr">
        <is>
          <t>reserve/decremented_cf.py</t>
        </is>
      </c>
    </row>
    <row r="35">
      <c r="A35" s="30" t="inlineStr">
        <is>
          <t>10_Dec_Cashflows</t>
        </is>
      </c>
      <c r="B35" s="30" t="inlineStr">
        <is>
          <t>av_eop_f5</t>
        </is>
      </c>
      <c r="C35" s="30">
        <f>[av_eop_f5] * [lives_eop]</f>
        <v/>
      </c>
      <c r="D35" s="30" t="inlineStr"/>
      <c r="E35" s="30" t="inlineStr">
        <is>
          <t>Decremented: per-unit av_eop_f5 × lives_eop</t>
        </is>
      </c>
      <c r="F35" s="30" t="inlineStr">
        <is>
          <t>reserve/decremented_cf.py</t>
        </is>
      </c>
    </row>
    <row r="36">
      <c r="A36" s="29" t="inlineStr">
        <is>
          <t>10_Dec_Cashflows</t>
        </is>
      </c>
      <c r="B36" s="29" t="inlineStr">
        <is>
          <t>av_eop_f6</t>
        </is>
      </c>
      <c r="C36" s="29">
        <f>[av_eop_f6] * [lives_eop]</f>
        <v/>
      </c>
      <c r="D36" s="29" t="inlineStr"/>
      <c r="E36" s="29" t="inlineStr">
        <is>
          <t>Decremented: per-unit av_eop_f6 × lives_eop</t>
        </is>
      </c>
      <c r="F36" s="29" t="inlineStr">
        <is>
          <t>reserve/decremented_cf.py</t>
        </is>
      </c>
    </row>
    <row r="37">
      <c r="A37" s="30" t="inlineStr">
        <is>
          <t>10_Dec_Cashflows</t>
        </is>
      </c>
      <c r="B37" s="30" t="inlineStr">
        <is>
          <t>av_eop_sa</t>
        </is>
      </c>
      <c r="C37" s="30">
        <f>[av_eop_sa] * [lives_eop]</f>
        <v/>
      </c>
      <c r="D37" s="30" t="inlineStr"/>
      <c r="E37" s="30" t="inlineStr">
        <is>
          <t>Decremented: per-unit av_eop_sa × lives_eop</t>
        </is>
      </c>
      <c r="F37" s="30" t="inlineStr">
        <is>
          <t>reserve/decremented_cf.py</t>
        </is>
      </c>
    </row>
    <row r="38">
      <c r="A38" s="29" t="inlineStr">
        <is>
          <t>10_Dec_Cashflows</t>
        </is>
      </c>
      <c r="B38" s="29" t="inlineStr">
        <is>
          <t>av_eop_total</t>
        </is>
      </c>
      <c r="C38" s="29">
        <f>[av_eop_total] * [lives_eop]</f>
        <v/>
      </c>
      <c r="D38" s="29" t="inlineStr"/>
      <c r="E38" s="29" t="inlineStr">
        <is>
          <t>Decremented: per-unit av_eop_total × lives_eop</t>
        </is>
      </c>
      <c r="F38" s="29" t="inlineStr">
        <is>
          <t>reserve/decremented_cf.py</t>
        </is>
      </c>
    </row>
    <row r="39">
      <c r="A39" s="30" t="inlineStr">
        <is>
          <t>10_Dec_Cashflows</t>
        </is>
      </c>
      <c r="B39" s="30" t="inlineStr">
        <is>
          <t>current_payment</t>
        </is>
      </c>
      <c r="C39" s="30">
        <f>[current_payment] * [lives_eop]</f>
        <v/>
      </c>
      <c r="D39" s="30" t="inlineStr"/>
      <c r="E39" s="30" t="inlineStr">
        <is>
          <t>Decremented: per-unit current_payment × lives_eop</t>
        </is>
      </c>
      <c r="F39" s="30" t="inlineStr">
        <is>
          <t>reserve/decremented_cf.py</t>
        </is>
      </c>
    </row>
    <row r="40">
      <c r="A40" s="29" t="inlineStr">
        <is>
          <t>10_Dec_Cashflows</t>
        </is>
      </c>
      <c r="B40" s="29" t="inlineStr">
        <is>
          <t>gib_charge</t>
        </is>
      </c>
      <c r="C40" s="29">
        <f>[gib_charge] * [lives_eop]</f>
        <v/>
      </c>
      <c r="D40" s="29" t="inlineStr"/>
      <c r="E40" s="29" t="inlineStr">
        <is>
          <t>Decremented: per-unit gib_charge × lives_eop</t>
        </is>
      </c>
      <c r="F40" s="29" t="inlineStr">
        <is>
          <t>reserve/decremented_cf.py</t>
        </is>
      </c>
    </row>
    <row r="41">
      <c r="A41" s="30" t="inlineStr">
        <is>
          <t>10_Dec_Cashflows</t>
        </is>
      </c>
      <c r="B41" s="30" t="inlineStr">
        <is>
          <t>growth_sa</t>
        </is>
      </c>
      <c r="C41" s="30">
        <f>[growth_sa] * [lives_eop]</f>
        <v/>
      </c>
      <c r="D41" s="30" t="inlineStr"/>
      <c r="E41" s="30" t="inlineStr">
        <is>
          <t>Decremented: per-unit growth_sa × lives_eop</t>
        </is>
      </c>
      <c r="F41" s="30" t="inlineStr">
        <is>
          <t>reserve/decremented_cf.py</t>
        </is>
      </c>
    </row>
    <row r="42">
      <c r="A42" s="29" t="inlineStr">
        <is>
          <t>10_Dec_Cashflows</t>
        </is>
      </c>
      <c r="B42" s="29" t="inlineStr">
        <is>
          <t>i4l_charge</t>
        </is>
      </c>
      <c r="C42" s="29">
        <f>[i4l_charge] * [lives_eop]</f>
        <v/>
      </c>
      <c r="D42" s="29" t="inlineStr"/>
      <c r="E42" s="29" t="inlineStr">
        <is>
          <t>Decremented: per-unit i4l_charge × lives_eop</t>
        </is>
      </c>
      <c r="F42" s="29" t="inlineStr">
        <is>
          <t>reserve/decremented_cf.py</t>
        </is>
      </c>
    </row>
    <row r="43">
      <c r="A43" s="30" t="inlineStr">
        <is>
          <t>10_Dec_Cashflows</t>
        </is>
      </c>
      <c r="B43" s="30" t="inlineStr">
        <is>
          <t>imf_sa</t>
        </is>
      </c>
      <c r="C43" s="30">
        <f>[imf_sa] * [lives_eop]</f>
        <v/>
      </c>
      <c r="D43" s="30" t="inlineStr"/>
      <c r="E43" s="30" t="inlineStr">
        <is>
          <t>Decremented: per-unit imf_sa × lives_eop</t>
        </is>
      </c>
      <c r="F43" s="30" t="inlineStr">
        <is>
          <t>reserve/decremented_cf.py</t>
        </is>
      </c>
    </row>
    <row r="44">
      <c r="A44" s="29" t="inlineStr">
        <is>
          <t>10_Dec_Cashflows</t>
        </is>
      </c>
      <c r="B44" s="29" t="inlineStr">
        <is>
          <t>me_sa</t>
        </is>
      </c>
      <c r="C44" s="29">
        <f>[me_sa] * [lives_eop]</f>
        <v/>
      </c>
      <c r="D44" s="29" t="inlineStr"/>
      <c r="E44" s="29" t="inlineStr">
        <is>
          <t>Decremented: per-unit me_sa × lives_eop</t>
        </is>
      </c>
      <c r="F44" s="29" t="inlineStr">
        <is>
          <t>reserve/decremented_cf.py</t>
        </is>
      </c>
    </row>
    <row r="45">
      <c r="A45" s="30" t="inlineStr">
        <is>
          <t>10_Dec_Cashflows</t>
        </is>
      </c>
      <c r="B45" s="30" t="inlineStr">
        <is>
          <t>monthly_payment</t>
        </is>
      </c>
      <c r="C45" s="30">
        <f>[monthly_payment] * [lives_eop]</f>
        <v/>
      </c>
      <c r="D45" s="30" t="inlineStr"/>
      <c r="E45" s="30" t="inlineStr">
        <is>
          <t>Decremented: per-unit monthly_payment × lives_eop</t>
        </is>
      </c>
      <c r="F45" s="30" t="inlineStr">
        <is>
          <t>reserve/decremented_cf.py</t>
        </is>
      </c>
    </row>
    <row r="46">
      <c r="A46" s="29" t="inlineStr">
        <is>
          <t>10_Dec_Cashflows</t>
        </is>
      </c>
      <c r="B46" s="29" t="inlineStr">
        <is>
          <t>withdrawal</t>
        </is>
      </c>
      <c r="C46" s="29">
        <f>[withdrawal] * [lives_eop]</f>
        <v/>
      </c>
      <c r="D46" s="29" t="inlineStr"/>
      <c r="E46" s="29" t="inlineStr">
        <is>
          <t>Decremented: per-unit withdrawal × lives_eop</t>
        </is>
      </c>
      <c r="F46" s="29" t="inlineStr">
        <is>
          <t>reserve/decremented_cf.py</t>
        </is>
      </c>
    </row>
    <row r="47">
      <c r="A47" s="30" t="inlineStr">
        <is>
          <t>11_StdScn_ANR</t>
        </is>
      </c>
      <c r="B47" s="30" t="inlineStr">
        <is>
          <t>accum_factor</t>
        </is>
      </c>
      <c r="C47" s="30">
        <f>1 / [disc_factor_shock]</f>
        <v/>
      </c>
      <c r="D47" s="30" t="inlineStr"/>
      <c r="E47" s="30" t="inlineStr">
        <is>
          <t>Accumulation factor M[t] = 1 / disc_factor_shock[t]</t>
        </is>
      </c>
      <c r="F47" s="30" t="inlineStr">
        <is>
          <t>reserve/std_scn_anr.py</t>
        </is>
      </c>
    </row>
    <row r="48">
      <c r="A48" s="29" t="inlineStr">
        <is>
          <t>11_StdScn_ANR</t>
        </is>
      </c>
      <c r="B48" s="29" t="inlineStr">
        <is>
          <t>accum_fund</t>
        </is>
      </c>
      <c r="C48" s="29">
        <f>[std_scn_fund] * [accum_factor]</f>
        <v/>
      </c>
      <c r="D48" s="29" t="inlineStr"/>
      <c r="E48" s="29" t="inlineStr">
        <is>
          <t>Accumulated fund = std_scn_fund × accum_factor</t>
        </is>
      </c>
      <c r="F48" s="29" t="inlineStr">
        <is>
          <t>reserve/std_scn_anr.py</t>
        </is>
      </c>
    </row>
    <row r="49">
      <c r="A49" s="30" t="inlineStr">
        <is>
          <t>11_StdScn_ANR</t>
        </is>
      </c>
      <c r="B49" s="30" t="inlineStr">
        <is>
          <t>accum_imf</t>
        </is>
      </c>
      <c r="C49" s="30">
        <f>[imf_charge]</f>
        <v/>
      </c>
      <c r="D49" s="30">
        <f>[prev:accum_imf] * ([accum_factor] / [prev:accum_factor]) + [imf_charge]</f>
        <v/>
      </c>
      <c r="E49" s="30" t="inlineStr">
        <is>
          <t>Accumulated IMF: running sum with shocked interest</t>
        </is>
      </c>
      <c r="F49" s="30" t="inlineStr">
        <is>
          <t>reserve/std_scn_anr.py</t>
        </is>
      </c>
    </row>
    <row r="50">
      <c r="A50" s="29" t="inlineStr">
        <is>
          <t>11_StdScn_ANR</t>
        </is>
      </c>
      <c r="B50" s="29" t="inlineStr">
        <is>
          <t>accum_lb</t>
        </is>
      </c>
      <c r="C50" s="29">
        <f>[gib_charge] + [i4l_charge]</f>
        <v/>
      </c>
      <c r="D50" s="29">
        <f>[prev:accum_lb] * ([accum_factor] / [prev:accum_factor]) + [gib_charge] + [i4l_charge]</f>
        <v/>
      </c>
      <c r="E50" s="29" t="inlineStr">
        <is>
          <t>Accumulated LB charges (GIB+i4L): running sum with shocked interest</t>
        </is>
      </c>
      <c r="F50" s="29" t="inlineStr">
        <is>
          <t>reserve/std_scn_anr.py</t>
        </is>
      </c>
    </row>
    <row r="51">
      <c r="A51" s="30" t="inlineStr">
        <is>
          <t>11_StdScn_ANR</t>
        </is>
      </c>
      <c r="B51" s="30" t="inlineStr">
        <is>
          <t>accum_me</t>
        </is>
      </c>
      <c r="C51" s="30">
        <f>[me_charge]</f>
        <v/>
      </c>
      <c r="D51" s="30">
        <f>[prev:accum_me] * ([accum_factor] / [prev:accum_factor]) + [me_charge]</f>
        <v/>
      </c>
      <c r="E51" s="30" t="inlineStr">
        <is>
          <t>Accumulated M&amp;E: Z[t]=Z[t-1]×(1+i_shock)+P[t]</t>
        </is>
      </c>
      <c r="F51" s="30" t="inlineStr">
        <is>
          <t>reserve/std_scn_anr.py</t>
        </is>
      </c>
    </row>
    <row r="52">
      <c r="A52" s="29" t="inlineStr">
        <is>
          <t>11_StdScn_ANR</t>
        </is>
      </c>
      <c r="B52" s="29" t="inlineStr">
        <is>
          <t>anr</t>
        </is>
      </c>
      <c r="C52" s="29">
        <f>MAX(0, -[net_rev_cf])</f>
        <v/>
      </c>
      <c r="D52" s="29" t="inlineStr"/>
      <c r="E52" s="29" t="inlineStr">
        <is>
          <t>ANR = MAX(0, -net_rev_cf); reserve required if net revenue is negative</t>
        </is>
      </c>
      <c r="F52" s="29" t="inlineStr">
        <is>
          <t>reserve/std_scn_anr.py</t>
        </is>
      </c>
    </row>
    <row r="53">
      <c r="A53" s="30" t="inlineStr">
        <is>
          <t>11_StdScn_ANR</t>
        </is>
      </c>
      <c r="B53" s="30" t="inlineStr">
        <is>
          <t>gib_charge</t>
        </is>
      </c>
      <c r="C53" s="30">
        <f>[std_scn_fund] * (0.00400000 / 12) * 1.0</f>
        <v/>
      </c>
      <c r="D53" s="30" t="inlineStr"/>
      <c r="E53" s="30" t="inlineStr">
        <is>
          <t>GIB charge on decremented fund  (gib_net_rate=0.004000)</t>
        </is>
      </c>
      <c r="F53" s="30" t="inlineStr">
        <is>
          <t>reserve/std_scn_anr.py</t>
        </is>
      </c>
    </row>
    <row r="54">
      <c r="A54" s="29" t="inlineStr">
        <is>
          <t>11_StdScn_ANR</t>
        </is>
      </c>
      <c r="B54" s="29" t="inlineStr">
        <is>
          <t>i4l_charge</t>
        </is>
      </c>
      <c r="C54" s="29">
        <f>[std_scn_fund] * (0.00500000 / 12) * 1.0</f>
        <v/>
      </c>
      <c r="D54" s="29" t="inlineStr"/>
      <c r="E54" s="29" t="inlineStr">
        <is>
          <t>i4L charge on decremented fund  (i4l_ap_rate=0.005000)</t>
        </is>
      </c>
      <c r="F54" s="29" t="inlineStr">
        <is>
          <t>reserve/std_scn_anr.py</t>
        </is>
      </c>
    </row>
    <row r="55">
      <c r="A55" s="30" t="inlineStr">
        <is>
          <t>11_StdScn_ANR</t>
        </is>
      </c>
      <c r="B55" s="30" t="inlineStr">
        <is>
          <t>imf_charge</t>
        </is>
      </c>
      <c r="C55" s="30">
        <f>[std_scn_fund] * (0.00664805 / 12) * 1.0</f>
        <v/>
      </c>
      <c r="D55" s="30" t="inlineStr"/>
      <c r="E55" s="30" t="inlineStr">
        <is>
          <t>IMF charge on decremented fund  (imf_rate=0.006648)</t>
        </is>
      </c>
      <c r="F55" s="30" t="inlineStr">
        <is>
          <t>reserve/std_scn_anr.py</t>
        </is>
      </c>
    </row>
    <row r="56">
      <c r="A56" s="29" t="inlineStr">
        <is>
          <t>11_StdScn_ANR</t>
        </is>
      </c>
      <c r="B56" s="29" t="inlineStr">
        <is>
          <t>me_charge</t>
        </is>
      </c>
      <c r="C56" s="29">
        <f>[std_scn_fund] * (0.01000000 / 12)</f>
        <v/>
      </c>
      <c r="D56" s="29" t="inlineStr"/>
      <c r="E56" s="29" t="inlineStr">
        <is>
          <t>M&amp;E charge on decremented fund  (me_rate=0.010000)</t>
        </is>
      </c>
      <c r="F56" s="29" t="inlineStr">
        <is>
          <t>reserve/std_scn_anr.py</t>
        </is>
      </c>
    </row>
    <row r="57">
      <c r="A57" s="30" t="inlineStr">
        <is>
          <t>11_StdScn_ANR</t>
        </is>
      </c>
      <c r="B57" s="30" t="inlineStr">
        <is>
          <t>net_rev_cf</t>
        </is>
      </c>
      <c r="C57" s="30">
        <f>[accum_me] + [accum_imf] + [accum_lb]</f>
        <v/>
      </c>
      <c r="D57" s="30" t="inlineStr"/>
      <c r="E57" s="30" t="inlineStr">
        <is>
          <t>Net Revenue CF = accum_ME + accum_IMF + accum_LB (minus benefit costs; =0 for option-A policy)</t>
        </is>
      </c>
      <c r="F57" s="30" t="inlineStr">
        <is>
          <t>reserve/std_scn_anr.py</t>
        </is>
      </c>
    </row>
    <row r="58">
      <c r="A58" s="29" t="inlineStr">
        <is>
          <t>12_CARVM</t>
        </is>
      </c>
      <c r="B58" s="29" t="inlineStr">
        <is>
          <t>carvm_reserve</t>
        </is>
      </c>
      <c r="C58" s="29">
        <f>MAX([pv_max], [next:carvm_reserve])</f>
        <v/>
      </c>
      <c r="D58" s="29" t="inlineStr"/>
      <c r="E58" s="29" t="inlineStr">
        <is>
          <t>CARVM reserve = running MAX of pv_max from t to end (backward)</t>
        </is>
      </c>
      <c r="F58" s="29" t="inlineStr">
        <is>
          <t>reserve/carvm.py</t>
        </is>
      </c>
    </row>
    <row r="59">
      <c r="A59" s="30" t="inlineStr">
        <is>
          <t>12_CARVM</t>
        </is>
      </c>
      <c r="B59" s="30" t="inlineStr">
        <is>
          <t>pv_annuity</t>
        </is>
      </c>
      <c r="C59" s="30">
        <f>0</f>
        <v/>
      </c>
      <c r="D59" s="30" t="inlineStr"/>
      <c r="E59" s="30" t="inlineStr">
        <is>
          <t>PV of annuity benefit (0 for AV-only DB option A)</t>
        </is>
      </c>
      <c r="F59" s="30" t="inlineStr">
        <is>
          <t>reserve/carvm.py</t>
        </is>
      </c>
    </row>
    <row r="60">
      <c r="A60" s="29" t="inlineStr">
        <is>
          <t>12_CARVM</t>
        </is>
      </c>
      <c r="B60" s="29" t="inlineStr">
        <is>
          <t>pv_csv</t>
        </is>
      </c>
      <c r="C60" s="29">
        <f>[csv_at_me] * [disc_factor]</f>
        <v/>
      </c>
      <c r="D60" s="29" t="inlineStr"/>
      <c r="E60" s="29" t="inlineStr">
        <is>
          <t>PV of CSV: csv_at_me × disc_factor (unshocked rates)</t>
        </is>
      </c>
      <c r="F60" s="29" t="inlineStr">
        <is>
          <t>reserve/carvm.py</t>
        </is>
      </c>
    </row>
    <row r="61">
      <c r="A61" s="30" t="inlineStr">
        <is>
          <t>12_CARVM</t>
        </is>
      </c>
      <c r="B61" s="30" t="inlineStr">
        <is>
          <t>pv_max</t>
        </is>
      </c>
      <c r="C61" s="30">
        <f>MAX([pv_csv], [pv_annuity])</f>
        <v/>
      </c>
      <c r="D61" s="30" t="inlineStr"/>
      <c r="E61" s="30" t="inlineStr">
        <is>
          <t>Max PV benefit at period t: MAX(PV_CSV, PV_annuity)</t>
        </is>
      </c>
      <c r="F61" s="30" t="inlineStr">
        <is>
          <t>reserve/carvm.py</t>
        </is>
      </c>
    </row>
    <row r="62">
      <c r="A62" s="29" t="inlineStr">
        <is>
          <t>14_Reserve_Summary</t>
        </is>
      </c>
      <c r="B62" s="29" t="inlineStr">
        <is>
          <t>anr</t>
        </is>
      </c>
      <c r="C62" s="29">
        <f>[anr]</f>
        <v/>
      </c>
      <c r="D62" s="29" t="inlineStr"/>
      <c r="E62" s="29" t="inlineStr">
        <is>
          <t>Standard Scenario ANR (from 11_StdScn_ANR)</t>
        </is>
      </c>
      <c r="F62" s="29" t="inlineStr">
        <is>
          <t>reserve/reserve_aggregator.py</t>
        </is>
      </c>
    </row>
    <row r="63">
      <c r="A63" s="30" t="inlineStr">
        <is>
          <t>14_Reserve_Summary</t>
        </is>
      </c>
      <c r="B63" s="30" t="inlineStr">
        <is>
          <t>reserve_t0</t>
        </is>
      </c>
      <c r="C63" s="30">
        <f>MAX(0, [anr])</f>
        <v/>
      </c>
      <c r="D63" s="30" t="inlineStr"/>
      <c r="E63" s="30" t="inlineStr">
        <is>
          <t>Final reserve = MAX(0, ANR) for VM21PA basis</t>
        </is>
      </c>
      <c r="F63" s="30" t="inlineStr">
        <is>
          <t>reserve/reserve_aggregator.py</t>
        </is>
      </c>
    </row>
  </sheetData>
  <autoFilter ref="A1:F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F7F7F"/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90" customWidth="1" min="2" max="2"/>
  </cols>
  <sheetData>
    <row r="1" ht="22" customHeight="1">
      <c r="A1" s="31" t="inlineStr">
        <is>
          <t>source</t>
        </is>
      </c>
      <c r="B1" s="31" t="inlineStr">
        <is>
          <t>message</t>
        </is>
      </c>
    </row>
    <row r="2" ht="28" customHeight="1">
      <c r="A2" t="inlineStr">
        <is>
          <t>assumption_loader/VM21CA_BaseMortality_Single</t>
        </is>
      </c>
      <c r="B2" s="32" t="inlineStr">
        <is>
          <t>Sheet 'VM21CA_BaseMortality_Single' contains masked placeholder cells ('[DUMMY … placeholder RAND]') — those cells are NaN. Populate from live source before production use.</t>
        </is>
      </c>
    </row>
    <row r="3" ht="28" customHeight="1">
      <c r="A3" t="inlineStr">
        <is>
          <t>assumption_loader/VM21CA_BaseMortality_JointLife</t>
        </is>
      </c>
      <c r="B3" s="32" t="inlineStr">
        <is>
          <t>Sheet 'VM21CA_BaseMortality_JointLife' contains masked placeholder cells ('[DUMMY … placeholder RAND]') — those cells are NaN. Populate from live source before production use.</t>
        </is>
      </c>
    </row>
    <row r="4" ht="28" customHeight="1">
      <c r="A4" t="inlineStr">
        <is>
          <t>assumption_loader/VM21PA_BaseMortality_JointLife</t>
        </is>
      </c>
      <c r="B4" s="32" t="inlineStr">
        <is>
          <t>Sheet 'VM21PA_BaseMortality_JointLife' contains masked placeholder cells ('[DUMMY … placeholder RAND]') — those cells are NaN. Populate from live source before production use.</t>
        </is>
      </c>
    </row>
    <row r="5" ht="28" customHeight="1">
      <c r="A5" t="inlineStr">
        <is>
          <t>assumption_loader/JointLife_Tables_Block_1</t>
        </is>
      </c>
      <c r="B5" s="32" t="inlineStr">
        <is>
          <t>Sheet 'JointLife_Tables_Block_1' contains masked placeholder cells ('[DUMMY … placeholder RAND]') — those cells are NaN. Populate from live source before production use.</t>
        </is>
      </c>
    </row>
    <row r="6" ht="28" customHeight="1">
      <c r="A6" t="inlineStr">
        <is>
          <t>assumption_loader/JointLife_Tables_Block_2</t>
        </is>
      </c>
      <c r="B6" s="32" t="inlineStr">
        <is>
          <t>Sheet 'JointLife_Tables_Block_2' contains masked placeholder cells ('[DUMMY … placeholder RAND]') — those cells are NaN. Populate from live source before production use.</t>
        </is>
      </c>
    </row>
    <row r="7" ht="28" customHeight="1">
      <c r="A7" t="inlineStr">
        <is>
          <t>assumption_loader/JointLife_Tables_Block_3</t>
        </is>
      </c>
      <c r="B7" s="32" t="inlineStr">
        <is>
          <t>Sheet 'JointLife_Tables_Block_3' contains masked placeholder cells ('[DUMMY … placeholder RAND]') — those cells are NaN. Populate from live source before production use.</t>
        </is>
      </c>
    </row>
    <row r="8" ht="28" customHeight="1">
      <c r="A8" t="inlineStr">
        <is>
          <t>assumption_loader/VM21CA_MortalityImprovement</t>
        </is>
      </c>
      <c r="B8" s="32" t="inlineStr">
        <is>
          <t>Sheet 'VM21CA_MortalityImprovement' contains masked placeholder cells ('[DUMMY … placeholder RAND]') — those cells are NaN. Populate from live source before production use.</t>
        </is>
      </c>
    </row>
    <row r="9" ht="28" customHeight="1">
      <c r="A9" t="inlineStr">
        <is>
          <t>assumption_loader/NYREG213_MortalityImprovement</t>
        </is>
      </c>
      <c r="B9" s="32" t="inlineStr">
        <is>
          <t>Sheet 'NYREG213_MortalityImprovement' contains masked placeholder cells ('[DUMMY … placeholder RAND]') — those cells are NaN. Populate from live source before production use.</t>
        </is>
      </c>
    </row>
    <row r="10" ht="28" customHeight="1">
      <c r="A10" t="inlineStr">
        <is>
          <t>assumption_loader/NYREG213_MortalityFactor</t>
        </is>
      </c>
      <c r="B10" s="32" t="inlineStr">
        <is>
          <t>Sheet 'NYREG213_MortalityFactor' contains masked placeholder cells ('[DUMMY … placeholder RAND]') — those cells are NaN. Populate from live source before production use.</t>
        </is>
      </c>
    </row>
    <row r="11" ht="28" customHeight="1">
      <c r="A11" t="inlineStr">
        <is>
          <t>assumption_loader/VM21CA_NonPM_BaseLapseRates</t>
        </is>
      </c>
      <c r="B11" s="32" t="inlineStr">
        <is>
          <t>Sheet 'VM21CA_NonPM_BaseLapseRates' contains masked placeholder cells ('[DUMMY … placeholder RAND]') — those cells are NaN. Populate from live source before production use.</t>
        </is>
      </c>
    </row>
    <row r="12" ht="28" customHeight="1">
      <c r="A12" t="inlineStr">
        <is>
          <t>assumption_loader/VM21CA_PM_BaseLapseRates</t>
        </is>
      </c>
      <c r="B12" s="32" t="inlineStr">
        <is>
          <t>Sheet 'VM21CA_PM_BaseLapseRates' contains masked placeholder cells ('[DUMMY … placeholder RAND]') — those cells are NaN. Populate from live source before production use.</t>
        </is>
      </c>
    </row>
    <row r="13" ht="28" customHeight="1">
      <c r="A13" t="inlineStr">
        <is>
          <t>assumption_loader/NYREG213_DynLapse_DefFactors_Fe</t>
        </is>
      </c>
      <c r="B13" s="32" t="inlineStr">
        <is>
          <t>Sheet 'NYREG213_DynLapse_DefFactors_Fe' contains masked placeholder cells ('[DUMMY … placeholder RAND]') — those cells are NaN. Populate from live source before production use.</t>
        </is>
      </c>
    </row>
    <row r="14" ht="28" customHeight="1">
      <c r="A14" t="inlineStr">
        <is>
          <t>assumption_loader/NYREG213_DynLapse_DefFactors_Ma</t>
        </is>
      </c>
      <c r="B14" s="32" t="inlineStr">
        <is>
          <t>Sheet 'NYREG213_DynLapse_DefFactors_Ma' contains masked placeholder cells ('[DUMMY … placeholder RAND]') — those cells are NaN. Populate from live source before production use.</t>
        </is>
      </c>
    </row>
    <row r="15" ht="28" customHeight="1">
      <c r="A15" t="inlineStr">
        <is>
          <t>assumption_loader/NYREG213_DynLapse_DefFactors_Un</t>
        </is>
      </c>
      <c r="B15" s="32" t="inlineStr">
        <is>
          <t>Sheet 'NYREG213_DynLapse_DefFactors_Un' contains masked placeholder cells ('[DUMMY … placeholder RAND]') — those cells are NaN. Populate from live source before production use.</t>
        </is>
      </c>
    </row>
    <row r="16" ht="28" customHeight="1">
      <c r="A16" t="inlineStr">
        <is>
          <t>i4l/mortality_table_missing</t>
        </is>
      </c>
      <c r="B16" s="32" t="inlineStr">
        <is>
          <t>All_i4L_MortalityTables is absent or truncated in Assumptions_Extracted.xlsx (D-016). i4L mortality (R, S, T[1:]) and W annuity factor will be NaN. T[1]=1.0 seed is preserved. Populate from live Assumptions!$BWK$7:$BWS tab before production use.</t>
        </is>
      </c>
    </row>
    <row r="17" ht="28" customHeight="1">
      <c r="A17" t="inlineStr">
        <is>
          <t>carvm/non_carvm_basis</t>
        </is>
      </c>
      <c r="B17" s="32" t="inlineStr">
        <is>
          <t>CARVM called for basis='VM21PA' / method='StdScn'. CARVM is only binding under NYREG213+CARVM. Returning zero-reserve DataFrame.</t>
        </is>
      </c>
    </row>
    <row r="18" ht="28" customHeight="1">
      <c r="A18" t="inlineStr">
        <is>
          <t>dac/amort_stub</t>
        </is>
      </c>
      <c r="B18" s="32" t="inlineStr">
        <is>
          <t>DAC non-zero amortisation not yet fully implemented. Returning zero DAC balance.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2026-06-16T08:16:48Z</dcterms:created>
  <dcterms:modified xsi:type="dcterms:W3CDTF">2026-06-16T08:17:05Z</dcterms:modified>
</cp:coreProperties>
</file>